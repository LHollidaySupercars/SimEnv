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mEnv\dataAcquisition\Motec_MP\plottingRequest\"/>
    </mc:Choice>
  </mc:AlternateContent>
  <xr:revisionPtr revIDLastSave="0" documentId="13_ncr:1_{017A76E3-AFCA-46FE-9E78-6F1368AE9DC7}" xr6:coauthVersionLast="47" xr6:coauthVersionMax="47" xr10:uidLastSave="{00000000-0000-0000-0000-000000000000}"/>
  <bookViews>
    <workbookView xWindow="-108" yWindow="-108" windowWidth="23256" windowHeight="13896" xr2:uid="{98CBB8D2-373D-4831-8E1A-176399598E12}"/>
  </bookViews>
  <sheets>
    <sheet name="plot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3" i="1" l="1"/>
  <c r="N34" i="1" s="1"/>
  <c r="N35" i="1" s="1"/>
  <c r="A14" i="1" l="1"/>
  <c r="A13" i="1"/>
  <c r="A12" i="1"/>
  <c r="A11" i="1"/>
  <c r="A10" i="1"/>
  <c r="A9" i="1"/>
  <c r="A8" i="1"/>
  <c r="A7" i="1"/>
  <c r="A6" i="1"/>
  <c r="A5" i="1"/>
  <c r="A4" i="1"/>
  <c r="A3" i="1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</calcChain>
</file>

<file path=xl/sharedStrings.xml><?xml version="1.0" encoding="utf-8"?>
<sst xmlns="http://schemas.openxmlformats.org/spreadsheetml/2006/main" count="466" uniqueCount="101">
  <si>
    <t>mathFunction</t>
  </si>
  <si>
    <t>xAxis</t>
  </si>
  <si>
    <t>yAxis1</t>
  </si>
  <si>
    <t>yAxis2</t>
  </si>
  <si>
    <t>yAxis3</t>
  </si>
  <si>
    <t>yAxis4</t>
  </si>
  <si>
    <t>scatter</t>
  </si>
  <si>
    <t>max</t>
  </si>
  <si>
    <t>plotName</t>
  </si>
  <si>
    <t>Lap Number</t>
  </si>
  <si>
    <t>differentiator</t>
  </si>
  <si>
    <t>none</t>
  </si>
  <si>
    <t>plotType</t>
  </si>
  <si>
    <t>colours</t>
  </si>
  <si>
    <t>useSecondary</t>
  </si>
  <si>
    <t>plotFilter</t>
  </si>
  <si>
    <t>zAxis</t>
  </si>
  <si>
    <t>TPM1S FL WS TEMP</t>
  </si>
  <si>
    <t>TPM1S FL WS PRESS</t>
  </si>
  <si>
    <t>figure</t>
  </si>
  <si>
    <t>plotOrganization</t>
  </si>
  <si>
    <t>plotPos</t>
  </si>
  <si>
    <t>[1, 1]</t>
  </si>
  <si>
    <t xml:space="preserve">Coolant Temperature                 </t>
  </si>
  <si>
    <t>[2, 1]</t>
  </si>
  <si>
    <t>WIP braking gate</t>
  </si>
  <si>
    <t>brakingGateVCH</t>
  </si>
  <si>
    <t>entryGateVCH</t>
  </si>
  <si>
    <t>midCrnGateVCH</t>
  </si>
  <si>
    <t>exitGateVCH</t>
  </si>
  <si>
    <t>straightGateVCH</t>
  </si>
  <si>
    <t>brakeBiasVCH</t>
  </si>
  <si>
    <t>flagOnJacksWSVCH</t>
  </si>
  <si>
    <t>RL_SlipVCH</t>
  </si>
  <si>
    <t>RR_SlipVCH</t>
  </si>
  <si>
    <t>avgCRNVCH</t>
  </si>
  <si>
    <t>FL_LockTimerVCH</t>
  </si>
  <si>
    <t>FR_LockTimerVCH</t>
  </si>
  <si>
    <t>RL_LockTimerVCH</t>
  </si>
  <si>
    <t>mean non zero</t>
  </si>
  <si>
    <t>Falling Max Speed - Ground Speed</t>
  </si>
  <si>
    <t>Ground Speed</t>
  </si>
  <si>
    <t>shapes</t>
  </si>
  <si>
    <t>[1,1]</t>
  </si>
  <si>
    <t>Fastest Lap Trace</t>
  </si>
  <si>
    <t>timeseries</t>
  </si>
  <si>
    <t>Lap Distance</t>
  </si>
  <si>
    <t>Temperature Vs Pressure</t>
  </si>
  <si>
    <t>Falling Max Speed - GPS Speed</t>
  </si>
  <si>
    <t>GPS Speed</t>
  </si>
  <si>
    <t>Falling Max Speed - Boxed</t>
  </si>
  <si>
    <t>ranked_box</t>
  </si>
  <si>
    <t>manufacturer</t>
  </si>
  <si>
    <t>mfr=Ford,n=1;mfr=Toyota, n=1; mfr=Chevrolet, n=1</t>
  </si>
  <si>
    <t>Fastest Lap Throttle Trace</t>
  </si>
  <si>
    <t>Fastest Lap Brake Trace</t>
  </si>
  <si>
    <t>Throttle Pedal</t>
  </si>
  <si>
    <t>Brake Pressure Front</t>
  </si>
  <si>
    <t>Brake Pressure Rear</t>
  </si>
  <si>
    <t>[3, 1]</t>
  </si>
  <si>
    <t>outlierThreshold</t>
  </si>
  <si>
    <t>outliers</t>
  </si>
  <si>
    <t>xLim</t>
  </si>
  <si>
    <t>yLim</t>
  </si>
  <si>
    <t>outlierMethod</t>
  </si>
  <si>
    <t>sessionlapwise</t>
  </si>
  <si>
    <t>Session Lap Test</t>
  </si>
  <si>
    <t>[60, 120]</t>
  </si>
  <si>
    <t>mad</t>
  </si>
  <si>
    <t>Fastets Lap Damper</t>
  </si>
  <si>
    <t>LapDistance</t>
  </si>
  <si>
    <t>C1_Damper Pos FL</t>
  </si>
  <si>
    <t>[4, 1]</t>
  </si>
  <si>
    <t>timeseries_align</t>
  </si>
  <si>
    <t>[244, 440]</t>
  </si>
  <si>
    <t>alignWindow</t>
  </si>
  <si>
    <t>Fastest Lap Damper</t>
  </si>
  <si>
    <t>CLa_SCz_Braking_VCH</t>
  </si>
  <si>
    <t>CLa_SCz_Entry_VCH</t>
  </si>
  <si>
    <t>CLa_SCz_MidCrn_VCH</t>
  </si>
  <si>
    <t>CLa_SCz_Exit_VCH</t>
  </si>
  <si>
    <t>phase_profile</t>
  </si>
  <si>
    <t>Cz Total Gated Aero Plot</t>
  </si>
  <si>
    <t>Cx Binned Cx Gates</t>
  </si>
  <si>
    <t>Low_Speed_Cx</t>
  </si>
  <si>
    <t>Mid_Speed_Cx</t>
  </si>
  <si>
    <t>High_Speed_SCx</t>
  </si>
  <si>
    <t>Parity _Speed_Cx</t>
  </si>
  <si>
    <t>Balance % Front</t>
  </si>
  <si>
    <t>AB_Braking</t>
  </si>
  <si>
    <t>AB_Entry</t>
  </si>
  <si>
    <t>AB_Midcrn</t>
  </si>
  <si>
    <t>AB_Exit</t>
  </si>
  <si>
    <t>EFF_Braking</t>
  </si>
  <si>
    <t>EFF_Entry</t>
  </si>
  <si>
    <t>EFF_MidCrn</t>
  </si>
  <si>
    <t>EFF_Exit</t>
  </si>
  <si>
    <t>SideForce_Entry</t>
  </si>
  <si>
    <t>SideForce_Midcrn</t>
  </si>
  <si>
    <t>Aero Efficiency</t>
  </si>
  <si>
    <t>Side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</si>
</sst>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4" borderId="0" xfId="0" applyFill="1"/>
    <xf numFmtId="0" fontId="0" fillId="4" borderId="0" xfId="0" applyFill="1" applyAlignment="1">
      <alignment vertical="center" wrapText="1"/>
    </xf>
    <xf numFmtId="0" fontId="0" fillId="5" borderId="0" xfId="0" applyFill="1"/>
    <xf numFmtId="0" fontId="0" fillId="6" borderId="0" xfId="0" applyFill="1" applyAlignment="1">
      <alignment vertical="center" wrapText="1"/>
    </xf>
    <xf numFmtId="0" fontId="0" fillId="6" borderId="0" xfId="0" applyFill="1"/>
    <xf numFmtId="0" fontId="0" fillId="7" borderId="0" xfId="0" applyFill="1" applyAlignment="1">
      <alignment vertical="center" wrapText="1"/>
    </xf>
    <xf numFmtId="0" fontId="0" fillId="7" borderId="0" xfId="0" applyFill="1"/>
    <xf numFmtId="0" fontId="0" fillId="8" borderId="0" xfId="0" applyFill="1" applyAlignment="1">
      <alignment vertical="center" wrapText="1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1EEC-F5CB-4522-AB96-C6BC3CAD72FB}">
  <dimension ref="A1:V35"/>
  <sheetViews>
    <sheetView tabSelected="1" topLeftCell="C1" zoomScale="70" zoomScaleNormal="70" workbookViewId="0">
      <pane ySplit="1" topLeftCell="A18" activePane="bottomLeft" state="frozen"/>
      <selection activeCell="F1" sqref="F1"/>
      <selection pane="bottomLeft" activeCell="K42" sqref="K42"/>
    </sheetView>
  </sheetViews>
  <sheetFormatPr defaultRowHeight="14.4" x14ac:dyDescent="0.3"/>
  <cols>
    <col min="1" max="1" width="33.21875" customWidth="1"/>
    <col min="2" max="2" width="53.109375" customWidth="1"/>
    <col min="3" max="3" width="13" bestFit="1" customWidth="1"/>
    <col min="4" max="4" width="18" bestFit="1" customWidth="1"/>
    <col min="5" max="5" width="27.21875" bestFit="1" customWidth="1"/>
    <col min="10" max="10" width="12.33203125" bestFit="1" customWidth="1"/>
    <col min="11" max="11" width="12.109375" bestFit="1" customWidth="1"/>
    <col min="12" max="12" width="13" bestFit="1" customWidth="1"/>
    <col min="13" max="13" width="44.6640625" bestFit="1" customWidth="1"/>
    <col min="15" max="15" width="15.5546875" bestFit="1" customWidth="1"/>
    <col min="21" max="21" width="15.6640625" bestFit="1" customWidth="1"/>
    <col min="22" max="22" width="15.6640625" customWidth="1"/>
  </cols>
  <sheetData>
    <row r="1" spans="1:22" x14ac:dyDescent="0.3">
      <c r="A1" s="1" t="s">
        <v>8</v>
      </c>
      <c r="B1" s="1" t="s">
        <v>12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16</v>
      </c>
      <c r="J1" s="1" t="s">
        <v>13</v>
      </c>
      <c r="K1" s="1" t="s">
        <v>10</v>
      </c>
      <c r="L1" s="1" t="s">
        <v>14</v>
      </c>
      <c r="M1" s="1" t="s">
        <v>15</v>
      </c>
      <c r="N1" s="2" t="s">
        <v>19</v>
      </c>
      <c r="O1" s="2" t="s">
        <v>20</v>
      </c>
      <c r="P1" s="2" t="s">
        <v>21</v>
      </c>
      <c r="Q1" s="2" t="s">
        <v>62</v>
      </c>
      <c r="R1" s="2" t="s">
        <v>63</v>
      </c>
      <c r="S1" s="2" t="s">
        <v>61</v>
      </c>
      <c r="T1" s="2" t="s">
        <v>64</v>
      </c>
      <c r="U1" s="2" t="s">
        <v>60</v>
      </c>
      <c r="V1" t="s">
        <v>75</v>
      </c>
    </row>
    <row r="2" spans="1:22" x14ac:dyDescent="0.3">
      <c r="A2" s="5" t="s">
        <v>25</v>
      </c>
      <c r="B2" s="5" t="s">
        <v>6</v>
      </c>
      <c r="C2" s="5" t="s">
        <v>39</v>
      </c>
      <c r="D2" s="5" t="s">
        <v>9</v>
      </c>
      <c r="E2" s="5" t="s">
        <v>26</v>
      </c>
      <c r="F2" s="5" t="s">
        <v>11</v>
      </c>
      <c r="G2" s="5" t="s">
        <v>11</v>
      </c>
      <c r="H2" s="5" t="s">
        <v>11</v>
      </c>
      <c r="I2" s="5" t="s">
        <v>11</v>
      </c>
      <c r="J2" s="5" t="s">
        <v>52</v>
      </c>
      <c r="K2" s="5" t="s">
        <v>11</v>
      </c>
      <c r="L2" s="5" t="b">
        <v>0</v>
      </c>
      <c r="M2" s="5"/>
      <c r="N2" s="5">
        <v>1</v>
      </c>
      <c r="O2" s="5" t="s">
        <v>22</v>
      </c>
      <c r="P2" s="5" t="s">
        <v>22</v>
      </c>
    </row>
    <row r="3" spans="1:22" x14ac:dyDescent="0.3">
      <c r="A3" s="5" t="str">
        <f>_xlfn.CONCAT("WIP ", E3)</f>
        <v>WIP entryGateVCH</v>
      </c>
      <c r="B3" s="5" t="s">
        <v>6</v>
      </c>
      <c r="C3" s="5" t="s">
        <v>39</v>
      </c>
      <c r="D3" s="5" t="s">
        <v>9</v>
      </c>
      <c r="E3" s="5" t="s">
        <v>27</v>
      </c>
      <c r="F3" s="5" t="s">
        <v>11</v>
      </c>
      <c r="G3" s="5" t="s">
        <v>11</v>
      </c>
      <c r="H3" s="5" t="s">
        <v>11</v>
      </c>
      <c r="I3" s="5" t="s">
        <v>11</v>
      </c>
      <c r="J3" s="5" t="s">
        <v>52</v>
      </c>
      <c r="K3" s="5" t="s">
        <v>11</v>
      </c>
      <c r="L3" s="5" t="b">
        <v>0</v>
      </c>
      <c r="M3" s="5"/>
      <c r="N3" s="5">
        <f t="shared" ref="N3:N26" si="0">IF(TRIM(P2)=TRIM(O2), N2+1, N2)</f>
        <v>2</v>
      </c>
      <c r="O3" s="5" t="s">
        <v>22</v>
      </c>
      <c r="P3" s="5" t="s">
        <v>22</v>
      </c>
    </row>
    <row r="4" spans="1:22" x14ac:dyDescent="0.3">
      <c r="A4" s="5" t="str">
        <f t="shared" ref="A4:A14" si="1">_xlfn.CONCAT("WIP ", E4)</f>
        <v>WIP midCrnGateVCH</v>
      </c>
      <c r="B4" s="5" t="s">
        <v>6</v>
      </c>
      <c r="C4" s="5" t="s">
        <v>39</v>
      </c>
      <c r="D4" s="5" t="s">
        <v>9</v>
      </c>
      <c r="E4" s="5" t="s">
        <v>28</v>
      </c>
      <c r="F4" s="5" t="s">
        <v>11</v>
      </c>
      <c r="G4" s="5" t="s">
        <v>11</v>
      </c>
      <c r="H4" s="5" t="s">
        <v>11</v>
      </c>
      <c r="I4" s="5" t="s">
        <v>11</v>
      </c>
      <c r="J4" s="5" t="s">
        <v>52</v>
      </c>
      <c r="K4" s="5" t="s">
        <v>11</v>
      </c>
      <c r="L4" s="5" t="b">
        <v>0</v>
      </c>
      <c r="M4" s="5"/>
      <c r="N4" s="5">
        <f t="shared" si="0"/>
        <v>3</v>
      </c>
      <c r="O4" s="5" t="s">
        <v>22</v>
      </c>
      <c r="P4" s="5" t="s">
        <v>22</v>
      </c>
    </row>
    <row r="5" spans="1:22" x14ac:dyDescent="0.3">
      <c r="A5" s="5" t="str">
        <f t="shared" si="1"/>
        <v>WIP exitGateVCH</v>
      </c>
      <c r="B5" s="5" t="s">
        <v>6</v>
      </c>
      <c r="C5" s="5" t="s">
        <v>39</v>
      </c>
      <c r="D5" s="5" t="s">
        <v>9</v>
      </c>
      <c r="E5" s="5" t="s">
        <v>29</v>
      </c>
      <c r="F5" s="5" t="s">
        <v>11</v>
      </c>
      <c r="G5" s="5" t="s">
        <v>11</v>
      </c>
      <c r="H5" s="5" t="s">
        <v>11</v>
      </c>
      <c r="I5" s="5" t="s">
        <v>11</v>
      </c>
      <c r="J5" s="5" t="s">
        <v>52</v>
      </c>
      <c r="K5" s="5" t="s">
        <v>11</v>
      </c>
      <c r="L5" s="5" t="b">
        <v>0</v>
      </c>
      <c r="M5" s="5"/>
      <c r="N5" s="5">
        <f t="shared" si="0"/>
        <v>4</v>
      </c>
      <c r="O5" s="5" t="s">
        <v>22</v>
      </c>
      <c r="P5" s="5" t="s">
        <v>22</v>
      </c>
      <c r="S5" t="b">
        <v>1</v>
      </c>
      <c r="T5" t="s">
        <v>68</v>
      </c>
      <c r="U5">
        <v>2</v>
      </c>
    </row>
    <row r="6" spans="1:22" x14ac:dyDescent="0.3">
      <c r="A6" s="5" t="str">
        <f t="shared" si="1"/>
        <v>WIP straightGateVCH</v>
      </c>
      <c r="B6" s="5" t="s">
        <v>6</v>
      </c>
      <c r="C6" s="5" t="s">
        <v>39</v>
      </c>
      <c r="D6" s="5" t="s">
        <v>9</v>
      </c>
      <c r="E6" s="5" t="s">
        <v>30</v>
      </c>
      <c r="F6" s="5" t="s">
        <v>11</v>
      </c>
      <c r="G6" s="5" t="s">
        <v>11</v>
      </c>
      <c r="H6" s="5" t="s">
        <v>11</v>
      </c>
      <c r="I6" s="5" t="s">
        <v>11</v>
      </c>
      <c r="J6" s="5" t="s">
        <v>52</v>
      </c>
      <c r="K6" s="5" t="s">
        <v>11</v>
      </c>
      <c r="L6" s="5" t="b">
        <v>0</v>
      </c>
      <c r="M6" s="5"/>
      <c r="N6" s="5">
        <f t="shared" si="0"/>
        <v>5</v>
      </c>
      <c r="O6" s="5" t="s">
        <v>22</v>
      </c>
      <c r="P6" s="5" t="s">
        <v>22</v>
      </c>
    </row>
    <row r="7" spans="1:22" x14ac:dyDescent="0.3">
      <c r="A7" s="5" t="str">
        <f t="shared" si="1"/>
        <v>WIP brakeBiasVCH</v>
      </c>
      <c r="B7" s="5" t="s">
        <v>6</v>
      </c>
      <c r="C7" s="5" t="s">
        <v>39</v>
      </c>
      <c r="D7" s="5" t="s">
        <v>9</v>
      </c>
      <c r="E7" s="5" t="s">
        <v>31</v>
      </c>
      <c r="F7" s="5" t="s">
        <v>11</v>
      </c>
      <c r="G7" s="5" t="s">
        <v>11</v>
      </c>
      <c r="H7" s="5" t="s">
        <v>11</v>
      </c>
      <c r="I7" s="5" t="s">
        <v>11</v>
      </c>
      <c r="J7" s="5" t="s">
        <v>52</v>
      </c>
      <c r="K7" s="5" t="s">
        <v>11</v>
      </c>
      <c r="L7" s="5" t="b">
        <v>0</v>
      </c>
      <c r="M7" s="5"/>
      <c r="N7" s="5">
        <f t="shared" si="0"/>
        <v>6</v>
      </c>
      <c r="O7" s="5" t="s">
        <v>22</v>
      </c>
      <c r="P7" s="5" t="s">
        <v>22</v>
      </c>
    </row>
    <row r="8" spans="1:22" x14ac:dyDescent="0.3">
      <c r="A8" s="5" t="str">
        <f t="shared" si="1"/>
        <v>WIP flagOnJacksWSVCH</v>
      </c>
      <c r="B8" s="5" t="s">
        <v>6</v>
      </c>
      <c r="C8" s="5" t="s">
        <v>39</v>
      </c>
      <c r="D8" s="5" t="s">
        <v>9</v>
      </c>
      <c r="E8" s="5" t="s">
        <v>32</v>
      </c>
      <c r="F8" s="5" t="s">
        <v>11</v>
      </c>
      <c r="G8" s="5" t="s">
        <v>11</v>
      </c>
      <c r="H8" s="5" t="s">
        <v>11</v>
      </c>
      <c r="I8" s="5" t="s">
        <v>11</v>
      </c>
      <c r="J8" s="5" t="s">
        <v>52</v>
      </c>
      <c r="K8" s="5" t="s">
        <v>11</v>
      </c>
      <c r="L8" s="5" t="b">
        <v>0</v>
      </c>
      <c r="M8" s="5"/>
      <c r="N8" s="5">
        <f t="shared" si="0"/>
        <v>7</v>
      </c>
      <c r="O8" s="5" t="s">
        <v>22</v>
      </c>
      <c r="P8" s="5" t="s">
        <v>22</v>
      </c>
    </row>
    <row r="9" spans="1:22" x14ac:dyDescent="0.3">
      <c r="A9" s="5" t="str">
        <f t="shared" si="1"/>
        <v>WIP RL_SlipVCH</v>
      </c>
      <c r="B9" s="5" t="s">
        <v>6</v>
      </c>
      <c r="C9" s="5" t="s">
        <v>39</v>
      </c>
      <c r="D9" s="5" t="s">
        <v>9</v>
      </c>
      <c r="E9" s="5" t="s">
        <v>33</v>
      </c>
      <c r="F9" s="5" t="s">
        <v>11</v>
      </c>
      <c r="G9" s="5" t="s">
        <v>11</v>
      </c>
      <c r="H9" s="5" t="s">
        <v>11</v>
      </c>
      <c r="I9" s="5" t="s">
        <v>11</v>
      </c>
      <c r="J9" s="5" t="s">
        <v>52</v>
      </c>
      <c r="K9" s="5" t="s">
        <v>11</v>
      </c>
      <c r="L9" s="5" t="b">
        <v>0</v>
      </c>
      <c r="M9" s="5"/>
      <c r="N9" s="5">
        <f t="shared" si="0"/>
        <v>8</v>
      </c>
      <c r="O9" s="5" t="s">
        <v>22</v>
      </c>
      <c r="P9" s="5" t="s">
        <v>22</v>
      </c>
    </row>
    <row r="10" spans="1:22" x14ac:dyDescent="0.3">
      <c r="A10" s="5" t="str">
        <f t="shared" si="1"/>
        <v>WIP RR_SlipVCH</v>
      </c>
      <c r="B10" s="5" t="s">
        <v>6</v>
      </c>
      <c r="C10" s="5" t="s">
        <v>39</v>
      </c>
      <c r="D10" s="5" t="s">
        <v>9</v>
      </c>
      <c r="E10" s="5" t="s">
        <v>34</v>
      </c>
      <c r="F10" s="5" t="s">
        <v>11</v>
      </c>
      <c r="G10" s="5" t="s">
        <v>11</v>
      </c>
      <c r="H10" s="5" t="s">
        <v>11</v>
      </c>
      <c r="I10" s="5" t="s">
        <v>11</v>
      </c>
      <c r="J10" s="5" t="s">
        <v>52</v>
      </c>
      <c r="K10" s="5" t="s">
        <v>11</v>
      </c>
      <c r="L10" s="5" t="b">
        <v>0</v>
      </c>
      <c r="M10" s="5"/>
      <c r="N10" s="5">
        <f t="shared" si="0"/>
        <v>9</v>
      </c>
      <c r="O10" s="5" t="s">
        <v>22</v>
      </c>
      <c r="P10" s="5" t="s">
        <v>22</v>
      </c>
    </row>
    <row r="11" spans="1:22" x14ac:dyDescent="0.3">
      <c r="A11" s="5" t="str">
        <f t="shared" si="1"/>
        <v>WIP avgCRNVCH</v>
      </c>
      <c r="B11" s="5" t="s">
        <v>6</v>
      </c>
      <c r="C11" s="5" t="s">
        <v>39</v>
      </c>
      <c r="D11" s="5" t="s">
        <v>9</v>
      </c>
      <c r="E11" s="5" t="s">
        <v>35</v>
      </c>
      <c r="F11" s="5" t="s">
        <v>11</v>
      </c>
      <c r="G11" s="5" t="s">
        <v>11</v>
      </c>
      <c r="H11" s="5" t="s">
        <v>11</v>
      </c>
      <c r="I11" s="5" t="s">
        <v>11</v>
      </c>
      <c r="J11" s="5" t="s">
        <v>52</v>
      </c>
      <c r="K11" s="5" t="s">
        <v>11</v>
      </c>
      <c r="L11" s="5" t="b">
        <v>0</v>
      </c>
      <c r="M11" s="5"/>
      <c r="N11" s="5">
        <f t="shared" si="0"/>
        <v>10</v>
      </c>
      <c r="O11" s="5" t="s">
        <v>22</v>
      </c>
      <c r="P11" s="5" t="s">
        <v>22</v>
      </c>
      <c r="S11" t="b">
        <v>1</v>
      </c>
      <c r="T11" t="s">
        <v>68</v>
      </c>
      <c r="U11">
        <v>2</v>
      </c>
    </row>
    <row r="12" spans="1:22" x14ac:dyDescent="0.3">
      <c r="A12" s="5" t="str">
        <f t="shared" si="1"/>
        <v>WIP FL_LockTimerVCH</v>
      </c>
      <c r="B12" s="5" t="s">
        <v>6</v>
      </c>
      <c r="C12" s="5" t="s">
        <v>7</v>
      </c>
      <c r="D12" s="5" t="s">
        <v>9</v>
      </c>
      <c r="E12" s="5" t="s">
        <v>36</v>
      </c>
      <c r="F12" s="5" t="s">
        <v>11</v>
      </c>
      <c r="G12" s="5" t="s">
        <v>11</v>
      </c>
      <c r="H12" s="5" t="s">
        <v>11</v>
      </c>
      <c r="I12" s="5" t="s">
        <v>11</v>
      </c>
      <c r="J12" s="5" t="s">
        <v>52</v>
      </c>
      <c r="K12" s="5" t="s">
        <v>11</v>
      </c>
      <c r="L12" s="5" t="b">
        <v>0</v>
      </c>
      <c r="M12" s="5"/>
      <c r="N12" s="5">
        <f t="shared" si="0"/>
        <v>11</v>
      </c>
      <c r="O12" s="5" t="s">
        <v>22</v>
      </c>
      <c r="P12" s="5" t="s">
        <v>22</v>
      </c>
    </row>
    <row r="13" spans="1:22" x14ac:dyDescent="0.3">
      <c r="A13" s="5" t="str">
        <f t="shared" si="1"/>
        <v>WIP FR_LockTimerVCH</v>
      </c>
      <c r="B13" s="5" t="s">
        <v>6</v>
      </c>
      <c r="C13" s="5" t="s">
        <v>7</v>
      </c>
      <c r="D13" s="5" t="s">
        <v>9</v>
      </c>
      <c r="E13" s="5" t="s">
        <v>37</v>
      </c>
      <c r="F13" s="5" t="s">
        <v>11</v>
      </c>
      <c r="G13" s="5" t="s">
        <v>11</v>
      </c>
      <c r="H13" s="5" t="s">
        <v>11</v>
      </c>
      <c r="I13" s="5" t="s">
        <v>11</v>
      </c>
      <c r="J13" s="5" t="s">
        <v>52</v>
      </c>
      <c r="K13" s="5" t="s">
        <v>11</v>
      </c>
      <c r="L13" s="5" t="b">
        <v>0</v>
      </c>
      <c r="M13" s="5"/>
      <c r="N13" s="5">
        <f t="shared" si="0"/>
        <v>12</v>
      </c>
      <c r="O13" s="5" t="s">
        <v>22</v>
      </c>
      <c r="P13" s="5" t="s">
        <v>22</v>
      </c>
    </row>
    <row r="14" spans="1:22" x14ac:dyDescent="0.3">
      <c r="A14" s="5" t="str">
        <f t="shared" si="1"/>
        <v>WIP RL_LockTimerVCH</v>
      </c>
      <c r="B14" s="5" t="s">
        <v>6</v>
      </c>
      <c r="C14" s="5" t="s">
        <v>7</v>
      </c>
      <c r="D14" s="5" t="s">
        <v>9</v>
      </c>
      <c r="E14" s="5" t="s">
        <v>38</v>
      </c>
      <c r="F14" s="5" t="s">
        <v>11</v>
      </c>
      <c r="G14" s="5" t="s">
        <v>11</v>
      </c>
      <c r="H14" s="5" t="s">
        <v>11</v>
      </c>
      <c r="I14" s="5" t="s">
        <v>11</v>
      </c>
      <c r="J14" s="5" t="s">
        <v>52</v>
      </c>
      <c r="K14" s="5" t="s">
        <v>11</v>
      </c>
      <c r="L14" s="5" t="b">
        <v>0</v>
      </c>
      <c r="M14" s="5"/>
      <c r="N14" s="5">
        <f t="shared" si="0"/>
        <v>13</v>
      </c>
      <c r="O14" s="5" t="s">
        <v>22</v>
      </c>
      <c r="P14" s="5" t="s">
        <v>22</v>
      </c>
    </row>
    <row r="15" spans="1:22" x14ac:dyDescent="0.3">
      <c r="A15" s="6" t="s">
        <v>40</v>
      </c>
      <c r="B15" s="6" t="s">
        <v>6</v>
      </c>
      <c r="C15" s="6" t="s">
        <v>7</v>
      </c>
      <c r="D15" s="6" t="s">
        <v>9</v>
      </c>
      <c r="E15" s="6" t="s">
        <v>41</v>
      </c>
      <c r="F15" s="3" t="s">
        <v>11</v>
      </c>
      <c r="G15" s="6" t="s">
        <v>11</v>
      </c>
      <c r="H15" s="6" t="s">
        <v>11</v>
      </c>
      <c r="I15" s="6" t="s">
        <v>11</v>
      </c>
      <c r="J15" s="6" t="s">
        <v>52</v>
      </c>
      <c r="K15" s="6" t="s">
        <v>42</v>
      </c>
      <c r="L15" s="6" t="b">
        <v>0</v>
      </c>
      <c r="M15" s="3" t="s">
        <v>53</v>
      </c>
      <c r="N15" s="3">
        <f t="shared" si="0"/>
        <v>14</v>
      </c>
      <c r="O15" s="3" t="s">
        <v>43</v>
      </c>
      <c r="P15" s="3" t="s">
        <v>43</v>
      </c>
    </row>
    <row r="16" spans="1:22" x14ac:dyDescent="0.3">
      <c r="A16" s="6" t="s">
        <v>44</v>
      </c>
      <c r="B16" s="6" t="s">
        <v>45</v>
      </c>
      <c r="C16" s="6" t="s">
        <v>11</v>
      </c>
      <c r="D16" s="6" t="s">
        <v>46</v>
      </c>
      <c r="E16" s="6" t="s">
        <v>41</v>
      </c>
      <c r="F16" s="6" t="s">
        <v>11</v>
      </c>
      <c r="G16" s="6" t="s">
        <v>11</v>
      </c>
      <c r="H16" s="6" t="s">
        <v>11</v>
      </c>
      <c r="I16" s="6" t="s">
        <v>11</v>
      </c>
      <c r="J16" s="6" t="s">
        <v>52</v>
      </c>
      <c r="K16" s="6" t="s">
        <v>11</v>
      </c>
      <c r="L16" s="6" t="b">
        <v>0</v>
      </c>
      <c r="M16" s="3" t="s">
        <v>53</v>
      </c>
      <c r="N16" s="3">
        <f t="shared" si="0"/>
        <v>15</v>
      </c>
      <c r="O16" s="3" t="s">
        <v>72</v>
      </c>
      <c r="P16" s="3" t="s">
        <v>43</v>
      </c>
    </row>
    <row r="17" spans="1:22" x14ac:dyDescent="0.3">
      <c r="A17" s="6" t="s">
        <v>54</v>
      </c>
      <c r="B17" s="6" t="s">
        <v>45</v>
      </c>
      <c r="C17" s="6" t="s">
        <v>11</v>
      </c>
      <c r="D17" s="6" t="s">
        <v>46</v>
      </c>
      <c r="E17" s="6" t="s">
        <v>56</v>
      </c>
      <c r="F17" s="6" t="s">
        <v>11</v>
      </c>
      <c r="G17" s="6" t="s">
        <v>11</v>
      </c>
      <c r="H17" s="6" t="s">
        <v>11</v>
      </c>
      <c r="I17" s="6" t="s">
        <v>11</v>
      </c>
      <c r="J17" s="6" t="s">
        <v>52</v>
      </c>
      <c r="K17" s="6" t="s">
        <v>11</v>
      </c>
      <c r="L17" s="6" t="b">
        <v>0</v>
      </c>
      <c r="M17" s="3" t="s">
        <v>53</v>
      </c>
      <c r="N17" s="3">
        <f t="shared" si="0"/>
        <v>15</v>
      </c>
      <c r="O17" s="3" t="s">
        <v>72</v>
      </c>
      <c r="P17" s="3" t="s">
        <v>24</v>
      </c>
    </row>
    <row r="18" spans="1:22" ht="43.2" x14ac:dyDescent="0.3">
      <c r="A18" s="6" t="s">
        <v>55</v>
      </c>
      <c r="B18" s="6" t="s">
        <v>45</v>
      </c>
      <c r="C18" s="6" t="s">
        <v>11</v>
      </c>
      <c r="D18" s="6" t="s">
        <v>46</v>
      </c>
      <c r="E18" s="6" t="s">
        <v>57</v>
      </c>
      <c r="F18" s="6" t="s">
        <v>58</v>
      </c>
      <c r="G18" s="6" t="s">
        <v>11</v>
      </c>
      <c r="H18" s="6" t="s">
        <v>11</v>
      </c>
      <c r="I18" s="6" t="s">
        <v>11</v>
      </c>
      <c r="J18" s="6" t="s">
        <v>52</v>
      </c>
      <c r="K18" s="6" t="s">
        <v>11</v>
      </c>
      <c r="L18" s="6" t="b">
        <v>0</v>
      </c>
      <c r="M18" s="3" t="s">
        <v>53</v>
      </c>
      <c r="N18" s="3">
        <f t="shared" si="0"/>
        <v>15</v>
      </c>
      <c r="O18" s="3" t="s">
        <v>72</v>
      </c>
      <c r="P18" s="3" t="s">
        <v>59</v>
      </c>
    </row>
    <row r="19" spans="1:22" x14ac:dyDescent="0.3">
      <c r="A19" s="6" t="s">
        <v>69</v>
      </c>
      <c r="B19" s="6" t="s">
        <v>45</v>
      </c>
      <c r="C19" s="6" t="s">
        <v>11</v>
      </c>
      <c r="D19" s="6" t="s">
        <v>70</v>
      </c>
      <c r="E19" s="6" t="s">
        <v>71</v>
      </c>
      <c r="F19" s="6" t="s">
        <v>11</v>
      </c>
      <c r="G19" s="6" t="s">
        <v>11</v>
      </c>
      <c r="H19" s="6" t="s">
        <v>11</v>
      </c>
      <c r="I19" s="6" t="s">
        <v>11</v>
      </c>
      <c r="J19" s="6" t="s">
        <v>52</v>
      </c>
      <c r="K19" s="6" t="s">
        <v>11</v>
      </c>
      <c r="L19" s="6" t="b">
        <v>0</v>
      </c>
      <c r="M19" s="3" t="s">
        <v>53</v>
      </c>
      <c r="N19" s="3">
        <f t="shared" si="0"/>
        <v>15</v>
      </c>
      <c r="O19" s="3" t="s">
        <v>72</v>
      </c>
      <c r="P19" s="3" t="s">
        <v>72</v>
      </c>
    </row>
    <row r="20" spans="1:22" x14ac:dyDescent="0.3">
      <c r="A20" s="3" t="s">
        <v>47</v>
      </c>
      <c r="B20" s="3" t="s">
        <v>6</v>
      </c>
      <c r="C20" s="3" t="s">
        <v>7</v>
      </c>
      <c r="D20" s="3" t="s">
        <v>18</v>
      </c>
      <c r="E20" s="3" t="s">
        <v>17</v>
      </c>
      <c r="F20" s="3" t="s">
        <v>11</v>
      </c>
      <c r="G20" s="3" t="s">
        <v>11</v>
      </c>
      <c r="H20" s="3" t="s">
        <v>11</v>
      </c>
      <c r="I20" s="3" t="s">
        <v>11</v>
      </c>
      <c r="J20" s="3" t="s">
        <v>52</v>
      </c>
      <c r="K20" s="3" t="s">
        <v>11</v>
      </c>
      <c r="L20" s="3" t="b">
        <v>0</v>
      </c>
      <c r="M20" s="3"/>
      <c r="N20" s="3">
        <f t="shared" si="0"/>
        <v>16</v>
      </c>
      <c r="O20" s="3" t="s">
        <v>43</v>
      </c>
      <c r="P20" s="3" t="s">
        <v>43</v>
      </c>
    </row>
    <row r="21" spans="1:22" x14ac:dyDescent="0.3">
      <c r="A21" s="6" t="s">
        <v>48</v>
      </c>
      <c r="B21" s="6" t="s">
        <v>6</v>
      </c>
      <c r="C21" s="6" t="s">
        <v>7</v>
      </c>
      <c r="D21" s="6" t="s">
        <v>9</v>
      </c>
      <c r="E21" s="6" t="s">
        <v>49</v>
      </c>
      <c r="F21" s="6" t="s">
        <v>11</v>
      </c>
      <c r="G21" s="6" t="s">
        <v>11</v>
      </c>
      <c r="H21" s="6" t="s">
        <v>11</v>
      </c>
      <c r="I21" s="6" t="s">
        <v>11</v>
      </c>
      <c r="J21" s="6" t="s">
        <v>52</v>
      </c>
      <c r="K21" s="6" t="s">
        <v>42</v>
      </c>
      <c r="L21" s="6" t="b">
        <v>0</v>
      </c>
      <c r="M21" s="3"/>
      <c r="N21" s="3">
        <f t="shared" si="0"/>
        <v>17</v>
      </c>
      <c r="O21" s="3" t="s">
        <v>22</v>
      </c>
      <c r="P21" s="3" t="s">
        <v>22</v>
      </c>
    </row>
    <row r="22" spans="1:22" x14ac:dyDescent="0.3">
      <c r="A22" s="6" t="s">
        <v>50</v>
      </c>
      <c r="B22" s="6" t="s">
        <v>51</v>
      </c>
      <c r="C22" s="6" t="s">
        <v>7</v>
      </c>
      <c r="D22" s="6" t="s">
        <v>9</v>
      </c>
      <c r="E22" s="6" t="s">
        <v>41</v>
      </c>
      <c r="F22" s="6" t="s">
        <v>11</v>
      </c>
      <c r="G22" s="6" t="s">
        <v>11</v>
      </c>
      <c r="H22" s="6" t="s">
        <v>11</v>
      </c>
      <c r="I22" s="6" t="s">
        <v>11</v>
      </c>
      <c r="J22" s="6" t="s">
        <v>52</v>
      </c>
      <c r="K22" s="6" t="s">
        <v>11</v>
      </c>
      <c r="L22" s="6" t="b">
        <v>0</v>
      </c>
      <c r="M22" s="3"/>
      <c r="N22" s="3">
        <f t="shared" si="0"/>
        <v>18</v>
      </c>
      <c r="O22" s="3" t="s">
        <v>22</v>
      </c>
      <c r="P22" s="3" t="s">
        <v>22</v>
      </c>
      <c r="S22" t="b">
        <v>1</v>
      </c>
      <c r="T22" t="s">
        <v>68</v>
      </c>
      <c r="U22">
        <v>2</v>
      </c>
    </row>
    <row r="23" spans="1:22" ht="28.8" x14ac:dyDescent="0.3">
      <c r="A23" s="6" t="s">
        <v>50</v>
      </c>
      <c r="B23" s="6" t="s">
        <v>65</v>
      </c>
      <c r="C23" s="6" t="s">
        <v>7</v>
      </c>
      <c r="D23" s="6" t="s">
        <v>9</v>
      </c>
      <c r="E23" s="6" t="s">
        <v>41</v>
      </c>
      <c r="F23" s="6" t="s">
        <v>11</v>
      </c>
      <c r="G23" s="6" t="s">
        <v>11</v>
      </c>
      <c r="H23" s="6" t="s">
        <v>11</v>
      </c>
      <c r="I23" s="6" t="s">
        <v>11</v>
      </c>
      <c r="J23" s="6" t="s">
        <v>52</v>
      </c>
      <c r="K23" s="6" t="s">
        <v>11</v>
      </c>
      <c r="L23" s="6" t="b">
        <v>0</v>
      </c>
      <c r="M23" s="3"/>
      <c r="N23" s="3">
        <f t="shared" si="0"/>
        <v>19</v>
      </c>
      <c r="O23" s="3" t="s">
        <v>22</v>
      </c>
      <c r="P23" s="3" t="s">
        <v>22</v>
      </c>
    </row>
    <row r="24" spans="1:22" ht="28.8" x14ac:dyDescent="0.3">
      <c r="A24" s="6" t="s">
        <v>66</v>
      </c>
      <c r="B24" s="6" t="s">
        <v>65</v>
      </c>
      <c r="C24" s="6" t="s">
        <v>7</v>
      </c>
      <c r="D24" s="6" t="s">
        <v>9</v>
      </c>
      <c r="E24" s="6" t="s">
        <v>23</v>
      </c>
      <c r="F24" s="6" t="s">
        <v>11</v>
      </c>
      <c r="G24" s="6" t="s">
        <v>11</v>
      </c>
      <c r="H24" s="6" t="s">
        <v>11</v>
      </c>
      <c r="I24" s="6" t="s">
        <v>11</v>
      </c>
      <c r="J24" s="6" t="s">
        <v>52</v>
      </c>
      <c r="K24" s="6" t="s">
        <v>11</v>
      </c>
      <c r="L24" s="6" t="b">
        <v>0</v>
      </c>
      <c r="N24" s="3">
        <f t="shared" si="0"/>
        <v>20</v>
      </c>
      <c r="O24" s="3" t="s">
        <v>22</v>
      </c>
      <c r="P24" s="3" t="s">
        <v>22</v>
      </c>
      <c r="R24" t="s">
        <v>67</v>
      </c>
      <c r="S24" t="b">
        <v>0</v>
      </c>
    </row>
    <row r="25" spans="1:22" ht="28.8" x14ac:dyDescent="0.3">
      <c r="A25" s="6" t="s">
        <v>66</v>
      </c>
      <c r="B25" s="6" t="s">
        <v>65</v>
      </c>
      <c r="C25" s="6" t="s">
        <v>7</v>
      </c>
      <c r="D25" s="6" t="s">
        <v>9</v>
      </c>
      <c r="E25" s="6" t="s">
        <v>23</v>
      </c>
      <c r="F25" s="6" t="s">
        <v>11</v>
      </c>
      <c r="G25" s="6" t="s">
        <v>11</v>
      </c>
      <c r="H25" s="6" t="s">
        <v>11</v>
      </c>
      <c r="I25" s="6" t="s">
        <v>11</v>
      </c>
      <c r="J25" s="6" t="s">
        <v>52</v>
      </c>
      <c r="K25" s="6" t="s">
        <v>11</v>
      </c>
      <c r="L25" s="6" t="b">
        <v>0</v>
      </c>
      <c r="N25" s="3">
        <f t="shared" si="0"/>
        <v>21</v>
      </c>
      <c r="O25" s="3" t="s">
        <v>22</v>
      </c>
      <c r="P25" s="3" t="s">
        <v>22</v>
      </c>
      <c r="S25" t="b">
        <v>1</v>
      </c>
      <c r="T25" t="s">
        <v>68</v>
      </c>
      <c r="U25">
        <v>2</v>
      </c>
    </row>
    <row r="26" spans="1:22" x14ac:dyDescent="0.3">
      <c r="A26" s="8" t="s">
        <v>66</v>
      </c>
      <c r="B26" s="8" t="s">
        <v>51</v>
      </c>
      <c r="C26" s="8" t="s">
        <v>7</v>
      </c>
      <c r="D26" s="8" t="s">
        <v>9</v>
      </c>
      <c r="E26" s="8" t="s">
        <v>23</v>
      </c>
      <c r="F26" s="8" t="s">
        <v>11</v>
      </c>
      <c r="G26" s="8" t="s">
        <v>11</v>
      </c>
      <c r="H26" s="8" t="s">
        <v>11</v>
      </c>
      <c r="I26" s="8" t="s">
        <v>11</v>
      </c>
      <c r="J26" s="8" t="s">
        <v>52</v>
      </c>
      <c r="K26" s="8" t="s">
        <v>11</v>
      </c>
      <c r="L26" s="8" t="b">
        <v>0</v>
      </c>
      <c r="M26" s="5"/>
      <c r="N26" s="5">
        <f t="shared" si="0"/>
        <v>22</v>
      </c>
      <c r="O26" s="5" t="s">
        <v>22</v>
      </c>
      <c r="P26" s="5" t="s">
        <v>22</v>
      </c>
      <c r="S26" t="b">
        <v>1</v>
      </c>
      <c r="T26" t="s">
        <v>68</v>
      </c>
      <c r="U26">
        <v>2</v>
      </c>
    </row>
    <row r="27" spans="1:22" ht="28.8" x14ac:dyDescent="0.3">
      <c r="A27" s="7" t="s">
        <v>44</v>
      </c>
      <c r="B27" s="7" t="s">
        <v>73</v>
      </c>
      <c r="C27" s="7" t="s">
        <v>11</v>
      </c>
      <c r="D27" s="7" t="s">
        <v>46</v>
      </c>
      <c r="E27" s="7" t="s">
        <v>41</v>
      </c>
      <c r="F27" s="7" t="s">
        <v>71</v>
      </c>
      <c r="G27" s="7" t="s">
        <v>11</v>
      </c>
      <c r="H27" s="7" t="s">
        <v>11</v>
      </c>
      <c r="I27" s="7" t="s">
        <v>11</v>
      </c>
      <c r="J27" s="7" t="s">
        <v>52</v>
      </c>
      <c r="K27" s="7" t="s">
        <v>11</v>
      </c>
      <c r="L27" s="7" t="b">
        <v>0</v>
      </c>
      <c r="M27" s="4" t="s">
        <v>53</v>
      </c>
      <c r="N27" s="4">
        <f t="shared" ref="N27:N35" si="2">IF(TRIM(P26)=TRIM(O26), N26+1, N26)</f>
        <v>23</v>
      </c>
      <c r="O27" s="4" t="s">
        <v>72</v>
      </c>
      <c r="P27" s="4" t="s">
        <v>43</v>
      </c>
      <c r="V27" t="s">
        <v>74</v>
      </c>
    </row>
    <row r="28" spans="1:22" ht="28.8" x14ac:dyDescent="0.3">
      <c r="A28" s="7" t="s">
        <v>54</v>
      </c>
      <c r="B28" s="7" t="s">
        <v>73</v>
      </c>
      <c r="C28" s="7" t="s">
        <v>11</v>
      </c>
      <c r="D28" s="7" t="s">
        <v>46</v>
      </c>
      <c r="E28" s="7" t="s">
        <v>56</v>
      </c>
      <c r="F28" s="7" t="s">
        <v>71</v>
      </c>
      <c r="G28" s="7" t="s">
        <v>11</v>
      </c>
      <c r="H28" s="7" t="s">
        <v>11</v>
      </c>
      <c r="I28" s="7" t="s">
        <v>11</v>
      </c>
      <c r="J28" s="7" t="s">
        <v>52</v>
      </c>
      <c r="K28" s="7" t="s">
        <v>11</v>
      </c>
      <c r="L28" s="7" t="b">
        <v>0</v>
      </c>
      <c r="M28" s="4" t="s">
        <v>53</v>
      </c>
      <c r="N28" s="4">
        <f t="shared" si="2"/>
        <v>23</v>
      </c>
      <c r="O28" s="4" t="s">
        <v>72</v>
      </c>
      <c r="P28" s="4" t="s">
        <v>24</v>
      </c>
      <c r="V28" t="s">
        <v>74</v>
      </c>
    </row>
    <row r="29" spans="1:22" ht="28.8" x14ac:dyDescent="0.3">
      <c r="A29" s="7" t="s">
        <v>55</v>
      </c>
      <c r="B29" s="7" t="s">
        <v>73</v>
      </c>
      <c r="C29" s="7" t="s">
        <v>11</v>
      </c>
      <c r="D29" s="7" t="s">
        <v>46</v>
      </c>
      <c r="E29" s="7" t="s">
        <v>57</v>
      </c>
      <c r="F29" s="7" t="s">
        <v>71</v>
      </c>
      <c r="G29" s="7" t="s">
        <v>11</v>
      </c>
      <c r="H29" s="7" t="s">
        <v>11</v>
      </c>
      <c r="I29" s="7" t="s">
        <v>11</v>
      </c>
      <c r="J29" s="7" t="s">
        <v>52</v>
      </c>
      <c r="K29" s="7" t="s">
        <v>11</v>
      </c>
      <c r="L29" s="7" t="b">
        <v>0</v>
      </c>
      <c r="M29" s="4" t="s">
        <v>53</v>
      </c>
      <c r="N29" s="4">
        <f t="shared" si="2"/>
        <v>23</v>
      </c>
      <c r="O29" s="4" t="s">
        <v>72</v>
      </c>
      <c r="P29" s="4" t="s">
        <v>59</v>
      </c>
      <c r="V29" t="s">
        <v>74</v>
      </c>
    </row>
    <row r="30" spans="1:22" ht="28.8" x14ac:dyDescent="0.3">
      <c r="A30" s="7" t="s">
        <v>76</v>
      </c>
      <c r="B30" s="7" t="s">
        <v>73</v>
      </c>
      <c r="C30" s="7" t="s">
        <v>11</v>
      </c>
      <c r="D30" s="7" t="s">
        <v>70</v>
      </c>
      <c r="E30" s="7" t="s">
        <v>71</v>
      </c>
      <c r="F30" s="7" t="s">
        <v>71</v>
      </c>
      <c r="G30" s="7" t="s">
        <v>11</v>
      </c>
      <c r="H30" s="7" t="s">
        <v>11</v>
      </c>
      <c r="I30" s="7" t="s">
        <v>11</v>
      </c>
      <c r="J30" s="7" t="s">
        <v>52</v>
      </c>
      <c r="K30" s="7" t="s">
        <v>11</v>
      </c>
      <c r="L30" s="7" t="b">
        <v>0</v>
      </c>
      <c r="M30" s="4" t="s">
        <v>53</v>
      </c>
      <c r="N30" s="4">
        <f t="shared" si="2"/>
        <v>23</v>
      </c>
      <c r="O30" s="4" t="s">
        <v>72</v>
      </c>
      <c r="P30" s="4" t="s">
        <v>72</v>
      </c>
      <c r="V30" t="s">
        <v>74</v>
      </c>
    </row>
    <row r="31" spans="1:22" x14ac:dyDescent="0.3">
      <c r="A31" s="9" t="s">
        <v>82</v>
      </c>
      <c r="B31" s="9" t="s">
        <v>81</v>
      </c>
      <c r="C31" s="9" t="s">
        <v>39</v>
      </c>
      <c r="D31" s="12"/>
      <c r="E31" s="12" t="s">
        <v>77</v>
      </c>
      <c r="F31" s="12" t="s">
        <v>78</v>
      </c>
      <c r="G31" s="12" t="s">
        <v>79</v>
      </c>
      <c r="H31" s="12" t="s">
        <v>80</v>
      </c>
      <c r="I31" s="9" t="s">
        <v>11</v>
      </c>
      <c r="J31" s="9" t="s">
        <v>52</v>
      </c>
      <c r="K31" s="9" t="s">
        <v>11</v>
      </c>
      <c r="L31" s="9" t="b">
        <v>0</v>
      </c>
      <c r="M31" s="12"/>
      <c r="N31" s="12">
        <f t="shared" si="2"/>
        <v>24</v>
      </c>
      <c r="O31" s="12" t="s">
        <v>22</v>
      </c>
      <c r="P31" s="12" t="s">
        <v>22</v>
      </c>
      <c r="Q31" s="12"/>
      <c r="R31" s="12"/>
      <c r="S31" s="12"/>
      <c r="T31" s="12"/>
      <c r="U31" s="12"/>
      <c r="V31" s="12"/>
    </row>
    <row r="32" spans="1:22" x14ac:dyDescent="0.3">
      <c r="A32" s="13" t="s">
        <v>83</v>
      </c>
      <c r="B32" s="13" t="s">
        <v>81</v>
      </c>
      <c r="C32" s="13" t="s">
        <v>39</v>
      </c>
      <c r="D32" s="14"/>
      <c r="E32" s="14" t="s">
        <v>84</v>
      </c>
      <c r="F32" s="14" t="s">
        <v>85</v>
      </c>
      <c r="G32" s="14" t="s">
        <v>86</v>
      </c>
      <c r="H32" s="14" t="s">
        <v>87</v>
      </c>
      <c r="I32" s="13" t="s">
        <v>11</v>
      </c>
      <c r="J32" s="13" t="s">
        <v>52</v>
      </c>
      <c r="K32" s="13" t="s">
        <v>11</v>
      </c>
      <c r="L32" s="13" t="b">
        <v>0</v>
      </c>
      <c r="M32" s="14"/>
      <c r="N32" s="14">
        <f t="shared" si="2"/>
        <v>25</v>
      </c>
      <c r="O32" s="14" t="s">
        <v>22</v>
      </c>
      <c r="P32" s="14" t="s">
        <v>22</v>
      </c>
      <c r="Q32" s="14"/>
      <c r="R32" s="14"/>
      <c r="S32" s="14"/>
      <c r="T32" s="14"/>
      <c r="U32" s="14"/>
      <c r="V32" s="14"/>
    </row>
    <row r="33" spans="1:22" x14ac:dyDescent="0.3">
      <c r="A33" s="15" t="s">
        <v>88</v>
      </c>
      <c r="B33" s="15" t="s">
        <v>81</v>
      </c>
      <c r="C33" s="15" t="s">
        <v>39</v>
      </c>
      <c r="D33" s="16"/>
      <c r="E33" s="16" t="s">
        <v>89</v>
      </c>
      <c r="F33" s="16" t="s">
        <v>90</v>
      </c>
      <c r="G33" s="16" t="s">
        <v>91</v>
      </c>
      <c r="H33" s="16" t="s">
        <v>92</v>
      </c>
      <c r="I33" s="15" t="s">
        <v>11</v>
      </c>
      <c r="J33" s="15" t="s">
        <v>52</v>
      </c>
      <c r="K33" s="15" t="s">
        <v>11</v>
      </c>
      <c r="L33" s="15" t="b">
        <v>0</v>
      </c>
      <c r="M33" s="16"/>
      <c r="N33" s="16">
        <f t="shared" si="2"/>
        <v>26</v>
      </c>
      <c r="O33" s="16" t="s">
        <v>22</v>
      </c>
      <c r="P33" s="16" t="s">
        <v>22</v>
      </c>
      <c r="Q33" s="16"/>
      <c r="R33" s="16"/>
      <c r="S33" s="16"/>
      <c r="T33" s="16"/>
      <c r="U33" s="16"/>
      <c r="V33" s="16"/>
    </row>
    <row r="34" spans="1:22" x14ac:dyDescent="0.3">
      <c r="A34" s="11" t="s">
        <v>99</v>
      </c>
      <c r="B34" s="11" t="s">
        <v>81</v>
      </c>
      <c r="C34" s="11" t="s">
        <v>39</v>
      </c>
      <c r="D34" s="10"/>
      <c r="E34" s="10" t="s">
        <v>93</v>
      </c>
      <c r="F34" s="10" t="s">
        <v>94</v>
      </c>
      <c r="G34" s="10" t="s">
        <v>95</v>
      </c>
      <c r="H34" s="10" t="s">
        <v>96</v>
      </c>
      <c r="I34" s="11" t="s">
        <v>11</v>
      </c>
      <c r="J34" s="11" t="s">
        <v>52</v>
      </c>
      <c r="K34" s="11" t="s">
        <v>11</v>
      </c>
      <c r="L34" s="11" t="b">
        <v>0</v>
      </c>
      <c r="M34" s="10"/>
      <c r="N34" s="10">
        <f t="shared" si="2"/>
        <v>27</v>
      </c>
      <c r="O34" s="10" t="s">
        <v>22</v>
      </c>
      <c r="P34" s="10" t="s">
        <v>22</v>
      </c>
      <c r="Q34" s="10"/>
      <c r="R34" s="10"/>
      <c r="S34" s="10"/>
      <c r="T34" s="10"/>
      <c r="U34" s="10"/>
      <c r="V34" s="10"/>
    </row>
    <row r="35" spans="1:22" x14ac:dyDescent="0.3">
      <c r="A35" s="17" t="s">
        <v>100</v>
      </c>
      <c r="B35" s="17" t="s">
        <v>81</v>
      </c>
      <c r="C35" s="17" t="s">
        <v>39</v>
      </c>
      <c r="D35" s="18"/>
      <c r="E35" s="18" t="s">
        <v>97</v>
      </c>
      <c r="F35" s="18" t="s">
        <v>98</v>
      </c>
      <c r="G35" s="18" t="s">
        <v>11</v>
      </c>
      <c r="H35" s="18" t="s">
        <v>11</v>
      </c>
      <c r="I35" s="17" t="s">
        <v>11</v>
      </c>
      <c r="J35" s="17" t="s">
        <v>52</v>
      </c>
      <c r="K35" s="17" t="s">
        <v>11</v>
      </c>
      <c r="L35" s="17" t="b">
        <v>0</v>
      </c>
      <c r="M35" s="18"/>
      <c r="N35" s="18">
        <f t="shared" si="2"/>
        <v>28</v>
      </c>
      <c r="O35" s="18" t="s">
        <v>22</v>
      </c>
      <c r="P35" s="18" t="s">
        <v>22</v>
      </c>
      <c r="Q35" s="18"/>
      <c r="R35" s="18"/>
      <c r="S35" s="18"/>
      <c r="T35" s="18"/>
      <c r="U35" s="18"/>
      <c r="V35" s="18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2026-02-24T06:36:44Z</dcterms:created>
  <dcterms:modified xsi:type="dcterms:W3CDTF">2026-05-20T06:43:45Z</dcterms:modified>
</cp:coreProperties>
</file>