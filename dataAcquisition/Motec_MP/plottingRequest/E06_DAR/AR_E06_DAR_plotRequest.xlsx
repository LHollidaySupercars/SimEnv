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imEnv\dataAcquisition\Motec_MP\plottingRequest\E08_PER\"/>
    </mc:Choice>
  </mc:AlternateContent>
  <xr:revisionPtr revIDLastSave="0" documentId="13_ncr:1_{4E342C30-470C-483B-98D1-7DB3F5947811}" xr6:coauthVersionLast="47" xr6:coauthVersionMax="47" xr10:uidLastSave="{00000000-0000-0000-0000-000000000000}"/>
  <bookViews>
    <workbookView xWindow="-120" yWindow="-120" windowWidth="38640" windowHeight="23520" xr2:uid="{98CBB8D2-373D-4831-8E1A-176399598E12}"/>
  </bookViews>
  <sheets>
    <sheet name="plotting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1" l="1"/>
  <c r="N4" i="1" s="1"/>
  <c r="N5" i="1" s="1"/>
  <c r="N6" i="1" s="1"/>
  <c r="N7" i="1" s="1"/>
  <c r="N8" i="1" s="1"/>
  <c r="N9" i="1" s="1"/>
  <c r="N10" i="1" s="1"/>
  <c r="N11" i="1" s="1"/>
  <c r="N12" i="1" s="1"/>
  <c r="N13" i="1" s="1"/>
  <c r="N14" i="1" s="1"/>
</calcChain>
</file>

<file path=xl/sharedStrings.xml><?xml version="1.0" encoding="utf-8"?>
<sst xmlns="http://schemas.openxmlformats.org/spreadsheetml/2006/main" count="228" uniqueCount="109">
  <si>
    <t>mathFunction</t>
  </si>
  <si>
    <t>xAxis</t>
  </si>
  <si>
    <t>yAxis1</t>
  </si>
  <si>
    <t>yAxis2</t>
  </si>
  <si>
    <t>yAxis3</t>
  </si>
  <si>
    <t>yAxis4</t>
  </si>
  <si>
    <t>plotName</t>
  </si>
  <si>
    <t>differentiator</t>
  </si>
  <si>
    <t>none</t>
  </si>
  <si>
    <t>plotType</t>
  </si>
  <si>
    <t>colours</t>
  </si>
  <si>
    <t>useSecondary</t>
  </si>
  <si>
    <t>plotFilter</t>
  </si>
  <si>
    <t>zAxis</t>
  </si>
  <si>
    <t>figure</t>
  </si>
  <si>
    <t>plotOrganization</t>
  </si>
  <si>
    <t>plotPos</t>
  </si>
  <si>
    <t>[1, 1]</t>
  </si>
  <si>
    <t>mean non zero</t>
  </si>
  <si>
    <t>xLim</t>
  </si>
  <si>
    <t>yLim</t>
  </si>
  <si>
    <t>outliers</t>
  </si>
  <si>
    <t>outlierMethod</t>
  </si>
  <si>
    <t>outlierThreshold</t>
  </si>
  <si>
    <t>alignChannel</t>
  </si>
  <si>
    <t>alignWindow</t>
  </si>
  <si>
    <t>alignMethod</t>
  </si>
  <si>
    <t>alightMaxOffset</t>
  </si>
  <si>
    <t>notes</t>
  </si>
  <si>
    <t>Lap Distance</t>
  </si>
  <si>
    <t>manufacturer</t>
  </si>
  <si>
    <t>C1_Damper Pos FL</t>
  </si>
  <si>
    <t>[2, 1]</t>
  </si>
  <si>
    <t>[3, 1]</t>
  </si>
  <si>
    <t>peaks</t>
  </si>
  <si>
    <t>outlierScope</t>
  </si>
  <si>
    <t>pptxTitle</t>
  </si>
  <si>
    <t>drv=MOS,WOO,HEI,mfr=Toyota</t>
  </si>
  <si>
    <t>drv=DEP,BAT,OJE,mfr=Chevrolet</t>
  </si>
  <si>
    <t>timeseries</t>
  </si>
  <si>
    <t>phase_profile</t>
  </si>
  <si>
    <t>{'Braking', 'Entry', 'Mid-Corner', 'Exit'}</t>
  </si>
  <si>
    <t>{'Low Speed \n &lt;80km/h', 'Mid Speed \n 80 - 160 km/h', 'High Speed \n &gt; 160 km/h', 'Parity Speed \n 220 - 240 km/h'}</t>
  </si>
  <si>
    <t>{ 'Entry', 'Mid-Corner','', ''}</t>
  </si>
  <si>
    <t>lap_type_filter</t>
  </si>
  <si>
    <t>Total Down Force</t>
  </si>
  <si>
    <t>Time Series Total Cz</t>
  </si>
  <si>
    <t>Front Ride Height</t>
  </si>
  <si>
    <t>Front_Ride_Height_Corr</t>
  </si>
  <si>
    <t>Rear  Ride Height</t>
  </si>
  <si>
    <t>Rear_Ride_Height_Corr</t>
  </si>
  <si>
    <t>Clz_Entry_Gate_Kin</t>
  </si>
  <si>
    <t>Clz_Mid_Gate_Kin</t>
  </si>
  <si>
    <t>Clz_Exit_Gate_Kin</t>
  </si>
  <si>
    <t>Low_Speed_Cx_Kin</t>
  </si>
  <si>
    <t>Mid_Speed_Cx_Kin</t>
  </si>
  <si>
    <t>High_Speed_Cx_Kin</t>
  </si>
  <si>
    <t>Parity_Speed_Cx_Kin</t>
  </si>
  <si>
    <t>Abf_Braking_Kin</t>
  </si>
  <si>
    <t>Abf_Entry_Kin</t>
  </si>
  <si>
    <t>Abf_Mid_Kin</t>
  </si>
  <si>
    <t>Abf_Exit_Kin</t>
  </si>
  <si>
    <t>Eff_Braking_Kin</t>
  </si>
  <si>
    <t>Eff_Entry_Kin</t>
  </si>
  <si>
    <t>Eff_Mid_Kin</t>
  </si>
  <si>
    <t>Eff_Exit_Kin</t>
  </si>
  <si>
    <t>Cy_Entry_Kin</t>
  </si>
  <si>
    <t>Cy_Mid_Kin</t>
  </si>
  <si>
    <t>CLz_MEAS</t>
  </si>
  <si>
    <t>Cz Kin Gated Aero Plot</t>
  </si>
  <si>
    <t>Cx Kin Binned Cx Gates</t>
  </si>
  <si>
    <t>Balance % Front Kin</t>
  </si>
  <si>
    <t>Aero Efficiency Kin</t>
  </si>
  <si>
    <t>Clz_Entry_Gate_Meas</t>
  </si>
  <si>
    <t>Clz_Mid_Gate_Meas</t>
  </si>
  <si>
    <t>Clz_Exit_Gate_Meas</t>
  </si>
  <si>
    <t>Low_Speed_Cx_Meas</t>
  </si>
  <si>
    <t>Mid_Speed_Cx_Meas</t>
  </si>
  <si>
    <t>High_Speed_Cx_Meas</t>
  </si>
  <si>
    <t>Parity_Speed_Cx_Meas</t>
  </si>
  <si>
    <t>Abf_Braking_Meas</t>
  </si>
  <si>
    <t>Abf_Entry_Meas</t>
  </si>
  <si>
    <t>Abf_Mid_Meas</t>
  </si>
  <si>
    <t>Abf_Exit_Meas</t>
  </si>
  <si>
    <t>Eff_Braking_Meas</t>
  </si>
  <si>
    <t>Eff_Entry_Meas</t>
  </si>
  <si>
    <t>Eff_Mid_Meas</t>
  </si>
  <si>
    <t>Eff_Exit_Meas</t>
  </si>
  <si>
    <t>Cy_Entry_Meas</t>
  </si>
  <si>
    <t>Cy_Mid_Meas</t>
  </si>
  <si>
    <t>Cz Meas Gated Aero Plot</t>
  </si>
  <si>
    <t>Cx Meas Binned Cx Gates</t>
  </si>
  <si>
    <t>Balance % Front Meas</t>
  </si>
  <si>
    <t>Aero Efficiency Meas</t>
  </si>
  <si>
    <t>Side Force Kin</t>
  </si>
  <si>
    <t>Side Force Meas</t>
  </si>
  <si>
    <t>[2090, 2150]</t>
  </si>
  <si>
    <t>Cz Total Measured Gated Aero Plot</t>
  </si>
  <si>
    <t>Cz Total Kinematic Gated Aero Plot</t>
  </si>
  <si>
    <t>Cx Kinematic Binned Cx Gates</t>
  </si>
  <si>
    <t>Cx Measured Binned Cx Gates</t>
  </si>
  <si>
    <t>Balance % Front Kinematic</t>
  </si>
  <si>
    <t>Balance % Front Measured</t>
  </si>
  <si>
    <t>Aero Efficiency Kinematic</t>
  </si>
  <si>
    <t>Aero Efficiency Measured</t>
  </si>
  <si>
    <t>Side Force Kinematic</t>
  </si>
  <si>
    <t>Side Force Measured</t>
  </si>
  <si>
    <t>Clz_Braking_Gate_Kin</t>
  </si>
  <si>
    <t>Clz_Braking_Gate_Meas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</si>
</sst>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vertical="top"/>
    </xf>
    <xf numFmtId="0" fontId="0" fillId="0" borderId="0" xfId="0" applyAlignment="1">
      <alignment vertical="top"/>
    </xf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6" borderId="0" xfId="0" applyFill="1" applyAlignment="1">
      <alignment vertical="center" wrapText="1"/>
    </xf>
    <xf numFmtId="0" fontId="0" fillId="7" borderId="0" xfId="0" applyFill="1" applyAlignment="1">
      <alignment vertical="center" wrapText="1"/>
    </xf>
    <xf numFmtId="0" fontId="0" fillId="4" borderId="0" xfId="0" applyFill="1" applyAlignment="1">
      <alignment vertical="center" wrapText="1"/>
    </xf>
    <xf numFmtId="0" fontId="0" fillId="5" borderId="0" xfId="0" applyFill="1" applyAlignment="1">
      <alignment vertical="center" wrapText="1"/>
    </xf>
    <xf numFmtId="0" fontId="0" fillId="8" borderId="0" xfId="0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B1EEC-F5CB-4522-AB96-C6BC3CAD72FB}">
  <dimension ref="A1:AC14"/>
  <sheetViews>
    <sheetView tabSelected="1" zoomScale="117" zoomScaleNormal="70" workbookViewId="0">
      <selection activeCell="C3" sqref="C3"/>
    </sheetView>
  </sheetViews>
  <sheetFormatPr defaultColWidth="8.7109375" defaultRowHeight="15" x14ac:dyDescent="0.25"/>
  <cols>
    <col min="1" max="1" width="34.28515625" bestFit="1" customWidth="1"/>
    <col min="2" max="2" width="15" bestFit="1" customWidth="1"/>
    <col min="3" max="3" width="21.140625" customWidth="1"/>
    <col min="4" max="4" width="36" customWidth="1"/>
    <col min="5" max="5" width="27.140625" bestFit="1" customWidth="1"/>
    <col min="6" max="6" width="20.28515625" bestFit="1" customWidth="1"/>
    <col min="7" max="7" width="17.5703125" bestFit="1" customWidth="1"/>
    <col min="8" max="8" width="22.28515625" customWidth="1"/>
    <col min="9" max="9" width="20.28515625" customWidth="1"/>
    <col min="10" max="10" width="17.140625" customWidth="1"/>
    <col min="11" max="11" width="18.140625" customWidth="1"/>
    <col min="12" max="12" width="20.140625" customWidth="1"/>
    <col min="13" max="13" width="44.42578125" bestFit="1" customWidth="1"/>
    <col min="15" max="15" width="15.42578125" bestFit="1" customWidth="1"/>
    <col min="19" max="19" width="17.28515625" customWidth="1"/>
    <col min="20" max="20" width="10" bestFit="1" customWidth="1"/>
    <col min="21" max="21" width="17.28515625" bestFit="1" customWidth="1"/>
    <col min="22" max="22" width="20.140625" bestFit="1" customWidth="1"/>
    <col min="23" max="24" width="16.7109375" bestFit="1" customWidth="1"/>
    <col min="25" max="25" width="15.42578125" bestFit="1" customWidth="1"/>
    <col min="26" max="26" width="19.42578125" bestFit="1" customWidth="1"/>
    <col min="27" max="27" width="28.140625" bestFit="1" customWidth="1"/>
    <col min="29" max="29" width="25.140625" bestFit="1" customWidth="1"/>
  </cols>
  <sheetData>
    <row r="1" spans="1:29" s="3" customFormat="1" x14ac:dyDescent="0.25">
      <c r="A1" s="1" t="s">
        <v>6</v>
      </c>
      <c r="B1" s="1" t="s">
        <v>9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13</v>
      </c>
      <c r="J1" s="1" t="s">
        <v>10</v>
      </c>
      <c r="K1" s="1" t="s">
        <v>7</v>
      </c>
      <c r="L1" s="1" t="s">
        <v>11</v>
      </c>
      <c r="M1" s="1" t="s">
        <v>12</v>
      </c>
      <c r="N1" s="2" t="s">
        <v>14</v>
      </c>
      <c r="O1" s="2" t="s">
        <v>15</v>
      </c>
      <c r="P1" s="2" t="s">
        <v>16</v>
      </c>
      <c r="Q1" s="4" t="s">
        <v>19</v>
      </c>
      <c r="R1" s="4" t="s">
        <v>20</v>
      </c>
      <c r="S1" s="4" t="s">
        <v>44</v>
      </c>
      <c r="T1" s="4" t="s">
        <v>21</v>
      </c>
      <c r="U1" s="4" t="s">
        <v>22</v>
      </c>
      <c r="V1" s="4" t="s">
        <v>23</v>
      </c>
      <c r="W1" s="4" t="s">
        <v>35</v>
      </c>
      <c r="X1" s="4" t="s">
        <v>24</v>
      </c>
      <c r="Y1" s="4" t="s">
        <v>25</v>
      </c>
      <c r="Z1" s="4" t="s">
        <v>26</v>
      </c>
      <c r="AA1" s="4" t="s">
        <v>27</v>
      </c>
      <c r="AB1" s="4" t="s">
        <v>28</v>
      </c>
      <c r="AC1" s="4" t="s">
        <v>36</v>
      </c>
    </row>
    <row r="2" spans="1:29" ht="15" customHeight="1" x14ac:dyDescent="0.25">
      <c r="A2" s="7" t="s">
        <v>69</v>
      </c>
      <c r="B2" s="7" t="s">
        <v>40</v>
      </c>
      <c r="C2" s="7" t="s">
        <v>18</v>
      </c>
      <c r="D2" s="7" t="s">
        <v>41</v>
      </c>
      <c r="E2" s="7" t="s">
        <v>107</v>
      </c>
      <c r="F2" s="7" t="s">
        <v>51</v>
      </c>
      <c r="G2" s="7" t="s">
        <v>52</v>
      </c>
      <c r="H2" s="7" t="s">
        <v>53</v>
      </c>
      <c r="I2" s="7" t="s">
        <v>8</v>
      </c>
      <c r="J2" s="7" t="s">
        <v>30</v>
      </c>
      <c r="K2" s="7" t="s">
        <v>8</v>
      </c>
      <c r="L2" s="7" t="b">
        <v>0</v>
      </c>
      <c r="M2" s="7"/>
      <c r="N2" s="7">
        <v>1</v>
      </c>
      <c r="O2" s="7" t="s">
        <v>17</v>
      </c>
      <c r="P2" s="7" t="s">
        <v>17</v>
      </c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 t="s">
        <v>98</v>
      </c>
    </row>
    <row r="3" spans="1:29" ht="15" customHeight="1" x14ac:dyDescent="0.25">
      <c r="A3" s="7" t="s">
        <v>90</v>
      </c>
      <c r="B3" s="7" t="s">
        <v>40</v>
      </c>
      <c r="C3" s="7" t="s">
        <v>18</v>
      </c>
      <c r="D3" s="7" t="s">
        <v>41</v>
      </c>
      <c r="E3" s="7" t="s">
        <v>108</v>
      </c>
      <c r="F3" s="7" t="s">
        <v>73</v>
      </c>
      <c r="G3" s="7" t="s">
        <v>74</v>
      </c>
      <c r="H3" s="7" t="s">
        <v>75</v>
      </c>
      <c r="I3" s="7" t="s">
        <v>8</v>
      </c>
      <c r="J3" s="7" t="s">
        <v>30</v>
      </c>
      <c r="K3" s="7" t="s">
        <v>8</v>
      </c>
      <c r="L3" s="7" t="b">
        <v>0</v>
      </c>
      <c r="M3" s="7"/>
      <c r="N3" s="7">
        <f>IF(TRIM(P2)=TRIM(O2), N2+1, N2)</f>
        <v>2</v>
      </c>
      <c r="O3" s="7" t="s">
        <v>17</v>
      </c>
      <c r="P3" s="7" t="s">
        <v>17</v>
      </c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 t="s">
        <v>97</v>
      </c>
    </row>
    <row r="4" spans="1:29" ht="15" customHeight="1" x14ac:dyDescent="0.25">
      <c r="A4" s="8" t="s">
        <v>70</v>
      </c>
      <c r="B4" s="8" t="s">
        <v>40</v>
      </c>
      <c r="C4" s="8" t="s">
        <v>18</v>
      </c>
      <c r="D4" s="8" t="s">
        <v>42</v>
      </c>
      <c r="E4" s="8" t="s">
        <v>54</v>
      </c>
      <c r="F4" s="8" t="s">
        <v>55</v>
      </c>
      <c r="G4" s="8" t="s">
        <v>56</v>
      </c>
      <c r="H4" s="8" t="s">
        <v>57</v>
      </c>
      <c r="I4" s="8" t="s">
        <v>8</v>
      </c>
      <c r="J4" s="8" t="s">
        <v>30</v>
      </c>
      <c r="K4" s="8" t="s">
        <v>8</v>
      </c>
      <c r="L4" s="8" t="b">
        <v>0</v>
      </c>
      <c r="M4" s="8"/>
      <c r="N4" s="8">
        <f t="shared" ref="N4:N5" si="0">IF(TRIM(P3)=TRIM(O3), N3+1, N3)</f>
        <v>3</v>
      </c>
      <c r="O4" s="8" t="s">
        <v>17</v>
      </c>
      <c r="P4" s="8" t="s">
        <v>17</v>
      </c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 t="s">
        <v>99</v>
      </c>
    </row>
    <row r="5" spans="1:29" ht="15" customHeight="1" x14ac:dyDescent="0.25">
      <c r="A5" s="8" t="s">
        <v>91</v>
      </c>
      <c r="B5" s="8" t="s">
        <v>40</v>
      </c>
      <c r="C5" s="8" t="s">
        <v>18</v>
      </c>
      <c r="D5" s="8" t="s">
        <v>42</v>
      </c>
      <c r="E5" s="8" t="s">
        <v>76</v>
      </c>
      <c r="F5" s="8" t="s">
        <v>77</v>
      </c>
      <c r="G5" s="8" t="s">
        <v>78</v>
      </c>
      <c r="H5" s="8" t="s">
        <v>79</v>
      </c>
      <c r="I5" s="8" t="s">
        <v>8</v>
      </c>
      <c r="J5" s="8" t="s">
        <v>30</v>
      </c>
      <c r="K5" s="8" t="s">
        <v>8</v>
      </c>
      <c r="L5" s="8" t="b">
        <v>0</v>
      </c>
      <c r="M5" s="8"/>
      <c r="N5" s="8">
        <f t="shared" si="0"/>
        <v>4</v>
      </c>
      <c r="O5" s="8" t="s">
        <v>17</v>
      </c>
      <c r="P5" s="8" t="s">
        <v>17</v>
      </c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 t="s">
        <v>100</v>
      </c>
    </row>
    <row r="6" spans="1:29" ht="15" customHeight="1" x14ac:dyDescent="0.25">
      <c r="A6" s="9" t="s">
        <v>71</v>
      </c>
      <c r="B6" s="9" t="s">
        <v>40</v>
      </c>
      <c r="C6" s="9" t="s">
        <v>18</v>
      </c>
      <c r="D6" s="9" t="s">
        <v>41</v>
      </c>
      <c r="E6" s="9" t="s">
        <v>58</v>
      </c>
      <c r="F6" s="9" t="s">
        <v>59</v>
      </c>
      <c r="G6" s="9" t="s">
        <v>60</v>
      </c>
      <c r="H6" s="9" t="s">
        <v>61</v>
      </c>
      <c r="I6" s="9" t="s">
        <v>8</v>
      </c>
      <c r="J6" s="9" t="s">
        <v>30</v>
      </c>
      <c r="K6" s="9" t="s">
        <v>8</v>
      </c>
      <c r="L6" s="9" t="b">
        <v>0</v>
      </c>
      <c r="M6" s="9"/>
      <c r="N6" s="9">
        <f>IF(TRIM(P5)=TRIM(O5), N5+1, N5)</f>
        <v>5</v>
      </c>
      <c r="O6" s="9" t="s">
        <v>17</v>
      </c>
      <c r="P6" s="9" t="s">
        <v>17</v>
      </c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 t="s">
        <v>101</v>
      </c>
    </row>
    <row r="7" spans="1:29" ht="15" customHeight="1" x14ac:dyDescent="0.25">
      <c r="A7" s="9" t="s">
        <v>92</v>
      </c>
      <c r="B7" s="9" t="s">
        <v>40</v>
      </c>
      <c r="C7" s="9" t="s">
        <v>18</v>
      </c>
      <c r="D7" s="9" t="s">
        <v>41</v>
      </c>
      <c r="E7" s="9" t="s">
        <v>80</v>
      </c>
      <c r="F7" s="9" t="s">
        <v>81</v>
      </c>
      <c r="G7" s="9" t="s">
        <v>82</v>
      </c>
      <c r="H7" s="9" t="s">
        <v>83</v>
      </c>
      <c r="I7" s="9" t="s">
        <v>8</v>
      </c>
      <c r="J7" s="9" t="s">
        <v>30</v>
      </c>
      <c r="K7" s="9" t="s">
        <v>8</v>
      </c>
      <c r="L7" s="9" t="b">
        <v>0</v>
      </c>
      <c r="M7" s="9"/>
      <c r="N7" s="9">
        <f t="shared" ref="N7:N14" si="1">IF(TRIM(P6)=TRIM(O6), N6+1, N6)</f>
        <v>6</v>
      </c>
      <c r="O7" s="9" t="s">
        <v>17</v>
      </c>
      <c r="P7" s="9" t="s">
        <v>17</v>
      </c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 t="s">
        <v>102</v>
      </c>
    </row>
    <row r="8" spans="1:29" ht="15" customHeight="1" x14ac:dyDescent="0.25">
      <c r="A8" s="10" t="s">
        <v>72</v>
      </c>
      <c r="B8" s="10" t="s">
        <v>40</v>
      </c>
      <c r="C8" s="10" t="s">
        <v>18</v>
      </c>
      <c r="D8" s="10" t="s">
        <v>41</v>
      </c>
      <c r="E8" s="10" t="s">
        <v>62</v>
      </c>
      <c r="F8" s="10" t="s">
        <v>63</v>
      </c>
      <c r="G8" s="10" t="s">
        <v>64</v>
      </c>
      <c r="H8" s="10" t="s">
        <v>65</v>
      </c>
      <c r="I8" s="10" t="s">
        <v>8</v>
      </c>
      <c r="J8" s="10" t="s">
        <v>30</v>
      </c>
      <c r="K8" s="10" t="s">
        <v>8</v>
      </c>
      <c r="L8" s="10" t="b">
        <v>0</v>
      </c>
      <c r="M8" s="10"/>
      <c r="N8" s="10">
        <f t="shared" si="1"/>
        <v>7</v>
      </c>
      <c r="O8" s="10" t="s">
        <v>17</v>
      </c>
      <c r="P8" s="10" t="s">
        <v>17</v>
      </c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 t="s">
        <v>103</v>
      </c>
    </row>
    <row r="9" spans="1:29" ht="15" customHeight="1" x14ac:dyDescent="0.25">
      <c r="A9" s="10" t="s">
        <v>93</v>
      </c>
      <c r="B9" s="10" t="s">
        <v>40</v>
      </c>
      <c r="C9" s="10" t="s">
        <v>18</v>
      </c>
      <c r="D9" s="10" t="s">
        <v>41</v>
      </c>
      <c r="E9" s="10" t="s">
        <v>84</v>
      </c>
      <c r="F9" s="10" t="s">
        <v>85</v>
      </c>
      <c r="G9" s="10" t="s">
        <v>86</v>
      </c>
      <c r="H9" s="10" t="s">
        <v>87</v>
      </c>
      <c r="I9" s="10" t="s">
        <v>8</v>
      </c>
      <c r="J9" s="10" t="s">
        <v>30</v>
      </c>
      <c r="K9" s="10" t="s">
        <v>8</v>
      </c>
      <c r="L9" s="10" t="b">
        <v>0</v>
      </c>
      <c r="M9" s="10"/>
      <c r="N9" s="10">
        <f t="shared" si="1"/>
        <v>8</v>
      </c>
      <c r="O9" s="10" t="s">
        <v>17</v>
      </c>
      <c r="P9" s="10" t="s">
        <v>17</v>
      </c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 t="s">
        <v>104</v>
      </c>
    </row>
    <row r="10" spans="1:29" ht="15" customHeight="1" x14ac:dyDescent="0.25">
      <c r="A10" s="11" t="s">
        <v>94</v>
      </c>
      <c r="B10" s="11" t="s">
        <v>40</v>
      </c>
      <c r="C10" s="11" t="s">
        <v>18</v>
      </c>
      <c r="D10" s="11" t="s">
        <v>43</v>
      </c>
      <c r="E10" s="11" t="s">
        <v>66</v>
      </c>
      <c r="F10" s="11" t="s">
        <v>67</v>
      </c>
      <c r="G10" s="11" t="s">
        <v>8</v>
      </c>
      <c r="H10" s="11" t="s">
        <v>8</v>
      </c>
      <c r="I10" s="11" t="s">
        <v>8</v>
      </c>
      <c r="J10" s="11" t="s">
        <v>30</v>
      </c>
      <c r="K10" s="11" t="s">
        <v>8</v>
      </c>
      <c r="L10" s="11" t="b">
        <v>0</v>
      </c>
      <c r="M10" s="11"/>
      <c r="N10" s="11">
        <f t="shared" si="1"/>
        <v>9</v>
      </c>
      <c r="O10" s="11" t="s">
        <v>17</v>
      </c>
      <c r="P10" s="11" t="s">
        <v>17</v>
      </c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 t="s">
        <v>105</v>
      </c>
    </row>
    <row r="11" spans="1:29" ht="15" customHeight="1" x14ac:dyDescent="0.25">
      <c r="A11" s="11" t="s">
        <v>95</v>
      </c>
      <c r="B11" s="11" t="s">
        <v>40</v>
      </c>
      <c r="C11" s="11" t="s">
        <v>18</v>
      </c>
      <c r="D11" s="11" t="s">
        <v>43</v>
      </c>
      <c r="E11" s="11" t="s">
        <v>88</v>
      </c>
      <c r="F11" s="11" t="s">
        <v>89</v>
      </c>
      <c r="G11" s="11" t="s">
        <v>8</v>
      </c>
      <c r="H11" s="11" t="s">
        <v>8</v>
      </c>
      <c r="I11" s="11" t="s">
        <v>8</v>
      </c>
      <c r="J11" s="11" t="s">
        <v>30</v>
      </c>
      <c r="K11" s="11" t="s">
        <v>8</v>
      </c>
      <c r="L11" s="11" t="b">
        <v>0</v>
      </c>
      <c r="M11" s="11"/>
      <c r="N11" s="11">
        <f t="shared" si="1"/>
        <v>10</v>
      </c>
      <c r="O11" s="11" t="s">
        <v>17</v>
      </c>
      <c r="P11" s="11" t="s">
        <v>17</v>
      </c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 t="s">
        <v>106</v>
      </c>
    </row>
    <row r="12" spans="1:29" ht="15" customHeight="1" x14ac:dyDescent="0.25">
      <c r="A12" s="5" t="s">
        <v>45</v>
      </c>
      <c r="B12" s="5" t="s">
        <v>39</v>
      </c>
      <c r="C12" s="5" t="s">
        <v>8</v>
      </c>
      <c r="D12" s="5" t="s">
        <v>29</v>
      </c>
      <c r="E12" s="5" t="s">
        <v>68</v>
      </c>
      <c r="F12" s="5" t="s">
        <v>8</v>
      </c>
      <c r="G12" s="5" t="s">
        <v>8</v>
      </c>
      <c r="H12" s="5" t="s">
        <v>8</v>
      </c>
      <c r="I12" s="5" t="s">
        <v>8</v>
      </c>
      <c r="J12" s="5" t="s">
        <v>8</v>
      </c>
      <c r="K12" s="5" t="s">
        <v>8</v>
      </c>
      <c r="L12" s="5" t="b">
        <v>0</v>
      </c>
      <c r="M12" s="5"/>
      <c r="N12" s="5">
        <f t="shared" si="1"/>
        <v>11</v>
      </c>
      <c r="O12" s="5" t="s">
        <v>33</v>
      </c>
      <c r="P12" s="5" t="s">
        <v>17</v>
      </c>
      <c r="Q12" s="5"/>
      <c r="R12" s="5"/>
      <c r="S12" s="5"/>
      <c r="T12" s="5"/>
      <c r="U12" s="5"/>
      <c r="V12" s="5"/>
      <c r="W12" s="5" t="s">
        <v>31</v>
      </c>
      <c r="X12" s="5" t="s">
        <v>96</v>
      </c>
      <c r="Y12" s="5" t="s">
        <v>34</v>
      </c>
      <c r="Z12" s="5"/>
      <c r="AA12" s="5"/>
      <c r="AB12" s="5"/>
      <c r="AC12" s="5" t="s">
        <v>46</v>
      </c>
    </row>
    <row r="13" spans="1:29" ht="15" customHeight="1" x14ac:dyDescent="0.25">
      <c r="A13" s="5" t="s">
        <v>47</v>
      </c>
      <c r="B13" s="5" t="s">
        <v>39</v>
      </c>
      <c r="C13" s="5" t="s">
        <v>8</v>
      </c>
      <c r="D13" s="5" t="s">
        <v>29</v>
      </c>
      <c r="E13" s="5" t="s">
        <v>48</v>
      </c>
      <c r="F13" s="5" t="s">
        <v>8</v>
      </c>
      <c r="G13" s="5" t="s">
        <v>8</v>
      </c>
      <c r="H13" s="5" t="s">
        <v>8</v>
      </c>
      <c r="I13" s="5" t="s">
        <v>8</v>
      </c>
      <c r="J13" s="5" t="s">
        <v>8</v>
      </c>
      <c r="K13" s="5" t="s">
        <v>8</v>
      </c>
      <c r="L13" s="5" t="b">
        <v>0</v>
      </c>
      <c r="M13" s="5"/>
      <c r="N13" s="5">
        <f t="shared" si="1"/>
        <v>11</v>
      </c>
      <c r="O13" s="5" t="s">
        <v>33</v>
      </c>
      <c r="P13" s="5" t="s">
        <v>32</v>
      </c>
      <c r="Q13" s="5"/>
      <c r="R13" s="5"/>
      <c r="S13" s="5"/>
      <c r="T13" s="5"/>
      <c r="U13" s="5"/>
      <c r="V13" s="5"/>
      <c r="W13" s="5" t="s">
        <v>31</v>
      </c>
      <c r="X13" s="5" t="s">
        <v>96</v>
      </c>
      <c r="Y13" s="5" t="s">
        <v>34</v>
      </c>
      <c r="Z13" s="5"/>
      <c r="AA13" s="5"/>
      <c r="AB13" s="5"/>
      <c r="AC13" s="5" t="s">
        <v>46</v>
      </c>
    </row>
    <row r="14" spans="1:29" ht="15" customHeight="1" x14ac:dyDescent="0.25">
      <c r="A14" s="5" t="s">
        <v>49</v>
      </c>
      <c r="B14" s="5" t="s">
        <v>39</v>
      </c>
      <c r="C14" s="5" t="s">
        <v>8</v>
      </c>
      <c r="D14" s="5" t="s">
        <v>29</v>
      </c>
      <c r="E14" s="5" t="s">
        <v>50</v>
      </c>
      <c r="F14" s="5" t="s">
        <v>8</v>
      </c>
      <c r="G14" s="5" t="s">
        <v>8</v>
      </c>
      <c r="H14" s="5" t="s">
        <v>8</v>
      </c>
      <c r="I14" s="5" t="s">
        <v>8</v>
      </c>
      <c r="J14" s="5" t="s">
        <v>8</v>
      </c>
      <c r="K14" s="5" t="s">
        <v>8</v>
      </c>
      <c r="L14" s="5" t="b">
        <v>0</v>
      </c>
      <c r="M14" s="5"/>
      <c r="N14" s="5">
        <f t="shared" si="1"/>
        <v>11</v>
      </c>
      <c r="O14" s="5" t="s">
        <v>33</v>
      </c>
      <c r="P14" s="5" t="s">
        <v>33</v>
      </c>
      <c r="Q14" s="5"/>
      <c r="R14" s="5"/>
      <c r="S14" s="5"/>
      <c r="T14" s="5"/>
      <c r="U14" s="5"/>
      <c r="V14" s="5"/>
      <c r="W14" s="5" t="s">
        <v>31</v>
      </c>
      <c r="X14" s="5" t="s">
        <v>96</v>
      </c>
      <c r="Y14" s="5" t="s">
        <v>34</v>
      </c>
      <c r="Z14" s="5"/>
      <c r="AA14" s="5"/>
      <c r="AB14" s="5"/>
      <c r="AC14" s="5" t="s">
        <v>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83F2B-5507-41D2-9076-F6A98DB035D6}">
  <dimension ref="G11:G18"/>
  <sheetViews>
    <sheetView workbookViewId="0">
      <selection activeCell="G11" sqref="G11:G18"/>
    </sheetView>
  </sheetViews>
  <sheetFormatPr defaultColWidth="8.7109375" defaultRowHeight="15" x14ac:dyDescent="0.25"/>
  <sheetData>
    <row r="11" spans="7:7" x14ac:dyDescent="0.25">
      <c r="G11" s="5" t="s">
        <v>37</v>
      </c>
    </row>
    <row r="12" spans="7:7" x14ac:dyDescent="0.25">
      <c r="G12" s="5" t="s">
        <v>37</v>
      </c>
    </row>
    <row r="13" spans="7:7" x14ac:dyDescent="0.25">
      <c r="G13" s="5" t="s">
        <v>37</v>
      </c>
    </row>
    <row r="14" spans="7:7" x14ac:dyDescent="0.25">
      <c r="G14" s="5" t="s">
        <v>37</v>
      </c>
    </row>
    <row r="15" spans="7:7" x14ac:dyDescent="0.25">
      <c r="G15" s="6" t="s">
        <v>38</v>
      </c>
    </row>
    <row r="16" spans="7:7" x14ac:dyDescent="0.25">
      <c r="G16" s="6" t="s">
        <v>38</v>
      </c>
    </row>
    <row r="17" spans="7:7" x14ac:dyDescent="0.25">
      <c r="G17" s="6" t="s">
        <v>38</v>
      </c>
    </row>
    <row r="18" spans="7:7" x14ac:dyDescent="0.25">
      <c r="G18" s="6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plotting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Lachlan Holliday</dc:creator>
  <cp:lastModifiedBy>Lachlan Holliday</cp:lastModifiedBy>
  <dcterms:created xsi:type="dcterms:W3CDTF">2026-02-24T06:36:44Z</dcterms:created>
  <dcterms:modified xsi:type="dcterms:W3CDTF">2026-08-01T11:30:54Z</dcterms:modified>
</cp:coreProperties>
</file>