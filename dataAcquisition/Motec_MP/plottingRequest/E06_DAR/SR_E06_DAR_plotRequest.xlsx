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imEnv\dataAcquisition\Motec_MP\plottingRequest\E06_DAR\"/>
    </mc:Choice>
  </mc:AlternateContent>
  <xr:revisionPtr revIDLastSave="0" documentId="13_ncr:1_{8DA7CAFC-45EA-475D-BA77-A9CF48933B6C}" xr6:coauthVersionLast="47" xr6:coauthVersionMax="47" xr10:uidLastSave="{00000000-0000-0000-0000-000000000000}"/>
  <bookViews>
    <workbookView xWindow="-120" yWindow="-120" windowWidth="38640" windowHeight="23520" xr2:uid="{98CBB8D2-373D-4831-8E1A-176399598E12}"/>
  </bookViews>
  <sheets>
    <sheet name="plott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105" i="1" l="1"/>
  <c r="AC106" i="1" s="1"/>
  <c r="AC98" i="1"/>
  <c r="AC99" i="1"/>
  <c r="AC97" i="1"/>
  <c r="AC56" i="1"/>
  <c r="AC58" i="1"/>
  <c r="AC59" i="1" s="1"/>
  <c r="AC60" i="1" s="1"/>
  <c r="AC62" i="1"/>
  <c r="AC63" i="1" s="1"/>
  <c r="AC64" i="1" s="1"/>
  <c r="AC66" i="1"/>
  <c r="AC68" i="1"/>
  <c r="AC69" i="1" s="1"/>
  <c r="AC70" i="1" s="1"/>
  <c r="AC72" i="1"/>
  <c r="AC73" i="1" s="1"/>
  <c r="AC74" i="1" s="1"/>
  <c r="AC76" i="1"/>
  <c r="AC78" i="1"/>
  <c r="AC79" i="1" s="1"/>
  <c r="AC80" i="1" s="1"/>
  <c r="AC82" i="1"/>
  <c r="AC83" i="1" s="1"/>
  <c r="AC84" i="1" s="1"/>
  <c r="AC86" i="1"/>
  <c r="AC87" i="1" s="1"/>
  <c r="AC89" i="1"/>
  <c r="AC91" i="1"/>
  <c r="AC92" i="1" s="1"/>
  <c r="AC94" i="1"/>
  <c r="AC95" i="1" s="1"/>
  <c r="AC19" i="1"/>
  <c r="AC21" i="1" s="1"/>
  <c r="AC22" i="1" s="1"/>
  <c r="AC23" i="1" s="1"/>
  <c r="AC25" i="1" s="1"/>
  <c r="AC26" i="1" s="1"/>
  <c r="AC27" i="1" s="1"/>
  <c r="AC29" i="1" s="1"/>
  <c r="AC31" i="1" s="1"/>
  <c r="AC32" i="1" s="1"/>
  <c r="AC33" i="1" s="1"/>
  <c r="AC35" i="1" s="1"/>
  <c r="AC36" i="1" s="1"/>
  <c r="AC37" i="1" s="1"/>
  <c r="AC39" i="1" s="1"/>
  <c r="AC40" i="1" s="1"/>
  <c r="AC42" i="1" s="1"/>
  <c r="AC44" i="1" s="1"/>
  <c r="AC45" i="1" s="1"/>
  <c r="AC47" i="1" s="1"/>
  <c r="AC48" i="1" s="1"/>
  <c r="AC15" i="1"/>
  <c r="AC16" i="1" s="1"/>
  <c r="AC17" i="1" s="1"/>
  <c r="AC11" i="1"/>
  <c r="AC12" i="1" s="1"/>
  <c r="AC13" i="1" s="1"/>
  <c r="AC9" i="1"/>
  <c r="N3" i="1"/>
  <c r="N4" i="1" s="1"/>
  <c r="N5" i="1" s="1"/>
  <c r="N6" i="1" s="1"/>
  <c r="N7" i="1" s="1"/>
  <c r="N8" i="1" s="1"/>
  <c r="N9" i="1" s="1"/>
  <c r="N10" i="1" s="1"/>
  <c r="N11" i="1" s="1"/>
  <c r="N12" i="1" s="1"/>
  <c r="N13" i="1" s="1"/>
  <c r="N14" i="1" s="1"/>
  <c r="N15" i="1" s="1"/>
  <c r="N16" i="1" s="1"/>
  <c r="N17" i="1" s="1"/>
  <c r="N18" i="1" s="1"/>
  <c r="N19" i="1" s="1"/>
  <c r="N20" i="1" l="1"/>
  <c r="N21" i="1"/>
  <c r="N22" i="1" s="1"/>
  <c r="N23" i="1" s="1"/>
  <c r="N24" i="1" s="1"/>
  <c r="N25" i="1" s="1"/>
  <c r="N26" i="1" s="1"/>
  <c r="N27" i="1" s="1"/>
  <c r="N28" i="1" s="1"/>
  <c r="N29" i="1" s="1"/>
  <c r="N30" i="1" s="1"/>
  <c r="N31" i="1" s="1"/>
  <c r="N32" i="1" s="1"/>
  <c r="N33" i="1" s="1"/>
  <c r="N34" i="1" s="1"/>
  <c r="N35" i="1" s="1"/>
  <c r="N36" i="1" s="1"/>
  <c r="N37" i="1" s="1"/>
  <c r="N38" i="1" s="1"/>
  <c r="N39" i="1" s="1"/>
  <c r="N40" i="1" s="1"/>
  <c r="N41" i="1" s="1"/>
  <c r="N42" i="1" s="1"/>
  <c r="N43" i="1" s="1"/>
  <c r="N44" i="1" s="1"/>
  <c r="N45" i="1" s="1"/>
  <c r="N46" i="1" s="1"/>
  <c r="N47" i="1" s="1"/>
  <c r="N48" i="1" s="1"/>
  <c r="N49" i="1" s="1"/>
  <c r="N50" i="1" s="1"/>
  <c r="N51" i="1" s="1"/>
  <c r="N52" i="1" s="1"/>
  <c r="N53" i="1" s="1"/>
  <c r="N54" i="1" s="1"/>
  <c r="N55" i="1" s="1"/>
  <c r="N56" i="1" s="1"/>
  <c r="N57" i="1" s="1"/>
  <c r="N58" i="1" s="1"/>
  <c r="N59" i="1" s="1"/>
  <c r="N60" i="1" s="1"/>
  <c r="N61" i="1" s="1"/>
  <c r="N62" i="1" s="1"/>
  <c r="N63" i="1" s="1"/>
  <c r="N64" i="1" s="1"/>
  <c r="N65" i="1" s="1"/>
  <c r="N66" i="1" s="1"/>
  <c r="N67" i="1" s="1"/>
  <c r="N68" i="1" s="1"/>
  <c r="N69" i="1" s="1"/>
  <c r="N70" i="1" s="1"/>
  <c r="N71" i="1" s="1"/>
  <c r="N72" i="1" s="1"/>
  <c r="N73" i="1" s="1"/>
  <c r="N74" i="1" s="1"/>
  <c r="N75" i="1" s="1"/>
  <c r="N76" i="1" s="1"/>
  <c r="N77" i="1" s="1"/>
  <c r="N78" i="1" s="1"/>
  <c r="N79" i="1" s="1"/>
  <c r="N80" i="1" s="1"/>
  <c r="N81" i="1" s="1"/>
  <c r="N82" i="1" s="1"/>
  <c r="N83" i="1" s="1"/>
  <c r="N84" i="1" s="1"/>
  <c r="N85" i="1" s="1"/>
  <c r="N86" i="1" s="1"/>
  <c r="N87" i="1" s="1"/>
  <c r="N88" i="1" s="1"/>
  <c r="N89" i="1" s="1"/>
  <c r="N90" i="1" s="1"/>
  <c r="N91" i="1" s="1"/>
  <c r="N92" i="1" s="1"/>
  <c r="N93" i="1" s="1"/>
  <c r="N94" i="1" s="1"/>
  <c r="N95" i="1" s="1"/>
  <c r="N96" i="1" s="1"/>
  <c r="N97" i="1" s="1"/>
  <c r="N98" i="1" s="1"/>
  <c r="N99" i="1" s="1"/>
  <c r="N100" i="1" s="1"/>
  <c r="N101" i="1" s="1"/>
  <c r="N102" i="1" s="1"/>
  <c r="N103" i="1" s="1"/>
  <c r="N104" i="1" s="1"/>
  <c r="N105" i="1" s="1"/>
  <c r="N106" i="1" s="1"/>
</calcChain>
</file>

<file path=xl/sharedStrings.xml><?xml version="1.0" encoding="utf-8"?>
<sst xmlns="http://schemas.openxmlformats.org/spreadsheetml/2006/main" count="1567" uniqueCount="193">
  <si>
    <t>mathFunction</t>
  </si>
  <si>
    <t>xAxis</t>
  </si>
  <si>
    <t>yAxis1</t>
  </si>
  <si>
    <t>yAxis2</t>
  </si>
  <si>
    <t>yAxis3</t>
  </si>
  <si>
    <t>yAxis4</t>
  </si>
  <si>
    <t>scatter</t>
  </si>
  <si>
    <t>max</t>
  </si>
  <si>
    <t>plotName</t>
  </si>
  <si>
    <t>Lap Number</t>
  </si>
  <si>
    <t>differentiator</t>
  </si>
  <si>
    <t>none</t>
  </si>
  <si>
    <t>plotType</t>
  </si>
  <si>
    <t>colours</t>
  </si>
  <si>
    <t>useSecondary</t>
  </si>
  <si>
    <t>plotFilter</t>
  </si>
  <si>
    <t>zAxis</t>
  </si>
  <si>
    <t>TPM1S FL WS TEMP</t>
  </si>
  <si>
    <t>TPM1S FL WS PRESS</t>
  </si>
  <si>
    <t>figure</t>
  </si>
  <si>
    <t>plotOrganization</t>
  </si>
  <si>
    <t>plotPos</t>
  </si>
  <si>
    <t>[1,3]</t>
  </si>
  <si>
    <t>[1, 1]</t>
  </si>
  <si>
    <t>lapwise_box</t>
  </si>
  <si>
    <t xml:space="preserve">Coolant Temperature                 </t>
  </si>
  <si>
    <t>mean</t>
  </si>
  <si>
    <t>[2, 2]</t>
  </si>
  <si>
    <t xml:space="preserve">[2, 2] </t>
  </si>
  <si>
    <t>[1, 2]</t>
  </si>
  <si>
    <t xml:space="preserve">Engine Oil Temperature              </t>
  </si>
  <si>
    <t>[2, 1]</t>
  </si>
  <si>
    <t xml:space="preserve">Transmission Pressure                </t>
  </si>
  <si>
    <t xml:space="preserve">Transmission Temperature             </t>
  </si>
  <si>
    <t xml:space="preserve">Coolant Pressure                    </t>
  </si>
  <si>
    <t xml:space="preserve">Engine Oil Pressure                 </t>
  </si>
  <si>
    <t xml:space="preserve">Fuel Pressure                   </t>
  </si>
  <si>
    <t xml:space="preserve">Fuel Temperature                    </t>
  </si>
  <si>
    <t xml:space="preserve">C1_Power Steering Pressure          </t>
  </si>
  <si>
    <t>TPM1S FR WS PRESS</t>
  </si>
  <si>
    <t>TPM1S RL WS PRESS</t>
  </si>
  <si>
    <t>TPM1S RR WS PRESS</t>
  </si>
  <si>
    <t>TPM1S FR WS TEMP</t>
  </si>
  <si>
    <t>TPM1S RL WS TEMP</t>
  </si>
  <si>
    <t>TPM1S RR WS TEMP</t>
  </si>
  <si>
    <t xml:space="preserve">PDM2 Total Current                 </t>
  </si>
  <si>
    <t xml:space="preserve">PDM Total Current                 </t>
  </si>
  <si>
    <t xml:space="preserve">[1, 2] </t>
  </si>
  <si>
    <t xml:space="preserve">PDM2 Output 1 Current FP Main  </t>
  </si>
  <si>
    <t xml:space="preserve">PDM2 Output 15 Current LP 1        </t>
  </si>
  <si>
    <t xml:space="preserve">PDM2 Output 16 Current LP 2        </t>
  </si>
  <si>
    <t xml:space="preserve">PDM2 Output 17 Current LP 3        </t>
  </si>
  <si>
    <t xml:space="preserve">PDM2 Output 18 Current LP 4        </t>
  </si>
  <si>
    <t>[1, 3]</t>
  </si>
  <si>
    <t xml:space="preserve">ECU CPU Usage         </t>
  </si>
  <si>
    <t xml:space="preserve">CPU Usage                     </t>
  </si>
  <si>
    <t xml:space="preserve">CAN 1 Bus Utilization                </t>
  </si>
  <si>
    <t xml:space="preserve">CAN 2 Bus Utilization                </t>
  </si>
  <si>
    <t xml:space="preserve">CAN 3 Bus Utilization                </t>
  </si>
  <si>
    <t xml:space="preserve">C1_Cockpit Temp       </t>
  </si>
  <si>
    <t xml:space="preserve">C1_Driver Suit Temp   </t>
  </si>
  <si>
    <t xml:space="preserve">C1_Driver Helmet Temp               </t>
  </si>
  <si>
    <t xml:space="preserve">Inlet Manifold Pressure              </t>
  </si>
  <si>
    <t xml:space="preserve">Inlet Air Temperature                </t>
  </si>
  <si>
    <t>Falling Max Speed - Ground Speed</t>
  </si>
  <si>
    <t>Ground Speed</t>
  </si>
  <si>
    <t>shapes</t>
  </si>
  <si>
    <t>[1,1]</t>
  </si>
  <si>
    <t>Fastest Lap Trace</t>
  </si>
  <si>
    <t>Lap Distance</t>
  </si>
  <si>
    <t>Falling Max Speed - GPS Speed</t>
  </si>
  <si>
    <t>GPS Speed</t>
  </si>
  <si>
    <t>Falling Max Speed - Boxed</t>
  </si>
  <si>
    <t>ranked_box</t>
  </si>
  <si>
    <t>manufacturer</t>
  </si>
  <si>
    <t>mfr=Ford,n=1;mfr=Toyota, n=1; mfr=Chevrolet, n=1</t>
  </si>
  <si>
    <t>Fastest Lap Throttle Trace</t>
  </si>
  <si>
    <t>Fastest Lap Brake Trace</t>
  </si>
  <si>
    <t>Throttle Pedal</t>
  </si>
  <si>
    <t>Brake Pressure Front</t>
  </si>
  <si>
    <t>[3, 1]</t>
  </si>
  <si>
    <t>outlierThreshold</t>
  </si>
  <si>
    <t>outliers</t>
  </si>
  <si>
    <t>xLim</t>
  </si>
  <si>
    <t>yLim</t>
  </si>
  <si>
    <t>outlierMethod</t>
  </si>
  <si>
    <t>sessionlapwise</t>
  </si>
  <si>
    <t>[50, 150]</t>
  </si>
  <si>
    <t>[0, 800]</t>
  </si>
  <si>
    <t>Fuel Pressure max [kPa]</t>
  </si>
  <si>
    <t>Fuel Pressure Mean [kPa]</t>
  </si>
  <si>
    <t>Fuel Temperature Max [°C]</t>
  </si>
  <si>
    <t>Fuel Temperature Mean [°C]</t>
  </si>
  <si>
    <t>[0, 80]</t>
  </si>
  <si>
    <t>[8, 28]</t>
  </si>
  <si>
    <t>Engine Temperature Max [°C]</t>
  </si>
  <si>
    <t>Engine Temperature Mean [°C]</t>
  </si>
  <si>
    <t>Engine Pressure Mean [kPa]</t>
  </si>
  <si>
    <t>Engine Pressure Max [kPa]</t>
  </si>
  <si>
    <t>Coolant Temperatures Max [°C]</t>
  </si>
  <si>
    <t>Coolant Temperatures Mean [°C]</t>
  </si>
  <si>
    <t>Tyre Performance FL [kPa/°C]</t>
  </si>
  <si>
    <t>Tyre Performance FR [kPa/°C]</t>
  </si>
  <si>
    <t>Tyre Performance RL [kPa/°C]</t>
  </si>
  <si>
    <t>Tyre Performance RR [kPa/°C]</t>
  </si>
  <si>
    <t>PDM Total Current Max [A]</t>
  </si>
  <si>
    <t>PDM Total Current Mean [A]</t>
  </si>
  <si>
    <t>PDM2 Total Current Max [A]</t>
  </si>
  <si>
    <t>PDM2 Total Current Mean [A]</t>
  </si>
  <si>
    <t>Fuel Pump Current Mean [A]</t>
  </si>
  <si>
    <t>Average Lift Pump 1 Mean [A]</t>
  </si>
  <si>
    <t>Average Lift Pump 2 Mean [A]</t>
  </si>
  <si>
    <t>Average Lift Pump 3 Mean [A]</t>
  </si>
  <si>
    <t>Average Lift Pump 1 Max [A]</t>
  </si>
  <si>
    <t>Average Lift Pump 2 Max [A]</t>
  </si>
  <si>
    <t>Average Lift Pump 3 Max [A]</t>
  </si>
  <si>
    <t>Average Lift Pump 4 Max [A]</t>
  </si>
  <si>
    <t>Inlet Air Temperature Mean [°C]</t>
  </si>
  <si>
    <t>[4, 1]</t>
  </si>
  <si>
    <t>LapDistance</t>
  </si>
  <si>
    <t>C1_Damper Pos FL</t>
  </si>
  <si>
    <t>timeseries_align</t>
  </si>
  <si>
    <t>Fastest Lap Damper</t>
  </si>
  <si>
    <t>notes</t>
  </si>
  <si>
    <t>alignWindow</t>
  </si>
  <si>
    <t>Falling Max Speed - Session</t>
  </si>
  <si>
    <t>drivers</t>
  </si>
  <si>
    <t>Transmission Temperature Max [°C]</t>
  </si>
  <si>
    <t>Transmission Temperature Mean [°C]</t>
  </si>
  <si>
    <t>[20, 60]</t>
  </si>
  <si>
    <t>Fuel Pump Current Max [A]</t>
  </si>
  <si>
    <t>[9, 15]</t>
  </si>
  <si>
    <t>Scaling and the xlim only applied to one plot (first)</t>
  </si>
  <si>
    <t>alignChannel</t>
  </si>
  <si>
    <t>alignMethod</t>
  </si>
  <si>
    <t>alightMaxOffset</t>
  </si>
  <si>
    <t>peaks</t>
  </si>
  <si>
    <t>pptxTitle</t>
  </si>
  <si>
    <t>Coolant</t>
  </si>
  <si>
    <t>Transmission</t>
  </si>
  <si>
    <t>Engine</t>
  </si>
  <si>
    <t>Fuel</t>
  </si>
  <si>
    <t>Inlet</t>
  </si>
  <si>
    <t>Power Steering</t>
  </si>
  <si>
    <t>Tyre IGL</t>
  </si>
  <si>
    <t>PDM Current</t>
  </si>
  <si>
    <t>Fuel Pump</t>
  </si>
  <si>
    <t>Lift Pumps - Average</t>
  </si>
  <si>
    <t>Lift Pumps - Maximum</t>
  </si>
  <si>
    <t>CAN Utilization</t>
  </si>
  <si>
    <t>CPU Usage</t>
  </si>
  <si>
    <t>Driver Monitor</t>
  </si>
  <si>
    <t>Fastest Lap Compare</t>
  </si>
  <si>
    <t>[-25, 250]</t>
  </si>
  <si>
    <t>[-25, 400]</t>
  </si>
  <si>
    <t>[30, 150]</t>
  </si>
  <si>
    <t>[0, 900]</t>
  </si>
  <si>
    <t>Does channel exist?</t>
  </si>
  <si>
    <t>[10, 170]</t>
  </si>
  <si>
    <t>[5, 70]</t>
  </si>
  <si>
    <t>[0, 100]</t>
  </si>
  <si>
    <t>[10, 60]</t>
  </si>
  <si>
    <t>[-60, 60]</t>
  </si>
  <si>
    <t>Didn't plot for QU6 / QU7</t>
  </si>
  <si>
    <t>Inlet Manifold Pressure Mean [kPa]</t>
  </si>
  <si>
    <t>Inlet Air Temp Sen Volt [V]</t>
  </si>
  <si>
    <t>[0, 12]</t>
  </si>
  <si>
    <t>[0, 3000]</t>
  </si>
  <si>
    <t>Power Steering Pressure Max [Psi]</t>
  </si>
  <si>
    <t>Power Steering Pressure Mean [Psi]</t>
  </si>
  <si>
    <t>Inlet Air Temp Sen Volt</t>
  </si>
  <si>
    <t>outlierScope</t>
  </si>
  <si>
    <t>global</t>
  </si>
  <si>
    <t>Transmission Pressure Max [kPa]</t>
  </si>
  <si>
    <t>Transmission Pressure Mean [kPa]</t>
  </si>
  <si>
    <t>Coolant Pressure Max [kPa]</t>
  </si>
  <si>
    <t>Coolant Pressure Mean [kPa]</t>
  </si>
  <si>
    <t>Average Lift Pump 4 Mean [A]</t>
  </si>
  <si>
    <t>CAN 1 Utilization Mean [%]</t>
  </si>
  <si>
    <t>CAN 2 Utilization Mean [%]</t>
  </si>
  <si>
    <t>CAN 3 Utilization Mean [%]</t>
  </si>
  <si>
    <t>CPU Usage Mean [%]</t>
  </si>
  <si>
    <t>ECU CPU Usage Mean [%]</t>
  </si>
  <si>
    <t>Driver Suit Temperature Mean [°C]</t>
  </si>
  <si>
    <t>Driver Helmet Temperature Mean [°C]</t>
  </si>
  <si>
    <t>Cockpit Temperature Mean Mean [°C]</t>
  </si>
  <si>
    <t>[60, 140]</t>
  </si>
  <si>
    <t>[2900, 3070]</t>
  </si>
  <si>
    <t>lap_type_filter</t>
  </si>
  <si>
    <t>[250, 280]</t>
  </si>
  <si>
    <t>[0, 2.2]</t>
  </si>
  <si>
    <t>[-60, 100]</t>
  </si>
  <si>
    <t>Driver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</si>
</sst>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  <family val="2"/>
    </font>
  </fonts>
  <fills count="1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/>
    <xf numFmtId="0" fontId="0" fillId="12" borderId="0" xfId="0" applyFill="1"/>
    <xf numFmtId="0" fontId="0" fillId="2" borderId="0" xfId="0" applyFill="1" applyAlignment="1">
      <alignment wrapText="1"/>
    </xf>
    <xf numFmtId="0" fontId="0" fillId="2" borderId="0" xfId="0" applyFill="1"/>
    <xf numFmtId="0" fontId="0" fillId="3" borderId="0" xfId="0" applyFill="1" applyAlignment="1">
      <alignment wrapText="1"/>
    </xf>
    <xf numFmtId="0" fontId="0" fillId="3" borderId="0" xfId="0" applyFill="1"/>
    <xf numFmtId="0" fontId="0" fillId="4" borderId="0" xfId="0" applyFill="1" applyAlignment="1">
      <alignment wrapText="1"/>
    </xf>
    <xf numFmtId="0" fontId="0" fillId="4" borderId="0" xfId="0" applyFill="1"/>
    <xf numFmtId="0" fontId="0" fillId="5" borderId="0" xfId="0" applyFill="1" applyAlignment="1">
      <alignment wrapText="1"/>
    </xf>
    <xf numFmtId="0" fontId="0" fillId="5" borderId="0" xfId="0" applyFill="1"/>
    <xf numFmtId="0" fontId="0" fillId="6" borderId="0" xfId="0" applyFill="1" applyAlignment="1">
      <alignment wrapText="1"/>
    </xf>
    <xf numFmtId="0" fontId="0" fillId="6" borderId="0" xfId="0" applyFill="1"/>
    <xf numFmtId="0" fontId="0" fillId="7" borderId="0" xfId="0" applyFill="1" applyAlignment="1">
      <alignment wrapText="1"/>
    </xf>
    <xf numFmtId="0" fontId="0" fillId="7" borderId="0" xfId="0" applyFill="1"/>
    <xf numFmtId="0" fontId="0" fillId="8" borderId="0" xfId="0" applyFill="1" applyAlignment="1">
      <alignment wrapText="1"/>
    </xf>
    <xf numFmtId="0" fontId="0" fillId="9" borderId="0" xfId="0" applyFill="1"/>
    <xf numFmtId="0" fontId="0" fillId="9" borderId="0" xfId="0" applyFill="1" applyAlignment="1">
      <alignment wrapText="1"/>
    </xf>
    <xf numFmtId="0" fontId="0" fillId="10" borderId="0" xfId="0" applyFill="1"/>
    <xf numFmtId="0" fontId="0" fillId="10" borderId="0" xfId="0" applyFill="1" applyAlignment="1">
      <alignment wrapText="1"/>
    </xf>
    <xf numFmtId="0" fontId="0" fillId="11" borderId="0" xfId="0" applyFill="1"/>
    <xf numFmtId="0" fontId="0" fillId="11" borderId="0" xfId="0" applyFill="1" applyAlignment="1">
      <alignment wrapText="1"/>
    </xf>
    <xf numFmtId="0" fontId="0" fillId="12" borderId="0" xfId="0" applyFill="1" applyAlignment="1">
      <alignment wrapText="1"/>
    </xf>
    <xf numFmtId="0" fontId="0" fillId="2" borderId="0" xfId="0" applyFill="1" applyAlignment="1">
      <alignment vertical="center" wrapText="1"/>
    </xf>
    <xf numFmtId="0" fontId="0" fillId="11" borderId="0" xfId="0" applyFill="1" applyAlignment="1">
      <alignment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B1EEC-F5CB-4522-AB96-C6BC3CAD72FB}">
  <dimension ref="A1:AC106"/>
  <sheetViews>
    <sheetView tabSelected="1" zoomScale="70" zoomScaleNormal="70" workbookViewId="0">
      <pane ySplit="1" topLeftCell="A32" activePane="bottomLeft" state="frozen"/>
      <selection activeCell="F1" sqref="F1"/>
      <selection pane="bottomLeft" activeCell="A107" sqref="A107:XFD110"/>
    </sheetView>
  </sheetViews>
  <sheetFormatPr defaultColWidth="8.7109375" defaultRowHeight="15" x14ac:dyDescent="0.25"/>
  <cols>
    <col min="1" max="1" width="37.42578125" bestFit="1" customWidth="1"/>
    <col min="2" max="2" width="16.140625" bestFit="1" customWidth="1"/>
    <col min="3" max="3" width="13.140625" customWidth="1"/>
    <col min="4" max="4" width="21.7109375" customWidth="1"/>
    <col min="5" max="5" width="28.7109375" customWidth="1"/>
    <col min="6" max="6" width="16.140625" customWidth="1"/>
    <col min="7" max="8" width="6.28515625" customWidth="1"/>
    <col min="9" max="9" width="6.140625" customWidth="1"/>
    <col min="10" max="10" width="13.42578125" customWidth="1"/>
    <col min="11" max="11" width="12.140625" customWidth="1"/>
    <col min="12" max="12" width="12.7109375" customWidth="1"/>
    <col min="13" max="13" width="42.42578125" customWidth="1"/>
    <col min="14" max="14" width="5.7109375" customWidth="1"/>
    <col min="15" max="15" width="15" customWidth="1"/>
    <col min="16" max="16" width="7.28515625" customWidth="1"/>
    <col min="17" max="18" width="8.7109375" customWidth="1"/>
    <col min="19" max="19" width="13.28515625" customWidth="1"/>
    <col min="20" max="20" width="8.7109375" customWidth="1"/>
    <col min="21" max="21" width="13.42578125" customWidth="1"/>
    <col min="22" max="24" width="15.7109375" customWidth="1"/>
    <col min="25" max="26" width="8.7109375" customWidth="1"/>
    <col min="27" max="27" width="14.28515625" customWidth="1"/>
    <col min="28" max="28" width="76.7109375" customWidth="1"/>
    <col min="29" max="29" width="11.140625" bestFit="1" customWidth="1"/>
  </cols>
  <sheetData>
    <row r="1" spans="1:29" ht="30" x14ac:dyDescent="0.25">
      <c r="A1" s="1" t="s">
        <v>8</v>
      </c>
      <c r="B1" s="1" t="s">
        <v>12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16</v>
      </c>
      <c r="J1" s="1" t="s">
        <v>13</v>
      </c>
      <c r="K1" s="1" t="s">
        <v>10</v>
      </c>
      <c r="L1" s="1" t="s">
        <v>14</v>
      </c>
      <c r="M1" s="1" t="s">
        <v>15</v>
      </c>
      <c r="N1" s="2" t="s">
        <v>19</v>
      </c>
      <c r="O1" s="2" t="s">
        <v>20</v>
      </c>
      <c r="P1" s="2" t="s">
        <v>21</v>
      </c>
      <c r="Q1" s="2" t="s">
        <v>83</v>
      </c>
      <c r="R1" s="2" t="s">
        <v>84</v>
      </c>
      <c r="S1" s="26" t="s">
        <v>188</v>
      </c>
      <c r="T1" s="2" t="s">
        <v>82</v>
      </c>
      <c r="U1" s="2" t="s">
        <v>85</v>
      </c>
      <c r="V1" s="2" t="s">
        <v>81</v>
      </c>
      <c r="W1" s="2" t="s">
        <v>171</v>
      </c>
      <c r="X1" s="2" t="s">
        <v>133</v>
      </c>
      <c r="Y1" s="2" t="s">
        <v>124</v>
      </c>
      <c r="Z1" s="2" t="s">
        <v>134</v>
      </c>
      <c r="AA1" s="2" t="s">
        <v>135</v>
      </c>
      <c r="AB1" s="2" t="s">
        <v>123</v>
      </c>
      <c r="AC1" s="2" t="s">
        <v>137</v>
      </c>
    </row>
    <row r="2" spans="1:29" ht="15.95" customHeight="1" x14ac:dyDescent="0.25">
      <c r="A2" s="4" t="s">
        <v>99</v>
      </c>
      <c r="B2" s="5" t="s">
        <v>24</v>
      </c>
      <c r="C2" s="4" t="s">
        <v>7</v>
      </c>
      <c r="D2" s="4" t="s">
        <v>9</v>
      </c>
      <c r="E2" s="5" t="s">
        <v>25</v>
      </c>
      <c r="F2" s="4" t="s">
        <v>11</v>
      </c>
      <c r="G2" s="4" t="s">
        <v>11</v>
      </c>
      <c r="H2" s="4" t="s">
        <v>11</v>
      </c>
      <c r="I2" s="4" t="s">
        <v>11</v>
      </c>
      <c r="J2" s="4" t="s">
        <v>74</v>
      </c>
      <c r="K2" s="4" t="s">
        <v>11</v>
      </c>
      <c r="L2" s="4" t="b">
        <v>0</v>
      </c>
      <c r="M2" s="5"/>
      <c r="N2" s="5">
        <v>1</v>
      </c>
      <c r="O2" s="5" t="s">
        <v>27</v>
      </c>
      <c r="P2" s="5" t="s">
        <v>23</v>
      </c>
      <c r="R2" t="s">
        <v>87</v>
      </c>
      <c r="AC2" t="s">
        <v>138</v>
      </c>
    </row>
    <row r="3" spans="1:29" ht="15.95" customHeight="1" x14ac:dyDescent="0.25">
      <c r="A3" s="4" t="s">
        <v>100</v>
      </c>
      <c r="B3" s="5" t="s">
        <v>24</v>
      </c>
      <c r="C3" s="4" t="s">
        <v>26</v>
      </c>
      <c r="D3" s="4" t="s">
        <v>9</v>
      </c>
      <c r="E3" s="5" t="s">
        <v>25</v>
      </c>
      <c r="F3" s="4" t="s">
        <v>11</v>
      </c>
      <c r="G3" s="4" t="s">
        <v>11</v>
      </c>
      <c r="H3" s="4" t="s">
        <v>11</v>
      </c>
      <c r="I3" s="4" t="s">
        <v>11</v>
      </c>
      <c r="J3" s="4" t="s">
        <v>74</v>
      </c>
      <c r="K3" s="4" t="s">
        <v>11</v>
      </c>
      <c r="L3" s="4" t="b">
        <v>0</v>
      </c>
      <c r="M3" s="5"/>
      <c r="N3" s="5">
        <f>IF(TRIM(P2)=TRIM(O2), N2+1, N2)</f>
        <v>1</v>
      </c>
      <c r="O3" s="5" t="s">
        <v>28</v>
      </c>
      <c r="P3" s="5" t="s">
        <v>29</v>
      </c>
      <c r="R3" t="s">
        <v>87</v>
      </c>
      <c r="AC3" t="s">
        <v>138</v>
      </c>
    </row>
    <row r="4" spans="1:29" ht="15.95" customHeight="1" x14ac:dyDescent="0.25">
      <c r="A4" s="4" t="s">
        <v>175</v>
      </c>
      <c r="B4" s="5" t="s">
        <v>24</v>
      </c>
      <c r="C4" s="4" t="s">
        <v>7</v>
      </c>
      <c r="D4" s="4" t="s">
        <v>9</v>
      </c>
      <c r="E4" s="5" t="s">
        <v>34</v>
      </c>
      <c r="F4" s="4" t="s">
        <v>11</v>
      </c>
      <c r="G4" s="4" t="s">
        <v>11</v>
      </c>
      <c r="H4" s="4" t="s">
        <v>11</v>
      </c>
      <c r="I4" s="4" t="s">
        <v>11</v>
      </c>
      <c r="J4" s="4" t="s">
        <v>74</v>
      </c>
      <c r="K4" s="4" t="s">
        <v>11</v>
      </c>
      <c r="L4" s="4" t="b">
        <v>0</v>
      </c>
      <c r="M4" s="5"/>
      <c r="N4" s="5">
        <f t="shared" ref="N4:N67" si="0">IF(TRIM(P3)=TRIM(O3), N3+1, N3)</f>
        <v>1</v>
      </c>
      <c r="O4" s="5" t="s">
        <v>27</v>
      </c>
      <c r="P4" s="5" t="s">
        <v>31</v>
      </c>
      <c r="R4" t="s">
        <v>153</v>
      </c>
      <c r="AC4" t="s">
        <v>138</v>
      </c>
    </row>
    <row r="5" spans="1:29" ht="15.95" customHeight="1" x14ac:dyDescent="0.25">
      <c r="A5" s="4" t="s">
        <v>176</v>
      </c>
      <c r="B5" s="5" t="s">
        <v>24</v>
      </c>
      <c r="C5" s="4" t="s">
        <v>26</v>
      </c>
      <c r="D5" s="4" t="s">
        <v>9</v>
      </c>
      <c r="E5" s="5" t="s">
        <v>34</v>
      </c>
      <c r="F5" s="4" t="s">
        <v>11</v>
      </c>
      <c r="G5" s="4" t="s">
        <v>11</v>
      </c>
      <c r="H5" s="4" t="s">
        <v>11</v>
      </c>
      <c r="I5" s="4" t="s">
        <v>11</v>
      </c>
      <c r="J5" s="4" t="s">
        <v>74</v>
      </c>
      <c r="K5" s="4" t="s">
        <v>11</v>
      </c>
      <c r="L5" s="4" t="b">
        <v>0</v>
      </c>
      <c r="M5" s="5"/>
      <c r="N5" s="5">
        <f t="shared" si="0"/>
        <v>1</v>
      </c>
      <c r="O5" s="5" t="s">
        <v>27</v>
      </c>
      <c r="P5" s="5" t="s">
        <v>27</v>
      </c>
      <c r="R5" t="s">
        <v>153</v>
      </c>
      <c r="AC5" t="s">
        <v>138</v>
      </c>
    </row>
    <row r="6" spans="1:29" ht="15.95" customHeight="1" x14ac:dyDescent="0.25">
      <c r="A6" s="6" t="s">
        <v>127</v>
      </c>
      <c r="B6" s="7" t="s">
        <v>24</v>
      </c>
      <c r="C6" s="6" t="s">
        <v>7</v>
      </c>
      <c r="D6" s="6" t="s">
        <v>9</v>
      </c>
      <c r="E6" s="7" t="s">
        <v>33</v>
      </c>
      <c r="F6" s="6" t="s">
        <v>11</v>
      </c>
      <c r="G6" s="6" t="s">
        <v>11</v>
      </c>
      <c r="H6" s="6" t="s">
        <v>11</v>
      </c>
      <c r="I6" s="6" t="s">
        <v>11</v>
      </c>
      <c r="J6" s="6" t="s">
        <v>74</v>
      </c>
      <c r="K6" s="6" t="s">
        <v>11</v>
      </c>
      <c r="L6" s="6" t="b">
        <v>0</v>
      </c>
      <c r="M6" s="7"/>
      <c r="N6" s="7">
        <f t="shared" si="0"/>
        <v>2</v>
      </c>
      <c r="O6" s="7" t="s">
        <v>27</v>
      </c>
      <c r="P6" s="7" t="s">
        <v>23</v>
      </c>
      <c r="R6" t="s">
        <v>155</v>
      </c>
      <c r="AC6" t="s">
        <v>139</v>
      </c>
    </row>
    <row r="7" spans="1:29" ht="15.95" customHeight="1" x14ac:dyDescent="0.25">
      <c r="A7" s="6" t="s">
        <v>128</v>
      </c>
      <c r="B7" s="7" t="s">
        <v>24</v>
      </c>
      <c r="C7" s="6" t="s">
        <v>26</v>
      </c>
      <c r="D7" s="6" t="s">
        <v>9</v>
      </c>
      <c r="E7" s="7" t="s">
        <v>33</v>
      </c>
      <c r="F7" s="6" t="s">
        <v>11</v>
      </c>
      <c r="G7" s="6" t="s">
        <v>11</v>
      </c>
      <c r="H7" s="6" t="s">
        <v>11</v>
      </c>
      <c r="I7" s="6" t="s">
        <v>11</v>
      </c>
      <c r="J7" s="6" t="s">
        <v>74</v>
      </c>
      <c r="K7" s="6" t="s">
        <v>11</v>
      </c>
      <c r="L7" s="6" t="b">
        <v>0</v>
      </c>
      <c r="M7" s="7"/>
      <c r="N7" s="7">
        <f t="shared" si="0"/>
        <v>2</v>
      </c>
      <c r="O7" s="7" t="s">
        <v>28</v>
      </c>
      <c r="P7" s="7" t="s">
        <v>29</v>
      </c>
      <c r="R7" t="s">
        <v>155</v>
      </c>
      <c r="AC7" t="s">
        <v>139</v>
      </c>
    </row>
    <row r="8" spans="1:29" ht="15.95" customHeight="1" x14ac:dyDescent="0.25">
      <c r="A8" s="6" t="s">
        <v>173</v>
      </c>
      <c r="B8" s="7" t="s">
        <v>24</v>
      </c>
      <c r="C8" s="6" t="s">
        <v>7</v>
      </c>
      <c r="D8" s="6" t="s">
        <v>9</v>
      </c>
      <c r="E8" s="7" t="s">
        <v>32</v>
      </c>
      <c r="F8" s="6" t="s">
        <v>11</v>
      </c>
      <c r="G8" s="6" t="s">
        <v>11</v>
      </c>
      <c r="H8" s="6" t="s">
        <v>11</v>
      </c>
      <c r="I8" s="6" t="s">
        <v>11</v>
      </c>
      <c r="J8" s="6" t="s">
        <v>74</v>
      </c>
      <c r="K8" s="6" t="s">
        <v>11</v>
      </c>
      <c r="L8" s="6" t="b">
        <v>0</v>
      </c>
      <c r="M8" s="7"/>
      <c r="N8" s="7">
        <f t="shared" si="0"/>
        <v>2</v>
      </c>
      <c r="O8" s="7" t="s">
        <v>27</v>
      </c>
      <c r="P8" s="7" t="s">
        <v>31</v>
      </c>
      <c r="R8" t="s">
        <v>154</v>
      </c>
      <c r="AC8" t="s">
        <v>139</v>
      </c>
    </row>
    <row r="9" spans="1:29" ht="15.95" customHeight="1" x14ac:dyDescent="0.25">
      <c r="A9" s="6" t="s">
        <v>174</v>
      </c>
      <c r="B9" s="7" t="s">
        <v>24</v>
      </c>
      <c r="C9" s="6" t="s">
        <v>26</v>
      </c>
      <c r="D9" s="6" t="s">
        <v>9</v>
      </c>
      <c r="E9" s="7" t="s">
        <v>32</v>
      </c>
      <c r="F9" s="6" t="s">
        <v>11</v>
      </c>
      <c r="G9" s="6" t="s">
        <v>11</v>
      </c>
      <c r="H9" s="6" t="s">
        <v>11</v>
      </c>
      <c r="I9" s="6" t="s">
        <v>11</v>
      </c>
      <c r="J9" s="6" t="s">
        <v>74</v>
      </c>
      <c r="K9" s="6" t="s">
        <v>11</v>
      </c>
      <c r="L9" s="6" t="b">
        <v>0</v>
      </c>
      <c r="M9" s="7"/>
      <c r="N9" s="7">
        <f t="shared" si="0"/>
        <v>2</v>
      </c>
      <c r="O9" s="7" t="s">
        <v>27</v>
      </c>
      <c r="P9" s="7" t="s">
        <v>27</v>
      </c>
      <c r="R9" t="s">
        <v>154</v>
      </c>
      <c r="AC9" t="str">
        <f>AC8</f>
        <v>Transmission</v>
      </c>
    </row>
    <row r="10" spans="1:29" ht="15.95" customHeight="1" x14ac:dyDescent="0.25">
      <c r="A10" s="8" t="s">
        <v>95</v>
      </c>
      <c r="B10" s="9" t="s">
        <v>24</v>
      </c>
      <c r="C10" s="8" t="s">
        <v>7</v>
      </c>
      <c r="D10" s="8" t="s">
        <v>9</v>
      </c>
      <c r="E10" s="9" t="s">
        <v>30</v>
      </c>
      <c r="F10" s="8" t="s">
        <v>11</v>
      </c>
      <c r="G10" s="8" t="s">
        <v>11</v>
      </c>
      <c r="H10" s="8" t="s">
        <v>11</v>
      </c>
      <c r="I10" s="8" t="s">
        <v>11</v>
      </c>
      <c r="J10" s="8" t="s">
        <v>74</v>
      </c>
      <c r="K10" s="8" t="s">
        <v>11</v>
      </c>
      <c r="L10" s="8" t="b">
        <v>0</v>
      </c>
      <c r="M10" s="9"/>
      <c r="N10" s="9">
        <f t="shared" si="0"/>
        <v>3</v>
      </c>
      <c r="O10" s="9" t="s">
        <v>27</v>
      </c>
      <c r="P10" s="9" t="s">
        <v>23</v>
      </c>
      <c r="R10" t="s">
        <v>186</v>
      </c>
      <c r="AC10" t="s">
        <v>140</v>
      </c>
    </row>
    <row r="11" spans="1:29" ht="15.95" customHeight="1" x14ac:dyDescent="0.25">
      <c r="A11" s="8" t="s">
        <v>96</v>
      </c>
      <c r="B11" s="9" t="s">
        <v>24</v>
      </c>
      <c r="C11" s="8" t="s">
        <v>26</v>
      </c>
      <c r="D11" s="8" t="s">
        <v>9</v>
      </c>
      <c r="E11" s="9" t="s">
        <v>30</v>
      </c>
      <c r="F11" s="8" t="s">
        <v>11</v>
      </c>
      <c r="G11" s="8" t="s">
        <v>11</v>
      </c>
      <c r="H11" s="8" t="s">
        <v>11</v>
      </c>
      <c r="I11" s="8" t="s">
        <v>11</v>
      </c>
      <c r="J11" s="8" t="s">
        <v>74</v>
      </c>
      <c r="K11" s="8" t="s">
        <v>11</v>
      </c>
      <c r="L11" s="8" t="b">
        <v>0</v>
      </c>
      <c r="M11" s="9"/>
      <c r="N11" s="9">
        <f t="shared" si="0"/>
        <v>3</v>
      </c>
      <c r="O11" s="9" t="s">
        <v>28</v>
      </c>
      <c r="P11" s="9" t="s">
        <v>29</v>
      </c>
      <c r="R11" t="s">
        <v>186</v>
      </c>
      <c r="AC11" t="str">
        <f t="shared" ref="AC11:AC48" si="1">AC10</f>
        <v>Engine</v>
      </c>
    </row>
    <row r="12" spans="1:29" ht="15.95" customHeight="1" x14ac:dyDescent="0.25">
      <c r="A12" s="8" t="s">
        <v>98</v>
      </c>
      <c r="B12" s="9" t="s">
        <v>24</v>
      </c>
      <c r="C12" s="8" t="s">
        <v>7</v>
      </c>
      <c r="D12" s="8" t="s">
        <v>9</v>
      </c>
      <c r="E12" s="9" t="s">
        <v>35</v>
      </c>
      <c r="F12" s="8" t="s">
        <v>11</v>
      </c>
      <c r="G12" s="8" t="s">
        <v>11</v>
      </c>
      <c r="H12" s="8" t="s">
        <v>11</v>
      </c>
      <c r="I12" s="8" t="s">
        <v>11</v>
      </c>
      <c r="J12" s="8" t="s">
        <v>74</v>
      </c>
      <c r="K12" s="8" t="s">
        <v>11</v>
      </c>
      <c r="L12" s="8" t="b">
        <v>0</v>
      </c>
      <c r="M12" s="9"/>
      <c r="N12" s="9">
        <f t="shared" si="0"/>
        <v>3</v>
      </c>
      <c r="O12" s="9" t="s">
        <v>27</v>
      </c>
      <c r="P12" s="9" t="s">
        <v>31</v>
      </c>
      <c r="R12" t="s">
        <v>156</v>
      </c>
      <c r="AC12" t="str">
        <f t="shared" si="1"/>
        <v>Engine</v>
      </c>
    </row>
    <row r="13" spans="1:29" ht="15.95" customHeight="1" x14ac:dyDescent="0.25">
      <c r="A13" s="8" t="s">
        <v>97</v>
      </c>
      <c r="B13" s="9" t="s">
        <v>24</v>
      </c>
      <c r="C13" s="8" t="s">
        <v>26</v>
      </c>
      <c r="D13" s="8" t="s">
        <v>9</v>
      </c>
      <c r="E13" s="9" t="s">
        <v>35</v>
      </c>
      <c r="F13" s="8" t="s">
        <v>11</v>
      </c>
      <c r="G13" s="8" t="s">
        <v>11</v>
      </c>
      <c r="H13" s="8" t="s">
        <v>11</v>
      </c>
      <c r="I13" s="8" t="s">
        <v>11</v>
      </c>
      <c r="J13" s="8" t="s">
        <v>74</v>
      </c>
      <c r="K13" s="8" t="s">
        <v>11</v>
      </c>
      <c r="L13" s="8" t="b">
        <v>0</v>
      </c>
      <c r="M13" s="9"/>
      <c r="N13" s="9">
        <f t="shared" si="0"/>
        <v>3</v>
      </c>
      <c r="O13" s="9" t="s">
        <v>27</v>
      </c>
      <c r="P13" s="9" t="s">
        <v>27</v>
      </c>
      <c r="R13" t="s">
        <v>156</v>
      </c>
      <c r="AC13" t="str">
        <f t="shared" si="1"/>
        <v>Engine</v>
      </c>
    </row>
    <row r="14" spans="1:29" ht="15.95" customHeight="1" x14ac:dyDescent="0.25">
      <c r="A14" s="10" t="s">
        <v>91</v>
      </c>
      <c r="B14" s="11" t="s">
        <v>24</v>
      </c>
      <c r="C14" s="10" t="s">
        <v>7</v>
      </c>
      <c r="D14" s="10" t="s">
        <v>9</v>
      </c>
      <c r="E14" s="11" t="s">
        <v>37</v>
      </c>
      <c r="F14" s="10" t="s">
        <v>11</v>
      </c>
      <c r="G14" s="10" t="s">
        <v>11</v>
      </c>
      <c r="H14" s="10" t="s">
        <v>11</v>
      </c>
      <c r="I14" s="10" t="s">
        <v>11</v>
      </c>
      <c r="J14" s="10" t="s">
        <v>74</v>
      </c>
      <c r="K14" s="10" t="s">
        <v>11</v>
      </c>
      <c r="L14" s="10" t="b">
        <v>0</v>
      </c>
      <c r="M14" s="11"/>
      <c r="N14" s="11">
        <f t="shared" si="0"/>
        <v>4</v>
      </c>
      <c r="O14" s="11" t="s">
        <v>27</v>
      </c>
      <c r="P14" s="11" t="s">
        <v>23</v>
      </c>
      <c r="R14" t="s">
        <v>93</v>
      </c>
      <c r="AC14" t="s">
        <v>141</v>
      </c>
    </row>
    <row r="15" spans="1:29" ht="15.95" customHeight="1" x14ac:dyDescent="0.25">
      <c r="A15" s="10" t="s">
        <v>92</v>
      </c>
      <c r="B15" s="11" t="s">
        <v>24</v>
      </c>
      <c r="C15" s="10" t="s">
        <v>26</v>
      </c>
      <c r="D15" s="10" t="s">
        <v>9</v>
      </c>
      <c r="E15" s="11" t="s">
        <v>37</v>
      </c>
      <c r="F15" s="10" t="s">
        <v>11</v>
      </c>
      <c r="G15" s="10" t="s">
        <v>11</v>
      </c>
      <c r="H15" s="10" t="s">
        <v>11</v>
      </c>
      <c r="I15" s="10" t="s">
        <v>11</v>
      </c>
      <c r="J15" s="10" t="s">
        <v>74</v>
      </c>
      <c r="K15" s="10" t="s">
        <v>11</v>
      </c>
      <c r="L15" s="10" t="b">
        <v>0</v>
      </c>
      <c r="M15" s="11"/>
      <c r="N15" s="11">
        <f t="shared" si="0"/>
        <v>4</v>
      </c>
      <c r="O15" s="11" t="s">
        <v>27</v>
      </c>
      <c r="P15" s="11" t="s">
        <v>29</v>
      </c>
      <c r="R15" t="s">
        <v>93</v>
      </c>
      <c r="AC15" t="str">
        <f t="shared" si="1"/>
        <v>Fuel</v>
      </c>
    </row>
    <row r="16" spans="1:29" ht="15.95" customHeight="1" x14ac:dyDescent="0.25">
      <c r="A16" s="10" t="s">
        <v>89</v>
      </c>
      <c r="B16" s="11" t="s">
        <v>24</v>
      </c>
      <c r="C16" s="10" t="s">
        <v>7</v>
      </c>
      <c r="D16" s="10" t="s">
        <v>9</v>
      </c>
      <c r="E16" s="11" t="s">
        <v>36</v>
      </c>
      <c r="F16" s="10" t="s">
        <v>11</v>
      </c>
      <c r="G16" s="10" t="s">
        <v>11</v>
      </c>
      <c r="H16" s="10" t="s">
        <v>11</v>
      </c>
      <c r="I16" s="10" t="s">
        <v>11</v>
      </c>
      <c r="J16" s="10" t="s">
        <v>74</v>
      </c>
      <c r="K16" s="10" t="s">
        <v>11</v>
      </c>
      <c r="L16" s="10" t="b">
        <v>0</v>
      </c>
      <c r="M16" s="11"/>
      <c r="N16" s="11">
        <f t="shared" si="0"/>
        <v>4</v>
      </c>
      <c r="O16" s="11" t="s">
        <v>27</v>
      </c>
      <c r="P16" s="11" t="s">
        <v>31</v>
      </c>
      <c r="R16" t="s">
        <v>88</v>
      </c>
      <c r="AC16" t="str">
        <f t="shared" si="1"/>
        <v>Fuel</v>
      </c>
    </row>
    <row r="17" spans="1:29" ht="15.95" customHeight="1" x14ac:dyDescent="0.25">
      <c r="A17" s="10" t="s">
        <v>90</v>
      </c>
      <c r="B17" s="11" t="s">
        <v>24</v>
      </c>
      <c r="C17" s="10" t="s">
        <v>26</v>
      </c>
      <c r="D17" s="10" t="s">
        <v>9</v>
      </c>
      <c r="E17" s="11" t="s">
        <v>36</v>
      </c>
      <c r="F17" s="10" t="s">
        <v>11</v>
      </c>
      <c r="G17" s="10" t="s">
        <v>11</v>
      </c>
      <c r="H17" s="10" t="s">
        <v>11</v>
      </c>
      <c r="I17" s="10" t="s">
        <v>11</v>
      </c>
      <c r="J17" s="10" t="s">
        <v>74</v>
      </c>
      <c r="K17" s="10" t="s">
        <v>11</v>
      </c>
      <c r="L17" s="10" t="b">
        <v>0</v>
      </c>
      <c r="M17" s="11"/>
      <c r="N17" s="11">
        <f t="shared" si="0"/>
        <v>4</v>
      </c>
      <c r="O17" s="11" t="s">
        <v>28</v>
      </c>
      <c r="P17" s="11" t="s">
        <v>27</v>
      </c>
      <c r="R17" t="s">
        <v>88</v>
      </c>
      <c r="AC17" t="str">
        <f t="shared" si="1"/>
        <v>Fuel</v>
      </c>
    </row>
    <row r="18" spans="1:29" ht="15.95" customHeight="1" x14ac:dyDescent="0.25">
      <c r="A18" s="12" t="s">
        <v>168</v>
      </c>
      <c r="B18" s="13" t="s">
        <v>24</v>
      </c>
      <c r="C18" s="12" t="s">
        <v>7</v>
      </c>
      <c r="D18" s="12" t="s">
        <v>9</v>
      </c>
      <c r="E18" s="13" t="s">
        <v>38</v>
      </c>
      <c r="F18" s="12" t="s">
        <v>11</v>
      </c>
      <c r="G18" s="12" t="s">
        <v>11</v>
      </c>
      <c r="H18" s="12" t="s">
        <v>11</v>
      </c>
      <c r="I18" s="12" t="s">
        <v>11</v>
      </c>
      <c r="J18" s="12" t="s">
        <v>74</v>
      </c>
      <c r="K18" s="12" t="s">
        <v>11</v>
      </c>
      <c r="L18" s="12" t="b">
        <v>0</v>
      </c>
      <c r="M18" s="13"/>
      <c r="N18" s="13">
        <f>IF(TRIM(P17)=TRIM(O17), N17+1, N17)</f>
        <v>5</v>
      </c>
      <c r="O18" s="13" t="s">
        <v>29</v>
      </c>
      <c r="P18" s="13" t="s">
        <v>23</v>
      </c>
      <c r="R18" t="s">
        <v>167</v>
      </c>
      <c r="AC18" t="s">
        <v>143</v>
      </c>
    </row>
    <row r="19" spans="1:29" ht="15.95" customHeight="1" x14ac:dyDescent="0.25">
      <c r="A19" s="12" t="s">
        <v>169</v>
      </c>
      <c r="B19" s="13" t="s">
        <v>24</v>
      </c>
      <c r="C19" s="12" t="s">
        <v>26</v>
      </c>
      <c r="D19" s="12" t="s">
        <v>9</v>
      </c>
      <c r="E19" s="13" t="s">
        <v>38</v>
      </c>
      <c r="F19" s="12" t="s">
        <v>11</v>
      </c>
      <c r="G19" s="12" t="s">
        <v>11</v>
      </c>
      <c r="H19" s="12" t="s">
        <v>11</v>
      </c>
      <c r="I19" s="12" t="s">
        <v>11</v>
      </c>
      <c r="J19" s="12" t="s">
        <v>74</v>
      </c>
      <c r="K19" s="12" t="s">
        <v>11</v>
      </c>
      <c r="L19" s="12" t="b">
        <v>0</v>
      </c>
      <c r="M19" s="13"/>
      <c r="N19" s="13">
        <f t="shared" si="0"/>
        <v>5</v>
      </c>
      <c r="O19" s="13" t="s">
        <v>29</v>
      </c>
      <c r="P19" s="13" t="s">
        <v>29</v>
      </c>
      <c r="R19" t="s">
        <v>167</v>
      </c>
      <c r="AB19" t="s">
        <v>157</v>
      </c>
      <c r="AC19" t="str">
        <f t="shared" si="1"/>
        <v>Power Steering</v>
      </c>
    </row>
    <row r="20" spans="1:29" ht="15.95" customHeight="1" x14ac:dyDescent="0.25">
      <c r="A20" s="6" t="s">
        <v>101</v>
      </c>
      <c r="B20" s="7" t="s">
        <v>6</v>
      </c>
      <c r="C20" s="6" t="s">
        <v>26</v>
      </c>
      <c r="D20" s="7" t="s">
        <v>18</v>
      </c>
      <c r="E20" s="7" t="s">
        <v>17</v>
      </c>
      <c r="F20" s="6" t="s">
        <v>11</v>
      </c>
      <c r="G20" s="6" t="s">
        <v>11</v>
      </c>
      <c r="H20" s="6" t="s">
        <v>11</v>
      </c>
      <c r="I20" s="6" t="s">
        <v>11</v>
      </c>
      <c r="J20" s="6" t="s">
        <v>74</v>
      </c>
      <c r="K20" s="6" t="s">
        <v>11</v>
      </c>
      <c r="L20" s="6" t="b">
        <v>0</v>
      </c>
      <c r="M20" s="7"/>
      <c r="N20" s="7">
        <f>IF(TRIM(P19)=TRIM(O19), N19+1, N19)</f>
        <v>6</v>
      </c>
      <c r="O20" s="7" t="s">
        <v>27</v>
      </c>
      <c r="P20" s="7" t="s">
        <v>23</v>
      </c>
      <c r="Q20" t="s">
        <v>94</v>
      </c>
      <c r="R20" t="s">
        <v>158</v>
      </c>
      <c r="Y20" t="s">
        <v>132</v>
      </c>
      <c r="AC20" t="s">
        <v>144</v>
      </c>
    </row>
    <row r="21" spans="1:29" ht="15.95" customHeight="1" x14ac:dyDescent="0.25">
      <c r="A21" s="6" t="s">
        <v>102</v>
      </c>
      <c r="B21" s="7" t="s">
        <v>6</v>
      </c>
      <c r="C21" s="6" t="s">
        <v>26</v>
      </c>
      <c r="D21" s="7" t="s">
        <v>39</v>
      </c>
      <c r="E21" s="7" t="s">
        <v>42</v>
      </c>
      <c r="F21" s="6" t="s">
        <v>11</v>
      </c>
      <c r="G21" s="6" t="s">
        <v>11</v>
      </c>
      <c r="H21" s="6" t="s">
        <v>11</v>
      </c>
      <c r="I21" s="6" t="s">
        <v>11</v>
      </c>
      <c r="J21" s="6" t="s">
        <v>74</v>
      </c>
      <c r="K21" s="6" t="s">
        <v>11</v>
      </c>
      <c r="L21" s="6" t="b">
        <v>0</v>
      </c>
      <c r="M21" s="7"/>
      <c r="N21" s="7">
        <f t="shared" si="0"/>
        <v>6</v>
      </c>
      <c r="O21" s="7" t="s">
        <v>28</v>
      </c>
      <c r="P21" s="7" t="s">
        <v>29</v>
      </c>
      <c r="Q21" t="s">
        <v>94</v>
      </c>
      <c r="R21" t="s">
        <v>158</v>
      </c>
      <c r="AC21" t="str">
        <f t="shared" si="1"/>
        <v>Tyre IGL</v>
      </c>
    </row>
    <row r="22" spans="1:29" ht="15.95" customHeight="1" x14ac:dyDescent="0.25">
      <c r="A22" s="6" t="s">
        <v>103</v>
      </c>
      <c r="B22" s="7" t="s">
        <v>6</v>
      </c>
      <c r="C22" s="6" t="s">
        <v>26</v>
      </c>
      <c r="D22" s="7" t="s">
        <v>40</v>
      </c>
      <c r="E22" s="7" t="s">
        <v>43</v>
      </c>
      <c r="F22" s="6" t="s">
        <v>11</v>
      </c>
      <c r="G22" s="6" t="s">
        <v>11</v>
      </c>
      <c r="H22" s="6" t="s">
        <v>11</v>
      </c>
      <c r="I22" s="6" t="s">
        <v>11</v>
      </c>
      <c r="J22" s="6" t="s">
        <v>74</v>
      </c>
      <c r="K22" s="6" t="s">
        <v>11</v>
      </c>
      <c r="L22" s="6" t="b">
        <v>0</v>
      </c>
      <c r="M22" s="7"/>
      <c r="N22" s="7">
        <f t="shared" si="0"/>
        <v>6</v>
      </c>
      <c r="O22" s="7" t="s">
        <v>27</v>
      </c>
      <c r="P22" s="7" t="s">
        <v>31</v>
      </c>
      <c r="Q22" t="s">
        <v>94</v>
      </c>
      <c r="R22" t="s">
        <v>158</v>
      </c>
      <c r="AC22" t="str">
        <f t="shared" si="1"/>
        <v>Tyre IGL</v>
      </c>
    </row>
    <row r="23" spans="1:29" ht="15.95" customHeight="1" x14ac:dyDescent="0.25">
      <c r="A23" s="6" t="s">
        <v>104</v>
      </c>
      <c r="B23" s="7" t="s">
        <v>6</v>
      </c>
      <c r="C23" s="6" t="s">
        <v>26</v>
      </c>
      <c r="D23" s="7" t="s">
        <v>41</v>
      </c>
      <c r="E23" s="7" t="s">
        <v>44</v>
      </c>
      <c r="F23" s="6" t="s">
        <v>11</v>
      </c>
      <c r="G23" s="6" t="s">
        <v>11</v>
      </c>
      <c r="H23" s="6" t="s">
        <v>11</v>
      </c>
      <c r="I23" s="6" t="s">
        <v>11</v>
      </c>
      <c r="J23" s="6" t="s">
        <v>74</v>
      </c>
      <c r="K23" s="6" t="s">
        <v>11</v>
      </c>
      <c r="L23" s="6" t="b">
        <v>0</v>
      </c>
      <c r="M23" s="7"/>
      <c r="N23" s="7">
        <f t="shared" si="0"/>
        <v>6</v>
      </c>
      <c r="O23" s="7" t="s">
        <v>27</v>
      </c>
      <c r="P23" s="7" t="s">
        <v>27</v>
      </c>
      <c r="Q23" t="s">
        <v>94</v>
      </c>
      <c r="R23" t="s">
        <v>158</v>
      </c>
      <c r="AC23" t="str">
        <f t="shared" si="1"/>
        <v>Tyre IGL</v>
      </c>
    </row>
    <row r="24" spans="1:29" ht="15.95" customHeight="1" x14ac:dyDescent="0.25">
      <c r="A24" s="14" t="s">
        <v>105</v>
      </c>
      <c r="B24" s="15" t="s">
        <v>24</v>
      </c>
      <c r="C24" s="14" t="s">
        <v>7</v>
      </c>
      <c r="D24" s="15" t="s">
        <v>9</v>
      </c>
      <c r="E24" s="15" t="s">
        <v>46</v>
      </c>
      <c r="F24" s="14" t="s">
        <v>11</v>
      </c>
      <c r="G24" s="14" t="s">
        <v>11</v>
      </c>
      <c r="H24" s="14" t="s">
        <v>11</v>
      </c>
      <c r="I24" s="14" t="s">
        <v>11</v>
      </c>
      <c r="J24" s="14" t="s">
        <v>74</v>
      </c>
      <c r="K24" s="14" t="s">
        <v>11</v>
      </c>
      <c r="L24" s="14" t="b">
        <v>0</v>
      </c>
      <c r="M24" s="15"/>
      <c r="N24" s="15">
        <f t="shared" si="0"/>
        <v>7</v>
      </c>
      <c r="O24" s="15" t="s">
        <v>27</v>
      </c>
      <c r="P24" s="15" t="s">
        <v>23</v>
      </c>
      <c r="R24" t="s">
        <v>159</v>
      </c>
      <c r="AC24" t="s">
        <v>145</v>
      </c>
    </row>
    <row r="25" spans="1:29" ht="15.95" customHeight="1" x14ac:dyDescent="0.25">
      <c r="A25" s="14" t="s">
        <v>106</v>
      </c>
      <c r="B25" s="15" t="s">
        <v>24</v>
      </c>
      <c r="C25" s="14" t="s">
        <v>26</v>
      </c>
      <c r="D25" s="15" t="s">
        <v>9</v>
      </c>
      <c r="E25" s="15" t="s">
        <v>46</v>
      </c>
      <c r="F25" s="14" t="s">
        <v>11</v>
      </c>
      <c r="G25" s="14" t="s">
        <v>11</v>
      </c>
      <c r="H25" s="14" t="s">
        <v>11</v>
      </c>
      <c r="I25" s="14" t="s">
        <v>11</v>
      </c>
      <c r="J25" s="14" t="s">
        <v>74</v>
      </c>
      <c r="K25" s="14" t="s">
        <v>11</v>
      </c>
      <c r="L25" s="14" t="b">
        <v>0</v>
      </c>
      <c r="M25" s="15"/>
      <c r="N25" s="15">
        <f t="shared" si="0"/>
        <v>7</v>
      </c>
      <c r="O25" s="15" t="s">
        <v>28</v>
      </c>
      <c r="P25" s="15" t="s">
        <v>29</v>
      </c>
      <c r="R25" t="s">
        <v>159</v>
      </c>
      <c r="AC25" t="str">
        <f t="shared" si="1"/>
        <v>PDM Current</v>
      </c>
    </row>
    <row r="26" spans="1:29" ht="15.95" customHeight="1" x14ac:dyDescent="0.25">
      <c r="A26" s="14" t="s">
        <v>107</v>
      </c>
      <c r="B26" s="15" t="s">
        <v>24</v>
      </c>
      <c r="C26" s="14" t="s">
        <v>7</v>
      </c>
      <c r="D26" s="15" t="s">
        <v>9</v>
      </c>
      <c r="E26" s="15" t="s">
        <v>45</v>
      </c>
      <c r="F26" s="14" t="s">
        <v>11</v>
      </c>
      <c r="G26" s="14" t="s">
        <v>11</v>
      </c>
      <c r="H26" s="14" t="s">
        <v>11</v>
      </c>
      <c r="I26" s="14" t="s">
        <v>11</v>
      </c>
      <c r="J26" s="14" t="s">
        <v>74</v>
      </c>
      <c r="K26" s="14" t="s">
        <v>11</v>
      </c>
      <c r="L26" s="14" t="b">
        <v>0</v>
      </c>
      <c r="M26" s="15"/>
      <c r="N26" s="15">
        <f t="shared" si="0"/>
        <v>7</v>
      </c>
      <c r="O26" s="15" t="s">
        <v>27</v>
      </c>
      <c r="P26" s="15" t="s">
        <v>31</v>
      </c>
      <c r="R26" t="s">
        <v>159</v>
      </c>
      <c r="AC26" t="str">
        <f t="shared" si="1"/>
        <v>PDM Current</v>
      </c>
    </row>
    <row r="27" spans="1:29" ht="15.95" customHeight="1" x14ac:dyDescent="0.25">
      <c r="A27" s="15" t="s">
        <v>108</v>
      </c>
      <c r="B27" s="15" t="s">
        <v>24</v>
      </c>
      <c r="C27" s="14" t="s">
        <v>26</v>
      </c>
      <c r="D27" s="15" t="s">
        <v>9</v>
      </c>
      <c r="E27" s="15" t="s">
        <v>45</v>
      </c>
      <c r="F27" s="14" t="s">
        <v>11</v>
      </c>
      <c r="G27" s="14" t="s">
        <v>11</v>
      </c>
      <c r="H27" s="14" t="s">
        <v>11</v>
      </c>
      <c r="I27" s="14" t="s">
        <v>11</v>
      </c>
      <c r="J27" s="14" t="s">
        <v>74</v>
      </c>
      <c r="K27" s="14" t="s">
        <v>11</v>
      </c>
      <c r="L27" s="14" t="b">
        <v>0</v>
      </c>
      <c r="M27" s="15"/>
      <c r="N27" s="15">
        <f t="shared" si="0"/>
        <v>7</v>
      </c>
      <c r="O27" s="15" t="s">
        <v>27</v>
      </c>
      <c r="P27" s="15" t="s">
        <v>27</v>
      </c>
      <c r="R27" t="s">
        <v>159</v>
      </c>
      <c r="AC27" t="str">
        <f t="shared" si="1"/>
        <v>PDM Current</v>
      </c>
    </row>
    <row r="28" spans="1:29" ht="15.95" customHeight="1" x14ac:dyDescent="0.25">
      <c r="A28" s="16" t="s">
        <v>130</v>
      </c>
      <c r="B28" s="16" t="s">
        <v>24</v>
      </c>
      <c r="C28" s="16" t="s">
        <v>7</v>
      </c>
      <c r="D28" s="16" t="s">
        <v>9</v>
      </c>
      <c r="E28" s="16" t="s">
        <v>48</v>
      </c>
      <c r="F28" s="16" t="s">
        <v>11</v>
      </c>
      <c r="G28" s="16" t="s">
        <v>11</v>
      </c>
      <c r="H28" s="16" t="s">
        <v>11</v>
      </c>
      <c r="I28" s="16" t="s">
        <v>11</v>
      </c>
      <c r="J28" s="16" t="s">
        <v>74</v>
      </c>
      <c r="K28" s="16" t="s">
        <v>11</v>
      </c>
      <c r="L28" s="16" t="b">
        <v>0</v>
      </c>
      <c r="M28" s="16"/>
      <c r="N28" s="16">
        <f t="shared" si="0"/>
        <v>8</v>
      </c>
      <c r="O28" s="16" t="s">
        <v>29</v>
      </c>
      <c r="P28" s="16" t="s">
        <v>23</v>
      </c>
      <c r="R28" t="s">
        <v>131</v>
      </c>
      <c r="AC28" t="s">
        <v>146</v>
      </c>
    </row>
    <row r="29" spans="1:29" ht="15.95" customHeight="1" x14ac:dyDescent="0.25">
      <c r="A29" s="16" t="s">
        <v>109</v>
      </c>
      <c r="B29" s="16" t="s">
        <v>24</v>
      </c>
      <c r="C29" s="16" t="s">
        <v>26</v>
      </c>
      <c r="D29" s="16" t="s">
        <v>9</v>
      </c>
      <c r="E29" s="16" t="s">
        <v>48</v>
      </c>
      <c r="F29" s="16" t="s">
        <v>11</v>
      </c>
      <c r="G29" s="16" t="s">
        <v>11</v>
      </c>
      <c r="H29" s="16" t="s">
        <v>11</v>
      </c>
      <c r="I29" s="16" t="s">
        <v>11</v>
      </c>
      <c r="J29" s="16" t="s">
        <v>74</v>
      </c>
      <c r="K29" s="16" t="s">
        <v>11</v>
      </c>
      <c r="L29" s="16" t="b">
        <v>0</v>
      </c>
      <c r="M29" s="16"/>
      <c r="N29" s="16">
        <f t="shared" si="0"/>
        <v>8</v>
      </c>
      <c r="O29" s="16" t="s">
        <v>47</v>
      </c>
      <c r="P29" s="16" t="s">
        <v>29</v>
      </c>
      <c r="R29" t="s">
        <v>131</v>
      </c>
      <c r="AC29" t="str">
        <f t="shared" si="1"/>
        <v>Fuel Pump</v>
      </c>
    </row>
    <row r="30" spans="1:29" ht="15.95" customHeight="1" x14ac:dyDescent="0.25">
      <c r="A30" s="17" t="s">
        <v>110</v>
      </c>
      <c r="B30" s="18" t="s">
        <v>24</v>
      </c>
      <c r="C30" s="18" t="s">
        <v>26</v>
      </c>
      <c r="D30" s="18" t="s">
        <v>9</v>
      </c>
      <c r="E30" s="18" t="s">
        <v>49</v>
      </c>
      <c r="F30" s="18" t="s">
        <v>11</v>
      </c>
      <c r="G30" s="18" t="s">
        <v>11</v>
      </c>
      <c r="H30" s="18" t="s">
        <v>11</v>
      </c>
      <c r="I30" s="18" t="s">
        <v>11</v>
      </c>
      <c r="J30" s="18" t="s">
        <v>74</v>
      </c>
      <c r="K30" s="18" t="s">
        <v>11</v>
      </c>
      <c r="L30" s="18" t="b">
        <v>0</v>
      </c>
      <c r="M30" s="18"/>
      <c r="N30" s="18">
        <f t="shared" si="0"/>
        <v>9</v>
      </c>
      <c r="O30" s="18" t="s">
        <v>27</v>
      </c>
      <c r="P30" s="18" t="s">
        <v>23</v>
      </c>
      <c r="R30" t="s">
        <v>190</v>
      </c>
      <c r="AC30" t="s">
        <v>147</v>
      </c>
    </row>
    <row r="31" spans="1:29" ht="15.95" customHeight="1" x14ac:dyDescent="0.25">
      <c r="A31" s="17" t="s">
        <v>111</v>
      </c>
      <c r="B31" s="18" t="s">
        <v>24</v>
      </c>
      <c r="C31" s="18" t="s">
        <v>26</v>
      </c>
      <c r="D31" s="18" t="s">
        <v>9</v>
      </c>
      <c r="E31" s="18" t="s">
        <v>50</v>
      </c>
      <c r="F31" s="18" t="s">
        <v>11</v>
      </c>
      <c r="G31" s="18" t="s">
        <v>11</v>
      </c>
      <c r="H31" s="18" t="s">
        <v>11</v>
      </c>
      <c r="I31" s="18" t="s">
        <v>11</v>
      </c>
      <c r="J31" s="18" t="s">
        <v>74</v>
      </c>
      <c r="K31" s="18" t="s">
        <v>11</v>
      </c>
      <c r="L31" s="18" t="b">
        <v>0</v>
      </c>
      <c r="M31" s="18"/>
      <c r="N31" s="18">
        <f t="shared" si="0"/>
        <v>9</v>
      </c>
      <c r="O31" s="18" t="s">
        <v>28</v>
      </c>
      <c r="P31" s="18" t="s">
        <v>29</v>
      </c>
      <c r="R31" t="s">
        <v>190</v>
      </c>
      <c r="AC31" t="str">
        <f t="shared" si="1"/>
        <v>Lift Pumps - Average</v>
      </c>
    </row>
    <row r="32" spans="1:29" ht="15.95" customHeight="1" x14ac:dyDescent="0.25">
      <c r="A32" s="17" t="s">
        <v>112</v>
      </c>
      <c r="B32" s="18" t="s">
        <v>24</v>
      </c>
      <c r="C32" s="18" t="s">
        <v>26</v>
      </c>
      <c r="D32" s="18" t="s">
        <v>9</v>
      </c>
      <c r="E32" s="17" t="s">
        <v>51</v>
      </c>
      <c r="F32" s="18" t="s">
        <v>11</v>
      </c>
      <c r="G32" s="18" t="s">
        <v>11</v>
      </c>
      <c r="H32" s="18" t="s">
        <v>11</v>
      </c>
      <c r="I32" s="18" t="s">
        <v>11</v>
      </c>
      <c r="J32" s="18" t="s">
        <v>74</v>
      </c>
      <c r="K32" s="18" t="s">
        <v>11</v>
      </c>
      <c r="L32" s="18" t="b">
        <v>0</v>
      </c>
      <c r="M32" s="18"/>
      <c r="N32" s="18">
        <f t="shared" si="0"/>
        <v>9</v>
      </c>
      <c r="O32" s="18" t="s">
        <v>27</v>
      </c>
      <c r="P32" s="18" t="s">
        <v>31</v>
      </c>
      <c r="R32" t="s">
        <v>190</v>
      </c>
      <c r="AC32" t="str">
        <f t="shared" si="1"/>
        <v>Lift Pumps - Average</v>
      </c>
    </row>
    <row r="33" spans="1:29" ht="15.95" customHeight="1" x14ac:dyDescent="0.25">
      <c r="A33" s="17" t="s">
        <v>177</v>
      </c>
      <c r="B33" s="18" t="s">
        <v>24</v>
      </c>
      <c r="C33" s="18" t="s">
        <v>26</v>
      </c>
      <c r="D33" s="18" t="s">
        <v>9</v>
      </c>
      <c r="E33" s="17" t="s">
        <v>52</v>
      </c>
      <c r="F33" s="18" t="s">
        <v>11</v>
      </c>
      <c r="G33" s="18" t="s">
        <v>11</v>
      </c>
      <c r="H33" s="18" t="s">
        <v>11</v>
      </c>
      <c r="I33" s="18" t="s">
        <v>11</v>
      </c>
      <c r="J33" s="18" t="s">
        <v>74</v>
      </c>
      <c r="K33" s="18" t="s">
        <v>11</v>
      </c>
      <c r="L33" s="18" t="b">
        <v>0</v>
      </c>
      <c r="M33" s="18"/>
      <c r="N33" s="18">
        <f t="shared" si="0"/>
        <v>9</v>
      </c>
      <c r="O33" s="18" t="s">
        <v>27</v>
      </c>
      <c r="P33" s="18" t="s">
        <v>27</v>
      </c>
      <c r="R33" t="s">
        <v>190</v>
      </c>
      <c r="AC33" t="str">
        <f t="shared" si="1"/>
        <v>Lift Pumps - Average</v>
      </c>
    </row>
    <row r="34" spans="1:29" ht="15.95" customHeight="1" x14ac:dyDescent="0.25">
      <c r="A34" s="19" t="s">
        <v>113</v>
      </c>
      <c r="B34" s="20" t="s">
        <v>24</v>
      </c>
      <c r="C34" s="20" t="s">
        <v>26</v>
      </c>
      <c r="D34" s="20" t="s">
        <v>9</v>
      </c>
      <c r="E34" s="20" t="s">
        <v>49</v>
      </c>
      <c r="F34" s="20" t="s">
        <v>11</v>
      </c>
      <c r="G34" s="20" t="s">
        <v>11</v>
      </c>
      <c r="H34" s="20" t="s">
        <v>11</v>
      </c>
      <c r="I34" s="20" t="s">
        <v>11</v>
      </c>
      <c r="J34" s="20" t="s">
        <v>74</v>
      </c>
      <c r="K34" s="20" t="s">
        <v>11</v>
      </c>
      <c r="L34" s="20" t="b">
        <v>0</v>
      </c>
      <c r="M34" s="20"/>
      <c r="N34" s="20">
        <f t="shared" si="0"/>
        <v>10</v>
      </c>
      <c r="O34" s="20" t="s">
        <v>27</v>
      </c>
      <c r="P34" s="20" t="s">
        <v>23</v>
      </c>
      <c r="R34" t="s">
        <v>190</v>
      </c>
      <c r="AC34" t="s">
        <v>148</v>
      </c>
    </row>
    <row r="35" spans="1:29" ht="15.95" customHeight="1" x14ac:dyDescent="0.25">
      <c r="A35" s="19" t="s">
        <v>114</v>
      </c>
      <c r="B35" s="20" t="s">
        <v>24</v>
      </c>
      <c r="C35" s="20" t="s">
        <v>26</v>
      </c>
      <c r="D35" s="20" t="s">
        <v>9</v>
      </c>
      <c r="E35" s="20" t="s">
        <v>50</v>
      </c>
      <c r="F35" s="20" t="s">
        <v>11</v>
      </c>
      <c r="G35" s="20" t="s">
        <v>11</v>
      </c>
      <c r="H35" s="20" t="s">
        <v>11</v>
      </c>
      <c r="I35" s="20" t="s">
        <v>11</v>
      </c>
      <c r="J35" s="20" t="s">
        <v>74</v>
      </c>
      <c r="K35" s="20" t="s">
        <v>11</v>
      </c>
      <c r="L35" s="20" t="b">
        <v>0</v>
      </c>
      <c r="M35" s="20"/>
      <c r="N35" s="20">
        <f t="shared" si="0"/>
        <v>10</v>
      </c>
      <c r="O35" s="20" t="s">
        <v>28</v>
      </c>
      <c r="P35" s="20" t="s">
        <v>29</v>
      </c>
      <c r="R35" t="s">
        <v>190</v>
      </c>
      <c r="AC35" t="str">
        <f t="shared" si="1"/>
        <v>Lift Pumps - Maximum</v>
      </c>
    </row>
    <row r="36" spans="1:29" ht="15.95" customHeight="1" x14ac:dyDescent="0.25">
      <c r="A36" s="19" t="s">
        <v>115</v>
      </c>
      <c r="B36" s="20" t="s">
        <v>24</v>
      </c>
      <c r="C36" s="20" t="s">
        <v>26</v>
      </c>
      <c r="D36" s="20" t="s">
        <v>9</v>
      </c>
      <c r="E36" s="19" t="s">
        <v>51</v>
      </c>
      <c r="F36" s="20" t="s">
        <v>11</v>
      </c>
      <c r="G36" s="20" t="s">
        <v>11</v>
      </c>
      <c r="H36" s="20" t="s">
        <v>11</v>
      </c>
      <c r="I36" s="20" t="s">
        <v>11</v>
      </c>
      <c r="J36" s="20" t="s">
        <v>74</v>
      </c>
      <c r="K36" s="20" t="s">
        <v>11</v>
      </c>
      <c r="L36" s="20" t="b">
        <v>0</v>
      </c>
      <c r="M36" s="20"/>
      <c r="N36" s="20">
        <f t="shared" si="0"/>
        <v>10</v>
      </c>
      <c r="O36" s="20" t="s">
        <v>27</v>
      </c>
      <c r="P36" s="20" t="s">
        <v>31</v>
      </c>
      <c r="R36" t="s">
        <v>190</v>
      </c>
      <c r="AC36" t="str">
        <f t="shared" si="1"/>
        <v>Lift Pumps - Maximum</v>
      </c>
    </row>
    <row r="37" spans="1:29" ht="15.95" customHeight="1" x14ac:dyDescent="0.25">
      <c r="A37" s="19" t="s">
        <v>116</v>
      </c>
      <c r="B37" s="20" t="s">
        <v>24</v>
      </c>
      <c r="C37" s="20" t="s">
        <v>26</v>
      </c>
      <c r="D37" s="20" t="s">
        <v>9</v>
      </c>
      <c r="E37" s="19" t="s">
        <v>52</v>
      </c>
      <c r="F37" s="20" t="s">
        <v>11</v>
      </c>
      <c r="G37" s="20" t="s">
        <v>11</v>
      </c>
      <c r="H37" s="20" t="s">
        <v>11</v>
      </c>
      <c r="I37" s="20" t="s">
        <v>11</v>
      </c>
      <c r="J37" s="20" t="s">
        <v>74</v>
      </c>
      <c r="K37" s="20" t="s">
        <v>11</v>
      </c>
      <c r="L37" s="20" t="b">
        <v>0</v>
      </c>
      <c r="M37" s="20"/>
      <c r="N37" s="20">
        <f t="shared" si="0"/>
        <v>10</v>
      </c>
      <c r="O37" s="20" t="s">
        <v>27</v>
      </c>
      <c r="P37" s="20" t="s">
        <v>27</v>
      </c>
      <c r="R37" t="s">
        <v>190</v>
      </c>
      <c r="AC37" t="str">
        <f t="shared" si="1"/>
        <v>Lift Pumps - Maximum</v>
      </c>
    </row>
    <row r="38" spans="1:29" ht="15.95" customHeight="1" x14ac:dyDescent="0.25">
      <c r="A38" s="21" t="s">
        <v>178</v>
      </c>
      <c r="B38" s="22" t="s">
        <v>24</v>
      </c>
      <c r="C38" s="22" t="s">
        <v>26</v>
      </c>
      <c r="D38" s="22" t="s">
        <v>9</v>
      </c>
      <c r="E38" s="21" t="s">
        <v>56</v>
      </c>
      <c r="F38" s="22" t="s">
        <v>11</v>
      </c>
      <c r="G38" s="22" t="s">
        <v>11</v>
      </c>
      <c r="H38" s="22" t="s">
        <v>11</v>
      </c>
      <c r="I38" s="22" t="s">
        <v>11</v>
      </c>
      <c r="J38" s="22" t="s">
        <v>74</v>
      </c>
      <c r="K38" s="22" t="s">
        <v>11</v>
      </c>
      <c r="L38" s="22" t="b">
        <v>0</v>
      </c>
      <c r="M38" s="22"/>
      <c r="N38" s="22">
        <f t="shared" si="0"/>
        <v>11</v>
      </c>
      <c r="O38" s="22" t="s">
        <v>22</v>
      </c>
      <c r="P38" s="22" t="s">
        <v>23</v>
      </c>
      <c r="R38" t="s">
        <v>160</v>
      </c>
      <c r="AC38" t="s">
        <v>149</v>
      </c>
    </row>
    <row r="39" spans="1:29" ht="15.95" customHeight="1" x14ac:dyDescent="0.25">
      <c r="A39" s="21" t="s">
        <v>179</v>
      </c>
      <c r="B39" s="22" t="s">
        <v>24</v>
      </c>
      <c r="C39" s="22" t="s">
        <v>26</v>
      </c>
      <c r="D39" s="22" t="s">
        <v>9</v>
      </c>
      <c r="E39" s="21" t="s">
        <v>57</v>
      </c>
      <c r="F39" s="22" t="s">
        <v>11</v>
      </c>
      <c r="G39" s="22" t="s">
        <v>11</v>
      </c>
      <c r="H39" s="22" t="s">
        <v>11</v>
      </c>
      <c r="I39" s="22" t="s">
        <v>11</v>
      </c>
      <c r="J39" s="22" t="s">
        <v>74</v>
      </c>
      <c r="K39" s="22" t="s">
        <v>11</v>
      </c>
      <c r="L39" s="22" t="b">
        <v>0</v>
      </c>
      <c r="M39" s="22"/>
      <c r="N39" s="22">
        <f t="shared" si="0"/>
        <v>11</v>
      </c>
      <c r="O39" s="22" t="s">
        <v>22</v>
      </c>
      <c r="P39" s="22" t="s">
        <v>29</v>
      </c>
      <c r="R39" t="s">
        <v>160</v>
      </c>
      <c r="AC39" t="str">
        <f t="shared" si="1"/>
        <v>CAN Utilization</v>
      </c>
    </row>
    <row r="40" spans="1:29" ht="15.95" customHeight="1" x14ac:dyDescent="0.25">
      <c r="A40" s="21" t="s">
        <v>180</v>
      </c>
      <c r="B40" s="22" t="s">
        <v>24</v>
      </c>
      <c r="C40" s="22" t="s">
        <v>26</v>
      </c>
      <c r="D40" s="22" t="s">
        <v>9</v>
      </c>
      <c r="E40" s="21" t="s">
        <v>58</v>
      </c>
      <c r="F40" s="22" t="s">
        <v>11</v>
      </c>
      <c r="G40" s="22" t="s">
        <v>11</v>
      </c>
      <c r="H40" s="22" t="s">
        <v>11</v>
      </c>
      <c r="I40" s="22" t="s">
        <v>11</v>
      </c>
      <c r="J40" s="22" t="s">
        <v>74</v>
      </c>
      <c r="K40" s="22" t="s">
        <v>11</v>
      </c>
      <c r="L40" s="22" t="b">
        <v>0</v>
      </c>
      <c r="M40" s="22"/>
      <c r="N40" s="22">
        <f t="shared" si="0"/>
        <v>11</v>
      </c>
      <c r="O40" s="22" t="s">
        <v>53</v>
      </c>
      <c r="P40" s="22" t="s">
        <v>53</v>
      </c>
      <c r="R40" t="s">
        <v>160</v>
      </c>
      <c r="AC40" t="str">
        <f t="shared" si="1"/>
        <v>CAN Utilization</v>
      </c>
    </row>
    <row r="41" spans="1:29" ht="15.95" customHeight="1" x14ac:dyDescent="0.25">
      <c r="A41" s="3" t="s">
        <v>181</v>
      </c>
      <c r="B41" s="23" t="s">
        <v>24</v>
      </c>
      <c r="C41" s="23" t="s">
        <v>26</v>
      </c>
      <c r="D41" s="23" t="s">
        <v>9</v>
      </c>
      <c r="E41" s="3" t="s">
        <v>55</v>
      </c>
      <c r="F41" s="23" t="s">
        <v>11</v>
      </c>
      <c r="G41" s="23" t="s">
        <v>11</v>
      </c>
      <c r="H41" s="23" t="s">
        <v>11</v>
      </c>
      <c r="I41" s="23" t="s">
        <v>11</v>
      </c>
      <c r="J41" s="23" t="s">
        <v>74</v>
      </c>
      <c r="K41" s="23" t="s">
        <v>11</v>
      </c>
      <c r="L41" s="23" t="b">
        <v>0</v>
      </c>
      <c r="M41" s="23"/>
      <c r="N41" s="23">
        <f t="shared" si="0"/>
        <v>12</v>
      </c>
      <c r="O41" s="23" t="s">
        <v>29</v>
      </c>
      <c r="P41" s="23" t="s">
        <v>23</v>
      </c>
      <c r="R41" t="s">
        <v>160</v>
      </c>
      <c r="AC41" t="s">
        <v>150</v>
      </c>
    </row>
    <row r="42" spans="1:29" ht="15.95" customHeight="1" x14ac:dyDescent="0.25">
      <c r="A42" s="3" t="s">
        <v>182</v>
      </c>
      <c r="B42" s="23" t="s">
        <v>24</v>
      </c>
      <c r="C42" s="23" t="s">
        <v>26</v>
      </c>
      <c r="D42" s="23" t="s">
        <v>9</v>
      </c>
      <c r="E42" s="3" t="s">
        <v>54</v>
      </c>
      <c r="F42" s="23" t="s">
        <v>11</v>
      </c>
      <c r="G42" s="23" t="s">
        <v>11</v>
      </c>
      <c r="H42" s="23" t="s">
        <v>11</v>
      </c>
      <c r="I42" s="23" t="s">
        <v>11</v>
      </c>
      <c r="J42" s="3" t="s">
        <v>74</v>
      </c>
      <c r="K42" s="3" t="s">
        <v>11</v>
      </c>
      <c r="L42" s="3" t="b">
        <v>0</v>
      </c>
      <c r="M42" s="3"/>
      <c r="N42" s="3">
        <f t="shared" si="0"/>
        <v>12</v>
      </c>
      <c r="O42" s="3" t="s">
        <v>29</v>
      </c>
      <c r="P42" s="3" t="s">
        <v>29</v>
      </c>
      <c r="R42" t="s">
        <v>160</v>
      </c>
      <c r="AC42" t="str">
        <f t="shared" si="1"/>
        <v>CPU Usage</v>
      </c>
    </row>
    <row r="43" spans="1:29" ht="15.95" customHeight="1" x14ac:dyDescent="0.25">
      <c r="A43" s="21" t="s">
        <v>185</v>
      </c>
      <c r="B43" s="22" t="s">
        <v>24</v>
      </c>
      <c r="C43" s="22" t="s">
        <v>26</v>
      </c>
      <c r="D43" s="22" t="s">
        <v>9</v>
      </c>
      <c r="E43" s="22" t="s">
        <v>59</v>
      </c>
      <c r="F43" s="22" t="s">
        <v>11</v>
      </c>
      <c r="G43" s="22" t="s">
        <v>11</v>
      </c>
      <c r="H43" s="22" t="s">
        <v>11</v>
      </c>
      <c r="I43" s="22" t="s">
        <v>11</v>
      </c>
      <c r="J43" s="22" t="s">
        <v>74</v>
      </c>
      <c r="K43" s="22" t="s">
        <v>11</v>
      </c>
      <c r="L43" s="22" t="b">
        <v>0</v>
      </c>
      <c r="M43" s="22"/>
      <c r="N43" s="22">
        <f t="shared" si="0"/>
        <v>13</v>
      </c>
      <c r="O43" s="22" t="s">
        <v>22</v>
      </c>
      <c r="P43" s="22" t="s">
        <v>23</v>
      </c>
      <c r="R43" t="s">
        <v>161</v>
      </c>
      <c r="AC43" t="s">
        <v>151</v>
      </c>
    </row>
    <row r="44" spans="1:29" ht="15.95" customHeight="1" x14ac:dyDescent="0.25">
      <c r="A44" s="21" t="s">
        <v>183</v>
      </c>
      <c r="B44" s="22" t="s">
        <v>24</v>
      </c>
      <c r="C44" s="22" t="s">
        <v>26</v>
      </c>
      <c r="D44" s="22" t="s">
        <v>9</v>
      </c>
      <c r="E44" s="22" t="s">
        <v>60</v>
      </c>
      <c r="F44" s="22" t="s">
        <v>11</v>
      </c>
      <c r="G44" s="22" t="s">
        <v>11</v>
      </c>
      <c r="H44" s="22" t="s">
        <v>11</v>
      </c>
      <c r="I44" s="22" t="s">
        <v>11</v>
      </c>
      <c r="J44" s="22" t="s">
        <v>74</v>
      </c>
      <c r="K44" s="22" t="s">
        <v>11</v>
      </c>
      <c r="L44" s="22" t="b">
        <v>0</v>
      </c>
      <c r="M44" s="22"/>
      <c r="N44" s="22">
        <f t="shared" si="0"/>
        <v>13</v>
      </c>
      <c r="O44" s="22" t="s">
        <v>22</v>
      </c>
      <c r="P44" s="22" t="s">
        <v>29</v>
      </c>
      <c r="R44" t="s">
        <v>191</v>
      </c>
      <c r="AC44" t="str">
        <f t="shared" si="1"/>
        <v>Driver Monitor</v>
      </c>
    </row>
    <row r="45" spans="1:29" ht="15.95" customHeight="1" x14ac:dyDescent="0.25">
      <c r="A45" s="21" t="s">
        <v>184</v>
      </c>
      <c r="B45" s="22" t="s">
        <v>24</v>
      </c>
      <c r="C45" s="22" t="s">
        <v>26</v>
      </c>
      <c r="D45" s="22" t="s">
        <v>9</v>
      </c>
      <c r="E45" s="22" t="s">
        <v>61</v>
      </c>
      <c r="F45" s="22" t="s">
        <v>11</v>
      </c>
      <c r="G45" s="22" t="s">
        <v>11</v>
      </c>
      <c r="H45" s="22" t="s">
        <v>11</v>
      </c>
      <c r="I45" s="22" t="s">
        <v>11</v>
      </c>
      <c r="J45" s="22" t="s">
        <v>74</v>
      </c>
      <c r="K45" s="22" t="s">
        <v>11</v>
      </c>
      <c r="L45" s="22" t="b">
        <v>0</v>
      </c>
      <c r="M45" s="22"/>
      <c r="N45" s="22">
        <f t="shared" si="0"/>
        <v>13</v>
      </c>
      <c r="O45" s="22" t="s">
        <v>53</v>
      </c>
      <c r="P45" s="22" t="s">
        <v>53</v>
      </c>
      <c r="R45" t="s">
        <v>191</v>
      </c>
      <c r="AC45" t="str">
        <f t="shared" si="1"/>
        <v>Driver Monitor</v>
      </c>
    </row>
    <row r="46" spans="1:29" ht="15.95" customHeight="1" x14ac:dyDescent="0.25">
      <c r="A46" s="3" t="s">
        <v>165</v>
      </c>
      <c r="B46" s="23" t="s">
        <v>24</v>
      </c>
      <c r="C46" s="23" t="s">
        <v>26</v>
      </c>
      <c r="D46" s="23" t="s">
        <v>9</v>
      </c>
      <c r="E46" s="3" t="s">
        <v>170</v>
      </c>
      <c r="F46" s="23" t="s">
        <v>11</v>
      </c>
      <c r="G46" s="23" t="s">
        <v>11</v>
      </c>
      <c r="H46" s="23" t="s">
        <v>11</v>
      </c>
      <c r="I46" s="23" t="s">
        <v>11</v>
      </c>
      <c r="J46" s="23" t="s">
        <v>74</v>
      </c>
      <c r="K46" s="23" t="s">
        <v>11</v>
      </c>
      <c r="L46" s="23" t="b">
        <v>0</v>
      </c>
      <c r="M46" s="23"/>
      <c r="N46" s="23">
        <f t="shared" si="0"/>
        <v>14</v>
      </c>
      <c r="O46" s="23" t="s">
        <v>22</v>
      </c>
      <c r="P46" s="23" t="s">
        <v>23</v>
      </c>
      <c r="R46" t="s">
        <v>166</v>
      </c>
      <c r="AB46" t="s">
        <v>163</v>
      </c>
      <c r="AC46" t="s">
        <v>142</v>
      </c>
    </row>
    <row r="47" spans="1:29" ht="15.95" customHeight="1" x14ac:dyDescent="0.25">
      <c r="A47" s="3" t="s">
        <v>117</v>
      </c>
      <c r="B47" s="23" t="s">
        <v>24</v>
      </c>
      <c r="C47" s="23" t="s">
        <v>26</v>
      </c>
      <c r="D47" s="23" t="s">
        <v>9</v>
      </c>
      <c r="E47" s="3" t="s">
        <v>63</v>
      </c>
      <c r="F47" s="23" t="s">
        <v>11</v>
      </c>
      <c r="G47" s="23" t="s">
        <v>11</v>
      </c>
      <c r="H47" s="23" t="s">
        <v>11</v>
      </c>
      <c r="I47" s="23" t="s">
        <v>11</v>
      </c>
      <c r="J47" s="23" t="s">
        <v>74</v>
      </c>
      <c r="K47" s="23" t="s">
        <v>11</v>
      </c>
      <c r="L47" s="23" t="b">
        <v>0</v>
      </c>
      <c r="M47" s="23"/>
      <c r="N47" s="23">
        <f t="shared" si="0"/>
        <v>14</v>
      </c>
      <c r="O47" s="23" t="s">
        <v>22</v>
      </c>
      <c r="P47" s="23" t="s">
        <v>29</v>
      </c>
      <c r="R47" t="s">
        <v>129</v>
      </c>
      <c r="AC47" t="str">
        <f t="shared" si="1"/>
        <v>Inlet</v>
      </c>
    </row>
    <row r="48" spans="1:29" ht="15.95" customHeight="1" x14ac:dyDescent="0.25">
      <c r="A48" s="3" t="s">
        <v>164</v>
      </c>
      <c r="B48" s="23" t="s">
        <v>24</v>
      </c>
      <c r="C48" s="23" t="s">
        <v>26</v>
      </c>
      <c r="D48" s="3" t="s">
        <v>9</v>
      </c>
      <c r="E48" s="3" t="s">
        <v>62</v>
      </c>
      <c r="F48" s="23" t="s">
        <v>11</v>
      </c>
      <c r="G48" s="23" t="s">
        <v>11</v>
      </c>
      <c r="H48" s="23" t="s">
        <v>11</v>
      </c>
      <c r="I48" s="23" t="s">
        <v>11</v>
      </c>
      <c r="J48" s="23" t="s">
        <v>74</v>
      </c>
      <c r="K48" s="23" t="s">
        <v>11</v>
      </c>
      <c r="L48" s="23" t="b">
        <v>0</v>
      </c>
      <c r="M48" s="23"/>
      <c r="N48" s="23">
        <f t="shared" si="0"/>
        <v>14</v>
      </c>
      <c r="O48" s="23" t="s">
        <v>53</v>
      </c>
      <c r="P48" s="23" t="s">
        <v>53</v>
      </c>
      <c r="R48" t="s">
        <v>160</v>
      </c>
      <c r="AC48" t="str">
        <f t="shared" si="1"/>
        <v>Inlet</v>
      </c>
    </row>
    <row r="49" spans="1:29" ht="15.95" customHeight="1" x14ac:dyDescent="0.25">
      <c r="A49" s="4" t="s">
        <v>99</v>
      </c>
      <c r="B49" s="5" t="s">
        <v>86</v>
      </c>
      <c r="C49" s="4" t="s">
        <v>7</v>
      </c>
      <c r="D49" s="4" t="s">
        <v>9</v>
      </c>
      <c r="E49" s="5" t="s">
        <v>25</v>
      </c>
      <c r="F49" s="4" t="s">
        <v>11</v>
      </c>
      <c r="G49" s="4" t="s">
        <v>11</v>
      </c>
      <c r="H49" s="4" t="s">
        <v>11</v>
      </c>
      <c r="I49" s="4" t="s">
        <v>11</v>
      </c>
      <c r="J49" s="4" t="s">
        <v>74</v>
      </c>
      <c r="K49" s="4" t="s">
        <v>11</v>
      </c>
      <c r="L49" s="4" t="b">
        <v>0</v>
      </c>
      <c r="M49" s="5"/>
      <c r="N49" s="5">
        <f t="shared" si="0"/>
        <v>15</v>
      </c>
      <c r="O49" s="5" t="s">
        <v>27</v>
      </c>
      <c r="P49" s="5" t="s">
        <v>23</v>
      </c>
      <c r="R49" t="s">
        <v>87</v>
      </c>
      <c r="V49">
        <v>4</v>
      </c>
      <c r="AC49" t="s">
        <v>138</v>
      </c>
    </row>
    <row r="50" spans="1:29" ht="15.95" customHeight="1" x14ac:dyDescent="0.25">
      <c r="A50" s="4" t="s">
        <v>100</v>
      </c>
      <c r="B50" s="5" t="s">
        <v>86</v>
      </c>
      <c r="C50" s="4" t="s">
        <v>26</v>
      </c>
      <c r="D50" s="4" t="s">
        <v>9</v>
      </c>
      <c r="E50" s="5" t="s">
        <v>25</v>
      </c>
      <c r="F50" s="4" t="s">
        <v>11</v>
      </c>
      <c r="G50" s="4" t="s">
        <v>11</v>
      </c>
      <c r="H50" s="4" t="s">
        <v>11</v>
      </c>
      <c r="I50" s="4" t="s">
        <v>11</v>
      </c>
      <c r="J50" s="4" t="s">
        <v>74</v>
      </c>
      <c r="K50" s="4" t="s">
        <v>11</v>
      </c>
      <c r="L50" s="4" t="b">
        <v>0</v>
      </c>
      <c r="M50" s="5"/>
      <c r="N50" s="5">
        <f t="shared" si="0"/>
        <v>15</v>
      </c>
      <c r="O50" s="5" t="s">
        <v>28</v>
      </c>
      <c r="P50" s="5" t="s">
        <v>29</v>
      </c>
      <c r="R50" t="s">
        <v>87</v>
      </c>
      <c r="V50">
        <v>4</v>
      </c>
      <c r="AC50" t="s">
        <v>138</v>
      </c>
    </row>
    <row r="51" spans="1:29" ht="15.95" customHeight="1" x14ac:dyDescent="0.25">
      <c r="A51" s="4" t="s">
        <v>175</v>
      </c>
      <c r="B51" s="5" t="s">
        <v>86</v>
      </c>
      <c r="C51" s="4" t="s">
        <v>7</v>
      </c>
      <c r="D51" s="4" t="s">
        <v>9</v>
      </c>
      <c r="E51" s="5" t="s">
        <v>34</v>
      </c>
      <c r="F51" s="4" t="s">
        <v>11</v>
      </c>
      <c r="G51" s="4" t="s">
        <v>11</v>
      </c>
      <c r="H51" s="4" t="s">
        <v>11</v>
      </c>
      <c r="I51" s="4" t="s">
        <v>11</v>
      </c>
      <c r="J51" s="4" t="s">
        <v>74</v>
      </c>
      <c r="K51" s="4" t="s">
        <v>11</v>
      </c>
      <c r="L51" s="4" t="b">
        <v>0</v>
      </c>
      <c r="M51" s="5"/>
      <c r="N51" s="5">
        <f t="shared" si="0"/>
        <v>15</v>
      </c>
      <c r="O51" s="5" t="s">
        <v>27</v>
      </c>
      <c r="P51" s="5" t="s">
        <v>31</v>
      </c>
      <c r="R51" t="s">
        <v>153</v>
      </c>
      <c r="V51">
        <v>4</v>
      </c>
      <c r="AC51" t="s">
        <v>138</v>
      </c>
    </row>
    <row r="52" spans="1:29" ht="15.95" customHeight="1" x14ac:dyDescent="0.25">
      <c r="A52" s="4" t="s">
        <v>176</v>
      </c>
      <c r="B52" s="5" t="s">
        <v>86</v>
      </c>
      <c r="C52" s="4" t="s">
        <v>26</v>
      </c>
      <c r="D52" s="4" t="s">
        <v>9</v>
      </c>
      <c r="E52" s="5" t="s">
        <v>34</v>
      </c>
      <c r="F52" s="4" t="s">
        <v>11</v>
      </c>
      <c r="G52" s="4" t="s">
        <v>11</v>
      </c>
      <c r="H52" s="4" t="s">
        <v>11</v>
      </c>
      <c r="I52" s="4" t="s">
        <v>11</v>
      </c>
      <c r="J52" s="4" t="s">
        <v>74</v>
      </c>
      <c r="K52" s="4" t="s">
        <v>11</v>
      </c>
      <c r="L52" s="4" t="b">
        <v>0</v>
      </c>
      <c r="M52" s="5"/>
      <c r="N52" s="5">
        <f t="shared" si="0"/>
        <v>15</v>
      </c>
      <c r="O52" s="5" t="s">
        <v>27</v>
      </c>
      <c r="P52" s="5" t="s">
        <v>27</v>
      </c>
      <c r="R52" t="s">
        <v>153</v>
      </c>
      <c r="V52">
        <v>4</v>
      </c>
      <c r="AC52" t="s">
        <v>138</v>
      </c>
    </row>
    <row r="53" spans="1:29" ht="15.95" customHeight="1" x14ac:dyDescent="0.25">
      <c r="A53" s="6" t="s">
        <v>127</v>
      </c>
      <c r="B53" s="7" t="s">
        <v>86</v>
      </c>
      <c r="C53" s="6" t="s">
        <v>7</v>
      </c>
      <c r="D53" s="6" t="s">
        <v>9</v>
      </c>
      <c r="E53" s="7" t="s">
        <v>33</v>
      </c>
      <c r="F53" s="6" t="s">
        <v>11</v>
      </c>
      <c r="G53" s="6" t="s">
        <v>11</v>
      </c>
      <c r="H53" s="6" t="s">
        <v>11</v>
      </c>
      <c r="I53" s="6" t="s">
        <v>11</v>
      </c>
      <c r="J53" s="6" t="s">
        <v>74</v>
      </c>
      <c r="K53" s="6" t="s">
        <v>11</v>
      </c>
      <c r="L53" s="6" t="b">
        <v>0</v>
      </c>
      <c r="M53" s="7"/>
      <c r="N53" s="7">
        <f t="shared" si="0"/>
        <v>16</v>
      </c>
      <c r="O53" s="7" t="s">
        <v>27</v>
      </c>
      <c r="P53" s="7" t="s">
        <v>23</v>
      </c>
      <c r="R53" t="s">
        <v>155</v>
      </c>
      <c r="V53">
        <v>4</v>
      </c>
      <c r="AC53" t="s">
        <v>139</v>
      </c>
    </row>
    <row r="54" spans="1:29" ht="15.95" customHeight="1" x14ac:dyDescent="0.25">
      <c r="A54" s="6" t="s">
        <v>128</v>
      </c>
      <c r="B54" s="7" t="s">
        <v>86</v>
      </c>
      <c r="C54" s="6" t="s">
        <v>26</v>
      </c>
      <c r="D54" s="6" t="s">
        <v>9</v>
      </c>
      <c r="E54" s="7" t="s">
        <v>33</v>
      </c>
      <c r="F54" s="6" t="s">
        <v>11</v>
      </c>
      <c r="G54" s="6" t="s">
        <v>11</v>
      </c>
      <c r="H54" s="6" t="s">
        <v>11</v>
      </c>
      <c r="I54" s="6" t="s">
        <v>11</v>
      </c>
      <c r="J54" s="6" t="s">
        <v>74</v>
      </c>
      <c r="K54" s="6" t="s">
        <v>11</v>
      </c>
      <c r="L54" s="6" t="b">
        <v>0</v>
      </c>
      <c r="M54" s="7"/>
      <c r="N54" s="7">
        <f t="shared" si="0"/>
        <v>16</v>
      </c>
      <c r="O54" s="7" t="s">
        <v>28</v>
      </c>
      <c r="P54" s="7" t="s">
        <v>29</v>
      </c>
      <c r="R54" t="s">
        <v>155</v>
      </c>
      <c r="V54">
        <v>4</v>
      </c>
      <c r="AC54" t="s">
        <v>139</v>
      </c>
    </row>
    <row r="55" spans="1:29" ht="15.95" customHeight="1" x14ac:dyDescent="0.25">
      <c r="A55" s="6" t="s">
        <v>173</v>
      </c>
      <c r="B55" s="7" t="s">
        <v>86</v>
      </c>
      <c r="C55" s="6" t="s">
        <v>7</v>
      </c>
      <c r="D55" s="6" t="s">
        <v>9</v>
      </c>
      <c r="E55" s="7" t="s">
        <v>32</v>
      </c>
      <c r="F55" s="6" t="s">
        <v>11</v>
      </c>
      <c r="G55" s="6" t="s">
        <v>11</v>
      </c>
      <c r="H55" s="6" t="s">
        <v>11</v>
      </c>
      <c r="I55" s="6" t="s">
        <v>11</v>
      </c>
      <c r="J55" s="6" t="s">
        <v>74</v>
      </c>
      <c r="K55" s="6" t="s">
        <v>11</v>
      </c>
      <c r="L55" s="6" t="b">
        <v>0</v>
      </c>
      <c r="M55" s="7"/>
      <c r="N55" s="7">
        <f t="shared" si="0"/>
        <v>16</v>
      </c>
      <c r="O55" s="7" t="s">
        <v>27</v>
      </c>
      <c r="P55" s="7" t="s">
        <v>31</v>
      </c>
      <c r="R55" t="s">
        <v>154</v>
      </c>
      <c r="V55">
        <v>4</v>
      </c>
      <c r="AC55" t="s">
        <v>139</v>
      </c>
    </row>
    <row r="56" spans="1:29" ht="15.95" customHeight="1" x14ac:dyDescent="0.25">
      <c r="A56" s="6" t="s">
        <v>174</v>
      </c>
      <c r="B56" s="7" t="s">
        <v>86</v>
      </c>
      <c r="C56" s="6" t="s">
        <v>26</v>
      </c>
      <c r="D56" s="6" t="s">
        <v>9</v>
      </c>
      <c r="E56" s="7" t="s">
        <v>32</v>
      </c>
      <c r="F56" s="6" t="s">
        <v>11</v>
      </c>
      <c r="G56" s="6" t="s">
        <v>11</v>
      </c>
      <c r="H56" s="6" t="s">
        <v>11</v>
      </c>
      <c r="I56" s="6" t="s">
        <v>11</v>
      </c>
      <c r="J56" s="6" t="s">
        <v>74</v>
      </c>
      <c r="K56" s="6" t="s">
        <v>11</v>
      </c>
      <c r="L56" s="6" t="b">
        <v>0</v>
      </c>
      <c r="M56" s="7"/>
      <c r="N56" s="7">
        <f t="shared" si="0"/>
        <v>16</v>
      </c>
      <c r="O56" s="7" t="s">
        <v>27</v>
      </c>
      <c r="P56" s="7" t="s">
        <v>27</v>
      </c>
      <c r="R56" t="s">
        <v>154</v>
      </c>
      <c r="V56">
        <v>4</v>
      </c>
      <c r="AC56" t="str">
        <f>AC55</f>
        <v>Transmission</v>
      </c>
    </row>
    <row r="57" spans="1:29" ht="15.95" customHeight="1" x14ac:dyDescent="0.25">
      <c r="A57" s="8" t="s">
        <v>95</v>
      </c>
      <c r="B57" s="9" t="s">
        <v>86</v>
      </c>
      <c r="C57" s="8" t="s">
        <v>7</v>
      </c>
      <c r="D57" s="8" t="s">
        <v>9</v>
      </c>
      <c r="E57" s="9" t="s">
        <v>30</v>
      </c>
      <c r="F57" s="8" t="s">
        <v>11</v>
      </c>
      <c r="G57" s="8" t="s">
        <v>11</v>
      </c>
      <c r="H57" s="8" t="s">
        <v>11</v>
      </c>
      <c r="I57" s="8" t="s">
        <v>11</v>
      </c>
      <c r="J57" s="8" t="s">
        <v>74</v>
      </c>
      <c r="K57" s="8" t="s">
        <v>11</v>
      </c>
      <c r="L57" s="8" t="b">
        <v>0</v>
      </c>
      <c r="M57" s="9"/>
      <c r="N57" s="9">
        <f t="shared" si="0"/>
        <v>17</v>
      </c>
      <c r="O57" s="9" t="s">
        <v>27</v>
      </c>
      <c r="P57" s="9" t="s">
        <v>23</v>
      </c>
      <c r="R57" t="s">
        <v>186</v>
      </c>
      <c r="V57">
        <v>4</v>
      </c>
      <c r="AC57" t="s">
        <v>140</v>
      </c>
    </row>
    <row r="58" spans="1:29" ht="15.95" customHeight="1" x14ac:dyDescent="0.25">
      <c r="A58" s="8" t="s">
        <v>96</v>
      </c>
      <c r="B58" s="9" t="s">
        <v>86</v>
      </c>
      <c r="C58" s="8" t="s">
        <v>26</v>
      </c>
      <c r="D58" s="8" t="s">
        <v>9</v>
      </c>
      <c r="E58" s="9" t="s">
        <v>30</v>
      </c>
      <c r="F58" s="8" t="s">
        <v>11</v>
      </c>
      <c r="G58" s="8" t="s">
        <v>11</v>
      </c>
      <c r="H58" s="8" t="s">
        <v>11</v>
      </c>
      <c r="I58" s="8" t="s">
        <v>11</v>
      </c>
      <c r="J58" s="8" t="s">
        <v>74</v>
      </c>
      <c r="K58" s="8" t="s">
        <v>11</v>
      </c>
      <c r="L58" s="8" t="b">
        <v>0</v>
      </c>
      <c r="M58" s="9"/>
      <c r="N58" s="9">
        <f t="shared" si="0"/>
        <v>17</v>
      </c>
      <c r="O58" s="9" t="s">
        <v>28</v>
      </c>
      <c r="P58" s="9" t="s">
        <v>29</v>
      </c>
      <c r="R58" t="s">
        <v>186</v>
      </c>
      <c r="V58">
        <v>4</v>
      </c>
      <c r="AC58" t="str">
        <f t="shared" ref="AC58:AC95" si="2">AC57</f>
        <v>Engine</v>
      </c>
    </row>
    <row r="59" spans="1:29" ht="15.95" customHeight="1" x14ac:dyDescent="0.25">
      <c r="A59" s="8" t="s">
        <v>98</v>
      </c>
      <c r="B59" s="9" t="s">
        <v>86</v>
      </c>
      <c r="C59" s="8" t="s">
        <v>7</v>
      </c>
      <c r="D59" s="8" t="s">
        <v>9</v>
      </c>
      <c r="E59" s="9" t="s">
        <v>35</v>
      </c>
      <c r="F59" s="8" t="s">
        <v>11</v>
      </c>
      <c r="G59" s="8" t="s">
        <v>11</v>
      </c>
      <c r="H59" s="8" t="s">
        <v>11</v>
      </c>
      <c r="I59" s="8" t="s">
        <v>11</v>
      </c>
      <c r="J59" s="8" t="s">
        <v>74</v>
      </c>
      <c r="K59" s="8" t="s">
        <v>11</v>
      </c>
      <c r="L59" s="8" t="b">
        <v>0</v>
      </c>
      <c r="M59" s="9"/>
      <c r="N59" s="9">
        <f t="shared" si="0"/>
        <v>17</v>
      </c>
      <c r="O59" s="9" t="s">
        <v>27</v>
      </c>
      <c r="P59" s="9" t="s">
        <v>31</v>
      </c>
      <c r="R59" t="s">
        <v>156</v>
      </c>
      <c r="V59">
        <v>4</v>
      </c>
      <c r="AC59" t="str">
        <f t="shared" si="2"/>
        <v>Engine</v>
      </c>
    </row>
    <row r="60" spans="1:29" ht="15.95" customHeight="1" x14ac:dyDescent="0.25">
      <c r="A60" s="8" t="s">
        <v>97</v>
      </c>
      <c r="B60" s="9" t="s">
        <v>86</v>
      </c>
      <c r="C60" s="8" t="s">
        <v>26</v>
      </c>
      <c r="D60" s="8" t="s">
        <v>9</v>
      </c>
      <c r="E60" s="9" t="s">
        <v>35</v>
      </c>
      <c r="F60" s="8" t="s">
        <v>11</v>
      </c>
      <c r="G60" s="8" t="s">
        <v>11</v>
      </c>
      <c r="H60" s="8" t="s">
        <v>11</v>
      </c>
      <c r="I60" s="8" t="s">
        <v>11</v>
      </c>
      <c r="J60" s="8" t="s">
        <v>74</v>
      </c>
      <c r="K60" s="8" t="s">
        <v>11</v>
      </c>
      <c r="L60" s="8" t="b">
        <v>0</v>
      </c>
      <c r="M60" s="9"/>
      <c r="N60" s="9">
        <f t="shared" si="0"/>
        <v>17</v>
      </c>
      <c r="O60" s="9" t="s">
        <v>27</v>
      </c>
      <c r="P60" s="9" t="s">
        <v>27</v>
      </c>
      <c r="R60" t="s">
        <v>156</v>
      </c>
      <c r="V60">
        <v>4</v>
      </c>
      <c r="AC60" t="str">
        <f t="shared" si="2"/>
        <v>Engine</v>
      </c>
    </row>
    <row r="61" spans="1:29" ht="15.95" customHeight="1" x14ac:dyDescent="0.25">
      <c r="A61" s="10" t="s">
        <v>91</v>
      </c>
      <c r="B61" s="11" t="s">
        <v>86</v>
      </c>
      <c r="C61" s="10" t="s">
        <v>7</v>
      </c>
      <c r="D61" s="10" t="s">
        <v>9</v>
      </c>
      <c r="E61" s="11" t="s">
        <v>37</v>
      </c>
      <c r="F61" s="10" t="s">
        <v>11</v>
      </c>
      <c r="G61" s="10" t="s">
        <v>11</v>
      </c>
      <c r="H61" s="10" t="s">
        <v>11</v>
      </c>
      <c r="I61" s="10" t="s">
        <v>11</v>
      </c>
      <c r="J61" s="10" t="s">
        <v>74</v>
      </c>
      <c r="K61" s="10" t="s">
        <v>11</v>
      </c>
      <c r="L61" s="10" t="b">
        <v>0</v>
      </c>
      <c r="M61" s="11"/>
      <c r="N61" s="11">
        <f t="shared" si="0"/>
        <v>18</v>
      </c>
      <c r="O61" s="11" t="s">
        <v>27</v>
      </c>
      <c r="P61" s="11" t="s">
        <v>23</v>
      </c>
      <c r="R61" t="s">
        <v>93</v>
      </c>
      <c r="V61">
        <v>4</v>
      </c>
      <c r="AC61" t="s">
        <v>141</v>
      </c>
    </row>
    <row r="62" spans="1:29" ht="15.95" customHeight="1" x14ac:dyDescent="0.25">
      <c r="A62" s="10" t="s">
        <v>92</v>
      </c>
      <c r="B62" s="11" t="s">
        <v>86</v>
      </c>
      <c r="C62" s="10" t="s">
        <v>26</v>
      </c>
      <c r="D62" s="10" t="s">
        <v>9</v>
      </c>
      <c r="E62" s="11" t="s">
        <v>37</v>
      </c>
      <c r="F62" s="10" t="s">
        <v>11</v>
      </c>
      <c r="G62" s="10" t="s">
        <v>11</v>
      </c>
      <c r="H62" s="10" t="s">
        <v>11</v>
      </c>
      <c r="I62" s="10" t="s">
        <v>11</v>
      </c>
      <c r="J62" s="10" t="s">
        <v>74</v>
      </c>
      <c r="K62" s="10" t="s">
        <v>11</v>
      </c>
      <c r="L62" s="10" t="b">
        <v>0</v>
      </c>
      <c r="M62" s="11"/>
      <c r="N62" s="11">
        <f t="shared" si="0"/>
        <v>18</v>
      </c>
      <c r="O62" s="11" t="s">
        <v>28</v>
      </c>
      <c r="P62" s="11" t="s">
        <v>29</v>
      </c>
      <c r="R62" t="s">
        <v>93</v>
      </c>
      <c r="V62">
        <v>4</v>
      </c>
      <c r="AC62" t="str">
        <f t="shared" si="2"/>
        <v>Fuel</v>
      </c>
    </row>
    <row r="63" spans="1:29" ht="15.95" customHeight="1" x14ac:dyDescent="0.25">
      <c r="A63" s="10" t="s">
        <v>89</v>
      </c>
      <c r="B63" s="11" t="s">
        <v>86</v>
      </c>
      <c r="C63" s="10" t="s">
        <v>7</v>
      </c>
      <c r="D63" s="10" t="s">
        <v>9</v>
      </c>
      <c r="E63" s="11" t="s">
        <v>36</v>
      </c>
      <c r="F63" s="10" t="s">
        <v>11</v>
      </c>
      <c r="G63" s="10" t="s">
        <v>11</v>
      </c>
      <c r="H63" s="10" t="s">
        <v>11</v>
      </c>
      <c r="I63" s="10" t="s">
        <v>11</v>
      </c>
      <c r="J63" s="10" t="s">
        <v>74</v>
      </c>
      <c r="K63" s="10" t="s">
        <v>11</v>
      </c>
      <c r="L63" s="10" t="b">
        <v>0</v>
      </c>
      <c r="M63" s="11"/>
      <c r="N63" s="11">
        <f t="shared" si="0"/>
        <v>18</v>
      </c>
      <c r="O63" s="11" t="s">
        <v>27</v>
      </c>
      <c r="P63" s="11" t="s">
        <v>31</v>
      </c>
      <c r="R63" t="s">
        <v>88</v>
      </c>
      <c r="V63">
        <v>4</v>
      </c>
      <c r="AC63" t="str">
        <f t="shared" si="2"/>
        <v>Fuel</v>
      </c>
    </row>
    <row r="64" spans="1:29" ht="15.95" customHeight="1" x14ac:dyDescent="0.25">
      <c r="A64" s="10" t="s">
        <v>90</v>
      </c>
      <c r="B64" s="11" t="s">
        <v>86</v>
      </c>
      <c r="C64" s="10" t="s">
        <v>26</v>
      </c>
      <c r="D64" s="10" t="s">
        <v>9</v>
      </c>
      <c r="E64" s="11" t="s">
        <v>36</v>
      </c>
      <c r="F64" s="10" t="s">
        <v>11</v>
      </c>
      <c r="G64" s="10" t="s">
        <v>11</v>
      </c>
      <c r="H64" s="10" t="s">
        <v>11</v>
      </c>
      <c r="I64" s="10" t="s">
        <v>11</v>
      </c>
      <c r="J64" s="10" t="s">
        <v>74</v>
      </c>
      <c r="K64" s="10" t="s">
        <v>11</v>
      </c>
      <c r="L64" s="10" t="b">
        <v>0</v>
      </c>
      <c r="M64" s="11"/>
      <c r="N64" s="11">
        <f t="shared" si="0"/>
        <v>18</v>
      </c>
      <c r="O64" s="11" t="s">
        <v>27</v>
      </c>
      <c r="P64" s="11" t="s">
        <v>27</v>
      </c>
      <c r="R64" t="s">
        <v>88</v>
      </c>
      <c r="V64">
        <v>4</v>
      </c>
      <c r="AC64" t="str">
        <f t="shared" si="2"/>
        <v>Fuel</v>
      </c>
    </row>
    <row r="65" spans="1:29" ht="15.95" customHeight="1" x14ac:dyDescent="0.25">
      <c r="A65" s="12" t="s">
        <v>168</v>
      </c>
      <c r="B65" s="13" t="s">
        <v>86</v>
      </c>
      <c r="C65" s="12" t="s">
        <v>7</v>
      </c>
      <c r="D65" s="12" t="s">
        <v>9</v>
      </c>
      <c r="E65" s="13" t="s">
        <v>38</v>
      </c>
      <c r="F65" s="12" t="s">
        <v>11</v>
      </c>
      <c r="G65" s="12" t="s">
        <v>11</v>
      </c>
      <c r="H65" s="12" t="s">
        <v>11</v>
      </c>
      <c r="I65" s="12" t="s">
        <v>11</v>
      </c>
      <c r="J65" s="12" t="s">
        <v>74</v>
      </c>
      <c r="K65" s="12" t="s">
        <v>11</v>
      </c>
      <c r="L65" s="12" t="b">
        <v>0</v>
      </c>
      <c r="M65" s="13"/>
      <c r="N65" s="13">
        <f t="shared" si="0"/>
        <v>19</v>
      </c>
      <c r="O65" s="13" t="s">
        <v>29</v>
      </c>
      <c r="P65" s="13" t="s">
        <v>23</v>
      </c>
      <c r="R65" t="s">
        <v>167</v>
      </c>
      <c r="V65">
        <v>4</v>
      </c>
      <c r="AC65" t="s">
        <v>143</v>
      </c>
    </row>
    <row r="66" spans="1:29" ht="15.95" customHeight="1" x14ac:dyDescent="0.25">
      <c r="A66" s="12" t="s">
        <v>169</v>
      </c>
      <c r="B66" s="13" t="s">
        <v>86</v>
      </c>
      <c r="C66" s="12" t="s">
        <v>26</v>
      </c>
      <c r="D66" s="12" t="s">
        <v>9</v>
      </c>
      <c r="E66" s="13" t="s">
        <v>38</v>
      </c>
      <c r="F66" s="12" t="s">
        <v>11</v>
      </c>
      <c r="G66" s="12" t="s">
        <v>11</v>
      </c>
      <c r="H66" s="12" t="s">
        <v>11</v>
      </c>
      <c r="I66" s="12" t="s">
        <v>11</v>
      </c>
      <c r="J66" s="12" t="s">
        <v>74</v>
      </c>
      <c r="K66" s="12" t="s">
        <v>11</v>
      </c>
      <c r="L66" s="12" t="b">
        <v>0</v>
      </c>
      <c r="M66" s="13"/>
      <c r="N66" s="13">
        <f t="shared" si="0"/>
        <v>19</v>
      </c>
      <c r="O66" s="13" t="s">
        <v>29</v>
      </c>
      <c r="P66" s="13" t="s">
        <v>29</v>
      </c>
      <c r="R66" t="s">
        <v>167</v>
      </c>
      <c r="V66">
        <v>4</v>
      </c>
      <c r="AC66" t="str">
        <f t="shared" si="2"/>
        <v>Power Steering</v>
      </c>
    </row>
    <row r="67" spans="1:29" ht="15.95" customHeight="1" x14ac:dyDescent="0.25">
      <c r="A67" s="6" t="s">
        <v>101</v>
      </c>
      <c r="B67" s="7" t="s">
        <v>86</v>
      </c>
      <c r="C67" s="6" t="s">
        <v>26</v>
      </c>
      <c r="D67" s="7" t="s">
        <v>18</v>
      </c>
      <c r="E67" s="7" t="s">
        <v>17</v>
      </c>
      <c r="F67" s="6" t="s">
        <v>11</v>
      </c>
      <c r="G67" s="6" t="s">
        <v>11</v>
      </c>
      <c r="H67" s="6" t="s">
        <v>11</v>
      </c>
      <c r="I67" s="6" t="s">
        <v>11</v>
      </c>
      <c r="J67" s="6" t="s">
        <v>74</v>
      </c>
      <c r="K67" s="6" t="s">
        <v>11</v>
      </c>
      <c r="L67" s="6" t="b">
        <v>0</v>
      </c>
      <c r="M67" s="7"/>
      <c r="N67" s="7">
        <f t="shared" si="0"/>
        <v>20</v>
      </c>
      <c r="O67" s="7" t="s">
        <v>27</v>
      </c>
      <c r="P67" s="7" t="s">
        <v>23</v>
      </c>
      <c r="R67" t="s">
        <v>158</v>
      </c>
      <c r="V67">
        <v>4</v>
      </c>
      <c r="W67" t="s">
        <v>172</v>
      </c>
      <c r="AC67" t="s">
        <v>144</v>
      </c>
    </row>
    <row r="68" spans="1:29" ht="15.95" customHeight="1" x14ac:dyDescent="0.25">
      <c r="A68" s="6" t="s">
        <v>102</v>
      </c>
      <c r="B68" s="7" t="s">
        <v>86</v>
      </c>
      <c r="C68" s="6" t="s">
        <v>26</v>
      </c>
      <c r="D68" s="7" t="s">
        <v>39</v>
      </c>
      <c r="E68" s="7" t="s">
        <v>42</v>
      </c>
      <c r="F68" s="6" t="s">
        <v>11</v>
      </c>
      <c r="G68" s="6" t="s">
        <v>11</v>
      </c>
      <c r="H68" s="6" t="s">
        <v>11</v>
      </c>
      <c r="I68" s="6" t="s">
        <v>11</v>
      </c>
      <c r="J68" s="6" t="s">
        <v>74</v>
      </c>
      <c r="K68" s="6" t="s">
        <v>11</v>
      </c>
      <c r="L68" s="6" t="b">
        <v>0</v>
      </c>
      <c r="M68" s="7"/>
      <c r="N68" s="7">
        <f t="shared" ref="N68:N103" si="3">IF(TRIM(P67)=TRIM(O67), N67+1, N67)</f>
        <v>20</v>
      </c>
      <c r="O68" s="7" t="s">
        <v>28</v>
      </c>
      <c r="P68" s="7" t="s">
        <v>29</v>
      </c>
      <c r="R68" t="s">
        <v>158</v>
      </c>
      <c r="V68">
        <v>4</v>
      </c>
      <c r="W68" t="s">
        <v>172</v>
      </c>
      <c r="AC68" t="str">
        <f t="shared" si="2"/>
        <v>Tyre IGL</v>
      </c>
    </row>
    <row r="69" spans="1:29" ht="15.95" customHeight="1" x14ac:dyDescent="0.25">
      <c r="A69" s="6" t="s">
        <v>103</v>
      </c>
      <c r="B69" s="7" t="s">
        <v>86</v>
      </c>
      <c r="C69" s="6" t="s">
        <v>26</v>
      </c>
      <c r="D69" s="7" t="s">
        <v>40</v>
      </c>
      <c r="E69" s="7" t="s">
        <v>43</v>
      </c>
      <c r="F69" s="6" t="s">
        <v>11</v>
      </c>
      <c r="G69" s="6" t="s">
        <v>11</v>
      </c>
      <c r="H69" s="6" t="s">
        <v>11</v>
      </c>
      <c r="I69" s="6" t="s">
        <v>11</v>
      </c>
      <c r="J69" s="6" t="s">
        <v>74</v>
      </c>
      <c r="K69" s="6" t="s">
        <v>11</v>
      </c>
      <c r="L69" s="6" t="b">
        <v>0</v>
      </c>
      <c r="M69" s="7"/>
      <c r="N69" s="7">
        <f t="shared" si="3"/>
        <v>20</v>
      </c>
      <c r="O69" s="7" t="s">
        <v>27</v>
      </c>
      <c r="P69" s="7" t="s">
        <v>31</v>
      </c>
      <c r="R69" t="s">
        <v>158</v>
      </c>
      <c r="V69">
        <v>4</v>
      </c>
      <c r="W69" t="s">
        <v>172</v>
      </c>
      <c r="AC69" t="str">
        <f t="shared" si="2"/>
        <v>Tyre IGL</v>
      </c>
    </row>
    <row r="70" spans="1:29" ht="15.95" customHeight="1" x14ac:dyDescent="0.25">
      <c r="A70" s="6" t="s">
        <v>104</v>
      </c>
      <c r="B70" s="7" t="s">
        <v>86</v>
      </c>
      <c r="C70" s="6" t="s">
        <v>26</v>
      </c>
      <c r="D70" s="7" t="s">
        <v>41</v>
      </c>
      <c r="E70" s="7" t="s">
        <v>44</v>
      </c>
      <c r="F70" s="6" t="s">
        <v>11</v>
      </c>
      <c r="G70" s="6" t="s">
        <v>11</v>
      </c>
      <c r="H70" s="6" t="s">
        <v>11</v>
      </c>
      <c r="I70" s="6" t="s">
        <v>11</v>
      </c>
      <c r="J70" s="6" t="s">
        <v>74</v>
      </c>
      <c r="K70" s="6" t="s">
        <v>11</v>
      </c>
      <c r="L70" s="6" t="b">
        <v>0</v>
      </c>
      <c r="M70" s="7"/>
      <c r="N70" s="7">
        <f t="shared" si="3"/>
        <v>20</v>
      </c>
      <c r="O70" s="7" t="s">
        <v>27</v>
      </c>
      <c r="P70" s="7" t="s">
        <v>27</v>
      </c>
      <c r="R70" t="s">
        <v>158</v>
      </c>
      <c r="V70">
        <v>4</v>
      </c>
      <c r="W70" t="s">
        <v>172</v>
      </c>
      <c r="AC70" t="str">
        <f t="shared" si="2"/>
        <v>Tyre IGL</v>
      </c>
    </row>
    <row r="71" spans="1:29" ht="15.95" customHeight="1" x14ac:dyDescent="0.25">
      <c r="A71" s="14" t="s">
        <v>105</v>
      </c>
      <c r="B71" s="15" t="s">
        <v>86</v>
      </c>
      <c r="C71" s="14" t="s">
        <v>7</v>
      </c>
      <c r="D71" s="15" t="s">
        <v>9</v>
      </c>
      <c r="E71" s="15" t="s">
        <v>46</v>
      </c>
      <c r="F71" s="14" t="s">
        <v>11</v>
      </c>
      <c r="G71" s="14" t="s">
        <v>11</v>
      </c>
      <c r="H71" s="14" t="s">
        <v>11</v>
      </c>
      <c r="I71" s="14" t="s">
        <v>11</v>
      </c>
      <c r="J71" s="14" t="s">
        <v>74</v>
      </c>
      <c r="K71" s="14" t="s">
        <v>11</v>
      </c>
      <c r="L71" s="14" t="b">
        <v>0</v>
      </c>
      <c r="M71" s="15"/>
      <c r="N71" s="15">
        <f t="shared" si="3"/>
        <v>21</v>
      </c>
      <c r="O71" s="15" t="s">
        <v>27</v>
      </c>
      <c r="P71" s="15" t="s">
        <v>23</v>
      </c>
      <c r="R71" t="s">
        <v>159</v>
      </c>
      <c r="V71">
        <v>4</v>
      </c>
      <c r="AC71" t="s">
        <v>145</v>
      </c>
    </row>
    <row r="72" spans="1:29" ht="15.95" customHeight="1" x14ac:dyDescent="0.25">
      <c r="A72" s="14" t="s">
        <v>106</v>
      </c>
      <c r="B72" s="15" t="s">
        <v>86</v>
      </c>
      <c r="C72" s="14" t="s">
        <v>26</v>
      </c>
      <c r="D72" s="15" t="s">
        <v>9</v>
      </c>
      <c r="E72" s="15" t="s">
        <v>46</v>
      </c>
      <c r="F72" s="14" t="s">
        <v>11</v>
      </c>
      <c r="G72" s="14" t="s">
        <v>11</v>
      </c>
      <c r="H72" s="14" t="s">
        <v>11</v>
      </c>
      <c r="I72" s="14" t="s">
        <v>11</v>
      </c>
      <c r="J72" s="14" t="s">
        <v>74</v>
      </c>
      <c r="K72" s="14" t="s">
        <v>11</v>
      </c>
      <c r="L72" s="14" t="b">
        <v>0</v>
      </c>
      <c r="M72" s="15"/>
      <c r="N72" s="15">
        <f t="shared" si="3"/>
        <v>21</v>
      </c>
      <c r="O72" s="15" t="s">
        <v>28</v>
      </c>
      <c r="P72" s="15" t="s">
        <v>29</v>
      </c>
      <c r="R72" t="s">
        <v>159</v>
      </c>
      <c r="V72">
        <v>4</v>
      </c>
      <c r="AC72" t="str">
        <f t="shared" si="2"/>
        <v>PDM Current</v>
      </c>
    </row>
    <row r="73" spans="1:29" ht="15.95" customHeight="1" x14ac:dyDescent="0.25">
      <c r="A73" s="14" t="s">
        <v>107</v>
      </c>
      <c r="B73" s="15" t="s">
        <v>86</v>
      </c>
      <c r="C73" s="14" t="s">
        <v>7</v>
      </c>
      <c r="D73" s="15" t="s">
        <v>9</v>
      </c>
      <c r="E73" s="15" t="s">
        <v>45</v>
      </c>
      <c r="F73" s="14" t="s">
        <v>11</v>
      </c>
      <c r="G73" s="14" t="s">
        <v>11</v>
      </c>
      <c r="H73" s="14" t="s">
        <v>11</v>
      </c>
      <c r="I73" s="14" t="s">
        <v>11</v>
      </c>
      <c r="J73" s="14" t="s">
        <v>74</v>
      </c>
      <c r="K73" s="14" t="s">
        <v>11</v>
      </c>
      <c r="L73" s="14" t="b">
        <v>0</v>
      </c>
      <c r="M73" s="15"/>
      <c r="N73" s="15">
        <f t="shared" si="3"/>
        <v>21</v>
      </c>
      <c r="O73" s="15" t="s">
        <v>27</v>
      </c>
      <c r="P73" s="15" t="s">
        <v>31</v>
      </c>
      <c r="R73" t="s">
        <v>159</v>
      </c>
      <c r="V73">
        <v>4</v>
      </c>
      <c r="AC73" t="str">
        <f t="shared" si="2"/>
        <v>PDM Current</v>
      </c>
    </row>
    <row r="74" spans="1:29" ht="15.95" customHeight="1" x14ac:dyDescent="0.25">
      <c r="A74" s="15" t="s">
        <v>108</v>
      </c>
      <c r="B74" s="15" t="s">
        <v>86</v>
      </c>
      <c r="C74" s="14" t="s">
        <v>26</v>
      </c>
      <c r="D74" s="15" t="s">
        <v>9</v>
      </c>
      <c r="E74" s="15" t="s">
        <v>45</v>
      </c>
      <c r="F74" s="14" t="s">
        <v>11</v>
      </c>
      <c r="G74" s="14" t="s">
        <v>11</v>
      </c>
      <c r="H74" s="14" t="s">
        <v>11</v>
      </c>
      <c r="I74" s="14" t="s">
        <v>11</v>
      </c>
      <c r="J74" s="14" t="s">
        <v>74</v>
      </c>
      <c r="K74" s="14" t="s">
        <v>11</v>
      </c>
      <c r="L74" s="14" t="b">
        <v>0</v>
      </c>
      <c r="M74" s="15"/>
      <c r="N74" s="15">
        <f t="shared" si="3"/>
        <v>21</v>
      </c>
      <c r="O74" s="15" t="s">
        <v>27</v>
      </c>
      <c r="P74" s="15" t="s">
        <v>27</v>
      </c>
      <c r="R74" t="s">
        <v>159</v>
      </c>
      <c r="V74">
        <v>4</v>
      </c>
      <c r="AC74" t="str">
        <f t="shared" si="2"/>
        <v>PDM Current</v>
      </c>
    </row>
    <row r="75" spans="1:29" ht="15.95" customHeight="1" x14ac:dyDescent="0.25">
      <c r="A75" s="16" t="s">
        <v>130</v>
      </c>
      <c r="B75" s="16" t="s">
        <v>86</v>
      </c>
      <c r="C75" s="16" t="s">
        <v>7</v>
      </c>
      <c r="D75" s="16" t="s">
        <v>9</v>
      </c>
      <c r="E75" s="16" t="s">
        <v>48</v>
      </c>
      <c r="F75" s="16" t="s">
        <v>11</v>
      </c>
      <c r="G75" s="16" t="s">
        <v>11</v>
      </c>
      <c r="H75" s="16" t="s">
        <v>11</v>
      </c>
      <c r="I75" s="16" t="s">
        <v>11</v>
      </c>
      <c r="J75" s="16" t="s">
        <v>74</v>
      </c>
      <c r="K75" s="16" t="s">
        <v>11</v>
      </c>
      <c r="L75" s="16" t="b">
        <v>0</v>
      </c>
      <c r="M75" s="16"/>
      <c r="N75" s="16">
        <f t="shared" si="3"/>
        <v>22</v>
      </c>
      <c r="O75" s="16" t="s">
        <v>29</v>
      </c>
      <c r="P75" s="16" t="s">
        <v>23</v>
      </c>
      <c r="R75" t="s">
        <v>131</v>
      </c>
      <c r="V75">
        <v>4</v>
      </c>
      <c r="AC75" t="s">
        <v>146</v>
      </c>
    </row>
    <row r="76" spans="1:29" ht="15.95" customHeight="1" x14ac:dyDescent="0.25">
      <c r="A76" s="16" t="s">
        <v>109</v>
      </c>
      <c r="B76" s="16" t="s">
        <v>86</v>
      </c>
      <c r="C76" s="16" t="s">
        <v>26</v>
      </c>
      <c r="D76" s="16" t="s">
        <v>9</v>
      </c>
      <c r="E76" s="16" t="s">
        <v>48</v>
      </c>
      <c r="F76" s="16" t="s">
        <v>11</v>
      </c>
      <c r="G76" s="16" t="s">
        <v>11</v>
      </c>
      <c r="H76" s="16" t="s">
        <v>11</v>
      </c>
      <c r="I76" s="16" t="s">
        <v>11</v>
      </c>
      <c r="J76" s="16" t="s">
        <v>74</v>
      </c>
      <c r="K76" s="16" t="s">
        <v>11</v>
      </c>
      <c r="L76" s="16" t="b">
        <v>0</v>
      </c>
      <c r="M76" s="16"/>
      <c r="N76" s="16">
        <f t="shared" si="3"/>
        <v>22</v>
      </c>
      <c r="O76" s="16" t="s">
        <v>47</v>
      </c>
      <c r="P76" s="16" t="s">
        <v>29</v>
      </c>
      <c r="R76" t="s">
        <v>131</v>
      </c>
      <c r="V76">
        <v>4</v>
      </c>
      <c r="AC76" t="str">
        <f t="shared" si="2"/>
        <v>Fuel Pump</v>
      </c>
    </row>
    <row r="77" spans="1:29" ht="15.95" customHeight="1" x14ac:dyDescent="0.25">
      <c r="A77" s="17" t="s">
        <v>110</v>
      </c>
      <c r="B77" s="18" t="s">
        <v>86</v>
      </c>
      <c r="C77" s="18" t="s">
        <v>26</v>
      </c>
      <c r="D77" s="18" t="s">
        <v>9</v>
      </c>
      <c r="E77" s="18" t="s">
        <v>49</v>
      </c>
      <c r="F77" s="18" t="s">
        <v>11</v>
      </c>
      <c r="G77" s="18" t="s">
        <v>11</v>
      </c>
      <c r="H77" s="18" t="s">
        <v>11</v>
      </c>
      <c r="I77" s="18" t="s">
        <v>11</v>
      </c>
      <c r="J77" s="18" t="s">
        <v>74</v>
      </c>
      <c r="K77" s="18" t="s">
        <v>11</v>
      </c>
      <c r="L77" s="18" t="b">
        <v>0</v>
      </c>
      <c r="M77" s="18"/>
      <c r="N77" s="18">
        <f t="shared" si="3"/>
        <v>23</v>
      </c>
      <c r="O77" s="18" t="s">
        <v>27</v>
      </c>
      <c r="P77" s="18" t="s">
        <v>23</v>
      </c>
      <c r="R77" t="s">
        <v>190</v>
      </c>
      <c r="V77">
        <v>4</v>
      </c>
      <c r="AC77" t="s">
        <v>147</v>
      </c>
    </row>
    <row r="78" spans="1:29" ht="15.95" customHeight="1" x14ac:dyDescent="0.25">
      <c r="A78" s="17" t="s">
        <v>111</v>
      </c>
      <c r="B78" s="18" t="s">
        <v>86</v>
      </c>
      <c r="C78" s="18" t="s">
        <v>26</v>
      </c>
      <c r="D78" s="18" t="s">
        <v>9</v>
      </c>
      <c r="E78" s="18" t="s">
        <v>50</v>
      </c>
      <c r="F78" s="18" t="s">
        <v>11</v>
      </c>
      <c r="G78" s="18" t="s">
        <v>11</v>
      </c>
      <c r="H78" s="18" t="s">
        <v>11</v>
      </c>
      <c r="I78" s="18" t="s">
        <v>11</v>
      </c>
      <c r="J78" s="18" t="s">
        <v>74</v>
      </c>
      <c r="K78" s="18" t="s">
        <v>11</v>
      </c>
      <c r="L78" s="18" t="b">
        <v>0</v>
      </c>
      <c r="M78" s="18"/>
      <c r="N78" s="18">
        <f t="shared" si="3"/>
        <v>23</v>
      </c>
      <c r="O78" s="18" t="s">
        <v>28</v>
      </c>
      <c r="P78" s="18" t="s">
        <v>29</v>
      </c>
      <c r="R78" t="s">
        <v>190</v>
      </c>
      <c r="V78">
        <v>4</v>
      </c>
      <c r="AC78" t="str">
        <f t="shared" si="2"/>
        <v>Lift Pumps - Average</v>
      </c>
    </row>
    <row r="79" spans="1:29" ht="15.95" customHeight="1" x14ac:dyDescent="0.25">
      <c r="A79" s="17" t="s">
        <v>112</v>
      </c>
      <c r="B79" s="18" t="s">
        <v>86</v>
      </c>
      <c r="C79" s="18" t="s">
        <v>26</v>
      </c>
      <c r="D79" s="18" t="s">
        <v>9</v>
      </c>
      <c r="E79" s="17" t="s">
        <v>51</v>
      </c>
      <c r="F79" s="18" t="s">
        <v>11</v>
      </c>
      <c r="G79" s="18" t="s">
        <v>11</v>
      </c>
      <c r="H79" s="18" t="s">
        <v>11</v>
      </c>
      <c r="I79" s="18" t="s">
        <v>11</v>
      </c>
      <c r="J79" s="18" t="s">
        <v>74</v>
      </c>
      <c r="K79" s="18" t="s">
        <v>11</v>
      </c>
      <c r="L79" s="18" t="b">
        <v>0</v>
      </c>
      <c r="M79" s="18"/>
      <c r="N79" s="18">
        <f t="shared" si="3"/>
        <v>23</v>
      </c>
      <c r="O79" s="18" t="s">
        <v>27</v>
      </c>
      <c r="P79" s="18" t="s">
        <v>31</v>
      </c>
      <c r="R79" t="s">
        <v>190</v>
      </c>
      <c r="V79">
        <v>4</v>
      </c>
      <c r="AC79" t="str">
        <f t="shared" si="2"/>
        <v>Lift Pumps - Average</v>
      </c>
    </row>
    <row r="80" spans="1:29" ht="15.95" customHeight="1" x14ac:dyDescent="0.25">
      <c r="A80" s="17" t="s">
        <v>177</v>
      </c>
      <c r="B80" s="18" t="s">
        <v>86</v>
      </c>
      <c r="C80" s="18" t="s">
        <v>26</v>
      </c>
      <c r="D80" s="18" t="s">
        <v>9</v>
      </c>
      <c r="E80" s="17" t="s">
        <v>52</v>
      </c>
      <c r="F80" s="18" t="s">
        <v>11</v>
      </c>
      <c r="G80" s="18" t="s">
        <v>11</v>
      </c>
      <c r="H80" s="18" t="s">
        <v>11</v>
      </c>
      <c r="I80" s="18" t="s">
        <v>11</v>
      </c>
      <c r="J80" s="18" t="s">
        <v>74</v>
      </c>
      <c r="K80" s="18" t="s">
        <v>11</v>
      </c>
      <c r="L80" s="18" t="b">
        <v>0</v>
      </c>
      <c r="M80" s="18"/>
      <c r="N80" s="18">
        <f t="shared" si="3"/>
        <v>23</v>
      </c>
      <c r="O80" s="18" t="s">
        <v>27</v>
      </c>
      <c r="P80" s="18" t="s">
        <v>27</v>
      </c>
      <c r="R80" t="s">
        <v>190</v>
      </c>
      <c r="V80">
        <v>4</v>
      </c>
      <c r="AC80" t="str">
        <f t="shared" si="2"/>
        <v>Lift Pumps - Average</v>
      </c>
    </row>
    <row r="81" spans="1:29" ht="15.95" customHeight="1" x14ac:dyDescent="0.25">
      <c r="A81" s="19" t="s">
        <v>113</v>
      </c>
      <c r="B81" s="20" t="s">
        <v>86</v>
      </c>
      <c r="C81" s="20" t="s">
        <v>26</v>
      </c>
      <c r="D81" s="20" t="s">
        <v>9</v>
      </c>
      <c r="E81" s="20" t="s">
        <v>49</v>
      </c>
      <c r="F81" s="20" t="s">
        <v>11</v>
      </c>
      <c r="G81" s="20" t="s">
        <v>11</v>
      </c>
      <c r="H81" s="20" t="s">
        <v>11</v>
      </c>
      <c r="I81" s="20" t="s">
        <v>11</v>
      </c>
      <c r="J81" s="20" t="s">
        <v>74</v>
      </c>
      <c r="K81" s="20" t="s">
        <v>11</v>
      </c>
      <c r="L81" s="20" t="b">
        <v>0</v>
      </c>
      <c r="M81" s="20"/>
      <c r="N81" s="20">
        <f t="shared" si="3"/>
        <v>24</v>
      </c>
      <c r="O81" s="20" t="s">
        <v>27</v>
      </c>
      <c r="P81" s="20" t="s">
        <v>23</v>
      </c>
      <c r="R81" t="s">
        <v>190</v>
      </c>
      <c r="V81">
        <v>4</v>
      </c>
      <c r="AC81" t="s">
        <v>148</v>
      </c>
    </row>
    <row r="82" spans="1:29" ht="15.95" customHeight="1" x14ac:dyDescent="0.25">
      <c r="A82" s="19" t="s">
        <v>114</v>
      </c>
      <c r="B82" s="20" t="s">
        <v>86</v>
      </c>
      <c r="C82" s="20" t="s">
        <v>26</v>
      </c>
      <c r="D82" s="20" t="s">
        <v>9</v>
      </c>
      <c r="E82" s="20" t="s">
        <v>50</v>
      </c>
      <c r="F82" s="20" t="s">
        <v>11</v>
      </c>
      <c r="G82" s="20" t="s">
        <v>11</v>
      </c>
      <c r="H82" s="20" t="s">
        <v>11</v>
      </c>
      <c r="I82" s="20" t="s">
        <v>11</v>
      </c>
      <c r="J82" s="20" t="s">
        <v>74</v>
      </c>
      <c r="K82" s="20" t="s">
        <v>11</v>
      </c>
      <c r="L82" s="20" t="b">
        <v>0</v>
      </c>
      <c r="M82" s="20"/>
      <c r="N82" s="20">
        <f t="shared" si="3"/>
        <v>24</v>
      </c>
      <c r="O82" s="20" t="s">
        <v>28</v>
      </c>
      <c r="P82" s="20" t="s">
        <v>29</v>
      </c>
      <c r="R82" t="s">
        <v>190</v>
      </c>
      <c r="V82">
        <v>4</v>
      </c>
      <c r="AC82" t="str">
        <f t="shared" si="2"/>
        <v>Lift Pumps - Maximum</v>
      </c>
    </row>
    <row r="83" spans="1:29" ht="15.95" customHeight="1" x14ac:dyDescent="0.25">
      <c r="A83" s="19" t="s">
        <v>115</v>
      </c>
      <c r="B83" s="20" t="s">
        <v>86</v>
      </c>
      <c r="C83" s="20" t="s">
        <v>26</v>
      </c>
      <c r="D83" s="20" t="s">
        <v>9</v>
      </c>
      <c r="E83" s="19" t="s">
        <v>51</v>
      </c>
      <c r="F83" s="20" t="s">
        <v>11</v>
      </c>
      <c r="G83" s="20" t="s">
        <v>11</v>
      </c>
      <c r="H83" s="20" t="s">
        <v>11</v>
      </c>
      <c r="I83" s="20" t="s">
        <v>11</v>
      </c>
      <c r="J83" s="20" t="s">
        <v>74</v>
      </c>
      <c r="K83" s="20" t="s">
        <v>11</v>
      </c>
      <c r="L83" s="20" t="b">
        <v>0</v>
      </c>
      <c r="M83" s="20"/>
      <c r="N83" s="20">
        <f t="shared" si="3"/>
        <v>24</v>
      </c>
      <c r="O83" s="20" t="s">
        <v>27</v>
      </c>
      <c r="P83" s="20" t="s">
        <v>31</v>
      </c>
      <c r="R83" t="s">
        <v>190</v>
      </c>
      <c r="V83">
        <v>4</v>
      </c>
      <c r="AC83" t="str">
        <f t="shared" si="2"/>
        <v>Lift Pumps - Maximum</v>
      </c>
    </row>
    <row r="84" spans="1:29" ht="15.95" customHeight="1" x14ac:dyDescent="0.25">
      <c r="A84" s="19" t="s">
        <v>116</v>
      </c>
      <c r="B84" s="20" t="s">
        <v>86</v>
      </c>
      <c r="C84" s="20" t="s">
        <v>26</v>
      </c>
      <c r="D84" s="20" t="s">
        <v>9</v>
      </c>
      <c r="E84" s="19" t="s">
        <v>52</v>
      </c>
      <c r="F84" s="20" t="s">
        <v>11</v>
      </c>
      <c r="G84" s="20" t="s">
        <v>11</v>
      </c>
      <c r="H84" s="20" t="s">
        <v>11</v>
      </c>
      <c r="I84" s="20" t="s">
        <v>11</v>
      </c>
      <c r="J84" s="20" t="s">
        <v>74</v>
      </c>
      <c r="K84" s="20" t="s">
        <v>11</v>
      </c>
      <c r="L84" s="20" t="b">
        <v>0</v>
      </c>
      <c r="M84" s="20"/>
      <c r="N84" s="20">
        <f t="shared" si="3"/>
        <v>24</v>
      </c>
      <c r="O84" s="20" t="s">
        <v>27</v>
      </c>
      <c r="P84" s="20" t="s">
        <v>27</v>
      </c>
      <c r="R84" t="s">
        <v>190</v>
      </c>
      <c r="V84">
        <v>4</v>
      </c>
      <c r="AC84" t="str">
        <f t="shared" si="2"/>
        <v>Lift Pumps - Maximum</v>
      </c>
    </row>
    <row r="85" spans="1:29" ht="15.95" customHeight="1" x14ac:dyDescent="0.25">
      <c r="A85" s="21" t="s">
        <v>178</v>
      </c>
      <c r="B85" s="22" t="s">
        <v>86</v>
      </c>
      <c r="C85" s="22" t="s">
        <v>26</v>
      </c>
      <c r="D85" s="22" t="s">
        <v>9</v>
      </c>
      <c r="E85" s="21" t="s">
        <v>56</v>
      </c>
      <c r="F85" s="22" t="s">
        <v>11</v>
      </c>
      <c r="G85" s="22" t="s">
        <v>11</v>
      </c>
      <c r="H85" s="22" t="s">
        <v>11</v>
      </c>
      <c r="I85" s="22" t="s">
        <v>11</v>
      </c>
      <c r="J85" s="22" t="s">
        <v>74</v>
      </c>
      <c r="K85" s="22" t="s">
        <v>11</v>
      </c>
      <c r="L85" s="22" t="b">
        <v>0</v>
      </c>
      <c r="M85" s="22"/>
      <c r="N85" s="22">
        <f t="shared" si="3"/>
        <v>25</v>
      </c>
      <c r="O85" s="22" t="s">
        <v>22</v>
      </c>
      <c r="P85" s="22" t="s">
        <v>23</v>
      </c>
      <c r="R85" t="s">
        <v>160</v>
      </c>
      <c r="V85">
        <v>4</v>
      </c>
      <c r="AC85" t="s">
        <v>149</v>
      </c>
    </row>
    <row r="86" spans="1:29" ht="15.95" customHeight="1" x14ac:dyDescent="0.25">
      <c r="A86" s="21" t="s">
        <v>179</v>
      </c>
      <c r="B86" s="22" t="s">
        <v>86</v>
      </c>
      <c r="C86" s="22" t="s">
        <v>26</v>
      </c>
      <c r="D86" s="22" t="s">
        <v>9</v>
      </c>
      <c r="E86" s="21" t="s">
        <v>57</v>
      </c>
      <c r="F86" s="22" t="s">
        <v>11</v>
      </c>
      <c r="G86" s="22" t="s">
        <v>11</v>
      </c>
      <c r="H86" s="22" t="s">
        <v>11</v>
      </c>
      <c r="I86" s="22" t="s">
        <v>11</v>
      </c>
      <c r="J86" s="22" t="s">
        <v>74</v>
      </c>
      <c r="K86" s="22" t="s">
        <v>11</v>
      </c>
      <c r="L86" s="22" t="b">
        <v>0</v>
      </c>
      <c r="M86" s="22"/>
      <c r="N86" s="22">
        <f t="shared" si="3"/>
        <v>25</v>
      </c>
      <c r="O86" s="22" t="s">
        <v>22</v>
      </c>
      <c r="P86" s="22" t="s">
        <v>29</v>
      </c>
      <c r="R86" t="s">
        <v>160</v>
      </c>
      <c r="V86">
        <v>4</v>
      </c>
      <c r="AC86" t="str">
        <f t="shared" si="2"/>
        <v>CAN Utilization</v>
      </c>
    </row>
    <row r="87" spans="1:29" ht="15.95" customHeight="1" x14ac:dyDescent="0.25">
      <c r="A87" s="21" t="s">
        <v>180</v>
      </c>
      <c r="B87" s="22" t="s">
        <v>86</v>
      </c>
      <c r="C87" s="22" t="s">
        <v>26</v>
      </c>
      <c r="D87" s="22" t="s">
        <v>9</v>
      </c>
      <c r="E87" s="21" t="s">
        <v>58</v>
      </c>
      <c r="F87" s="22" t="s">
        <v>11</v>
      </c>
      <c r="G87" s="22" t="s">
        <v>11</v>
      </c>
      <c r="H87" s="22" t="s">
        <v>11</v>
      </c>
      <c r="I87" s="22" t="s">
        <v>11</v>
      </c>
      <c r="J87" s="22" t="s">
        <v>74</v>
      </c>
      <c r="K87" s="22" t="s">
        <v>11</v>
      </c>
      <c r="L87" s="22" t="b">
        <v>0</v>
      </c>
      <c r="M87" s="22"/>
      <c r="N87" s="22">
        <f t="shared" si="3"/>
        <v>25</v>
      </c>
      <c r="O87" s="22" t="s">
        <v>53</v>
      </c>
      <c r="P87" s="22" t="s">
        <v>53</v>
      </c>
      <c r="R87" t="s">
        <v>160</v>
      </c>
      <c r="V87">
        <v>4</v>
      </c>
      <c r="AC87" t="str">
        <f t="shared" si="2"/>
        <v>CAN Utilization</v>
      </c>
    </row>
    <row r="88" spans="1:29" ht="15.95" customHeight="1" x14ac:dyDescent="0.25">
      <c r="A88" s="3" t="s">
        <v>181</v>
      </c>
      <c r="B88" s="23" t="s">
        <v>86</v>
      </c>
      <c r="C88" s="23" t="s">
        <v>26</v>
      </c>
      <c r="D88" s="23" t="s">
        <v>9</v>
      </c>
      <c r="E88" s="3" t="s">
        <v>55</v>
      </c>
      <c r="F88" s="23" t="s">
        <v>11</v>
      </c>
      <c r="G88" s="23" t="s">
        <v>11</v>
      </c>
      <c r="H88" s="23" t="s">
        <v>11</v>
      </c>
      <c r="I88" s="23" t="s">
        <v>11</v>
      </c>
      <c r="J88" s="23" t="s">
        <v>74</v>
      </c>
      <c r="K88" s="23" t="s">
        <v>11</v>
      </c>
      <c r="L88" s="23" t="b">
        <v>0</v>
      </c>
      <c r="M88" s="23"/>
      <c r="N88" s="23">
        <f t="shared" si="3"/>
        <v>26</v>
      </c>
      <c r="O88" s="23" t="s">
        <v>29</v>
      </c>
      <c r="P88" s="23" t="s">
        <v>23</v>
      </c>
      <c r="R88" t="s">
        <v>160</v>
      </c>
      <c r="V88">
        <v>4</v>
      </c>
      <c r="AC88" t="s">
        <v>150</v>
      </c>
    </row>
    <row r="89" spans="1:29" ht="15.95" customHeight="1" x14ac:dyDescent="0.25">
      <c r="A89" s="3" t="s">
        <v>182</v>
      </c>
      <c r="B89" s="23" t="s">
        <v>86</v>
      </c>
      <c r="C89" s="23" t="s">
        <v>26</v>
      </c>
      <c r="D89" s="23" t="s">
        <v>9</v>
      </c>
      <c r="E89" s="3" t="s">
        <v>54</v>
      </c>
      <c r="F89" s="23" t="s">
        <v>11</v>
      </c>
      <c r="G89" s="23" t="s">
        <v>11</v>
      </c>
      <c r="H89" s="23" t="s">
        <v>11</v>
      </c>
      <c r="I89" s="23" t="s">
        <v>11</v>
      </c>
      <c r="J89" s="3" t="s">
        <v>74</v>
      </c>
      <c r="K89" s="3" t="s">
        <v>11</v>
      </c>
      <c r="L89" s="3" t="b">
        <v>0</v>
      </c>
      <c r="M89" s="3"/>
      <c r="N89" s="3">
        <f t="shared" si="3"/>
        <v>26</v>
      </c>
      <c r="O89" s="3" t="s">
        <v>29</v>
      </c>
      <c r="P89" s="3" t="s">
        <v>29</v>
      </c>
      <c r="R89" t="s">
        <v>160</v>
      </c>
      <c r="V89">
        <v>4</v>
      </c>
      <c r="AC89" t="str">
        <f t="shared" si="2"/>
        <v>CPU Usage</v>
      </c>
    </row>
    <row r="90" spans="1:29" ht="15.95" customHeight="1" x14ac:dyDescent="0.25">
      <c r="A90" s="21" t="s">
        <v>185</v>
      </c>
      <c r="B90" s="22" t="s">
        <v>86</v>
      </c>
      <c r="C90" s="22" t="s">
        <v>26</v>
      </c>
      <c r="D90" s="22" t="s">
        <v>9</v>
      </c>
      <c r="E90" s="22" t="s">
        <v>59</v>
      </c>
      <c r="F90" s="22" t="s">
        <v>11</v>
      </c>
      <c r="G90" s="22" t="s">
        <v>11</v>
      </c>
      <c r="H90" s="22" t="s">
        <v>11</v>
      </c>
      <c r="I90" s="22" t="s">
        <v>11</v>
      </c>
      <c r="J90" s="22" t="s">
        <v>74</v>
      </c>
      <c r="K90" s="22" t="s">
        <v>11</v>
      </c>
      <c r="L90" s="22" t="b">
        <v>0</v>
      </c>
      <c r="M90" s="22"/>
      <c r="N90" s="22">
        <f t="shared" si="3"/>
        <v>27</v>
      </c>
      <c r="O90" s="22" t="s">
        <v>22</v>
      </c>
      <c r="P90" s="22" t="s">
        <v>23</v>
      </c>
      <c r="R90" t="s">
        <v>161</v>
      </c>
      <c r="V90">
        <v>4</v>
      </c>
      <c r="AC90" t="s">
        <v>151</v>
      </c>
    </row>
    <row r="91" spans="1:29" ht="15.95" customHeight="1" x14ac:dyDescent="0.25">
      <c r="A91" s="21" t="s">
        <v>183</v>
      </c>
      <c r="B91" s="22" t="s">
        <v>86</v>
      </c>
      <c r="C91" s="22" t="s">
        <v>26</v>
      </c>
      <c r="D91" s="22" t="s">
        <v>9</v>
      </c>
      <c r="E91" s="22" t="s">
        <v>60</v>
      </c>
      <c r="F91" s="22" t="s">
        <v>11</v>
      </c>
      <c r="G91" s="22" t="s">
        <v>11</v>
      </c>
      <c r="H91" s="22" t="s">
        <v>11</v>
      </c>
      <c r="I91" s="22" t="s">
        <v>11</v>
      </c>
      <c r="J91" s="22" t="s">
        <v>74</v>
      </c>
      <c r="K91" s="22" t="s">
        <v>11</v>
      </c>
      <c r="L91" s="22" t="b">
        <v>0</v>
      </c>
      <c r="M91" s="22"/>
      <c r="N91" s="22">
        <f t="shared" si="3"/>
        <v>27</v>
      </c>
      <c r="O91" s="22" t="s">
        <v>22</v>
      </c>
      <c r="P91" s="22" t="s">
        <v>29</v>
      </c>
      <c r="R91" t="s">
        <v>162</v>
      </c>
      <c r="V91">
        <v>4</v>
      </c>
      <c r="AC91" t="str">
        <f t="shared" si="2"/>
        <v>Driver Monitor</v>
      </c>
    </row>
    <row r="92" spans="1:29" ht="15.95" customHeight="1" x14ac:dyDescent="0.25">
      <c r="A92" s="21" t="s">
        <v>184</v>
      </c>
      <c r="B92" s="22" t="s">
        <v>86</v>
      </c>
      <c r="C92" s="22" t="s">
        <v>26</v>
      </c>
      <c r="D92" s="22" t="s">
        <v>9</v>
      </c>
      <c r="E92" s="22" t="s">
        <v>61</v>
      </c>
      <c r="F92" s="22" t="s">
        <v>11</v>
      </c>
      <c r="G92" s="22" t="s">
        <v>11</v>
      </c>
      <c r="H92" s="22" t="s">
        <v>11</v>
      </c>
      <c r="I92" s="22" t="s">
        <v>11</v>
      </c>
      <c r="J92" s="22" t="s">
        <v>74</v>
      </c>
      <c r="K92" s="22" t="s">
        <v>11</v>
      </c>
      <c r="L92" s="22" t="b">
        <v>0</v>
      </c>
      <c r="M92" s="22"/>
      <c r="N92" s="22">
        <f t="shared" si="3"/>
        <v>27</v>
      </c>
      <c r="O92" s="22" t="s">
        <v>53</v>
      </c>
      <c r="P92" s="22" t="s">
        <v>53</v>
      </c>
      <c r="R92" t="s">
        <v>162</v>
      </c>
      <c r="V92">
        <v>4</v>
      </c>
      <c r="AC92" t="str">
        <f t="shared" si="2"/>
        <v>Driver Monitor</v>
      </c>
    </row>
    <row r="93" spans="1:29" ht="15.95" customHeight="1" x14ac:dyDescent="0.25">
      <c r="A93" s="3" t="s">
        <v>165</v>
      </c>
      <c r="B93" s="23" t="s">
        <v>86</v>
      </c>
      <c r="C93" s="23" t="s">
        <v>26</v>
      </c>
      <c r="D93" s="23" t="s">
        <v>9</v>
      </c>
      <c r="E93" s="3" t="s">
        <v>170</v>
      </c>
      <c r="F93" s="23" t="s">
        <v>11</v>
      </c>
      <c r="G93" s="23" t="s">
        <v>11</v>
      </c>
      <c r="H93" s="23" t="s">
        <v>11</v>
      </c>
      <c r="I93" s="23" t="s">
        <v>11</v>
      </c>
      <c r="J93" s="23" t="s">
        <v>74</v>
      </c>
      <c r="K93" s="23" t="s">
        <v>11</v>
      </c>
      <c r="L93" s="23" t="b">
        <v>0</v>
      </c>
      <c r="M93" s="23"/>
      <c r="N93" s="23">
        <f t="shared" si="3"/>
        <v>28</v>
      </c>
      <c r="O93" s="23" t="s">
        <v>22</v>
      </c>
      <c r="P93" s="23" t="s">
        <v>23</v>
      </c>
      <c r="R93" t="s">
        <v>166</v>
      </c>
      <c r="V93">
        <v>4</v>
      </c>
      <c r="AC93" t="s">
        <v>142</v>
      </c>
    </row>
    <row r="94" spans="1:29" ht="15.95" customHeight="1" x14ac:dyDescent="0.25">
      <c r="A94" s="3" t="s">
        <v>117</v>
      </c>
      <c r="B94" s="23" t="s">
        <v>86</v>
      </c>
      <c r="C94" s="23" t="s">
        <v>26</v>
      </c>
      <c r="D94" s="23" t="s">
        <v>9</v>
      </c>
      <c r="E94" s="3" t="s">
        <v>63</v>
      </c>
      <c r="F94" s="23" t="s">
        <v>11</v>
      </c>
      <c r="G94" s="23" t="s">
        <v>11</v>
      </c>
      <c r="H94" s="23" t="s">
        <v>11</v>
      </c>
      <c r="I94" s="23" t="s">
        <v>11</v>
      </c>
      <c r="J94" s="23" t="s">
        <v>74</v>
      </c>
      <c r="K94" s="23" t="s">
        <v>11</v>
      </c>
      <c r="L94" s="23" t="b">
        <v>0</v>
      </c>
      <c r="M94" s="23"/>
      <c r="N94" s="23">
        <f t="shared" si="3"/>
        <v>28</v>
      </c>
      <c r="O94" s="23" t="s">
        <v>22</v>
      </c>
      <c r="P94" s="23" t="s">
        <v>29</v>
      </c>
      <c r="R94" t="s">
        <v>129</v>
      </c>
      <c r="V94">
        <v>4</v>
      </c>
      <c r="AC94" t="str">
        <f t="shared" si="2"/>
        <v>Inlet</v>
      </c>
    </row>
    <row r="95" spans="1:29" ht="15.95" customHeight="1" x14ac:dyDescent="0.25">
      <c r="A95" s="3" t="s">
        <v>164</v>
      </c>
      <c r="B95" s="23" t="s">
        <v>86</v>
      </c>
      <c r="C95" s="23" t="s">
        <v>26</v>
      </c>
      <c r="D95" s="3" t="s">
        <v>9</v>
      </c>
      <c r="E95" s="3" t="s">
        <v>62</v>
      </c>
      <c r="F95" s="23" t="s">
        <v>11</v>
      </c>
      <c r="G95" s="23" t="s">
        <v>11</v>
      </c>
      <c r="H95" s="23" t="s">
        <v>11</v>
      </c>
      <c r="I95" s="23" t="s">
        <v>11</v>
      </c>
      <c r="J95" s="23" t="s">
        <v>74</v>
      </c>
      <c r="K95" s="23" t="s">
        <v>11</v>
      </c>
      <c r="L95" s="23" t="b">
        <v>0</v>
      </c>
      <c r="M95" s="23"/>
      <c r="N95" s="23">
        <f t="shared" si="3"/>
        <v>28</v>
      </c>
      <c r="O95" s="23" t="s">
        <v>53</v>
      </c>
      <c r="P95" s="23" t="s">
        <v>53</v>
      </c>
      <c r="R95" t="s">
        <v>160</v>
      </c>
      <c r="V95">
        <v>4</v>
      </c>
      <c r="AC95" t="str">
        <f t="shared" si="2"/>
        <v>Inlet</v>
      </c>
    </row>
    <row r="96" spans="1:29" ht="15.95" customHeight="1" x14ac:dyDescent="0.25">
      <c r="A96" s="24" t="s">
        <v>64</v>
      </c>
      <c r="B96" s="24" t="s">
        <v>6</v>
      </c>
      <c r="C96" s="24" t="s">
        <v>7</v>
      </c>
      <c r="D96" s="24" t="s">
        <v>9</v>
      </c>
      <c r="E96" s="24" t="s">
        <v>65</v>
      </c>
      <c r="F96" s="5" t="s">
        <v>11</v>
      </c>
      <c r="G96" s="24" t="s">
        <v>11</v>
      </c>
      <c r="H96" s="24" t="s">
        <v>11</v>
      </c>
      <c r="I96" s="24" t="s">
        <v>11</v>
      </c>
      <c r="J96" s="24" t="s">
        <v>74</v>
      </c>
      <c r="K96" s="24" t="s">
        <v>66</v>
      </c>
      <c r="L96" s="24" t="b">
        <v>0</v>
      </c>
      <c r="M96" s="5" t="s">
        <v>75</v>
      </c>
      <c r="N96" s="5">
        <f t="shared" si="3"/>
        <v>29</v>
      </c>
      <c r="O96" s="5" t="s">
        <v>67</v>
      </c>
      <c r="P96" s="5" t="s">
        <v>67</v>
      </c>
      <c r="R96" t="s">
        <v>189</v>
      </c>
      <c r="AC96" t="s">
        <v>64</v>
      </c>
    </row>
    <row r="97" spans="1:29" ht="15.95" customHeight="1" x14ac:dyDescent="0.25">
      <c r="A97" s="24" t="s">
        <v>70</v>
      </c>
      <c r="B97" s="24" t="s">
        <v>6</v>
      </c>
      <c r="C97" s="24" t="s">
        <v>7</v>
      </c>
      <c r="D97" s="24" t="s">
        <v>9</v>
      </c>
      <c r="E97" s="24" t="s">
        <v>71</v>
      </c>
      <c r="F97" s="24" t="s">
        <v>11</v>
      </c>
      <c r="G97" s="24" t="s">
        <v>11</v>
      </c>
      <c r="H97" s="24" t="s">
        <v>11</v>
      </c>
      <c r="I97" s="24" t="s">
        <v>11</v>
      </c>
      <c r="J97" s="24" t="s">
        <v>74</v>
      </c>
      <c r="K97" s="24" t="s">
        <v>66</v>
      </c>
      <c r="L97" s="24" t="b">
        <v>0</v>
      </c>
      <c r="M97" s="5"/>
      <c r="N97" s="5">
        <f t="shared" si="3"/>
        <v>30</v>
      </c>
      <c r="O97" s="5" t="s">
        <v>23</v>
      </c>
      <c r="P97" s="5" t="s">
        <v>23</v>
      </c>
      <c r="R97" t="s">
        <v>189</v>
      </c>
      <c r="AC97" t="str">
        <f>A97</f>
        <v>Falling Max Speed - GPS Speed</v>
      </c>
    </row>
    <row r="98" spans="1:29" ht="15.95" customHeight="1" x14ac:dyDescent="0.25">
      <c r="A98" s="24" t="s">
        <v>72</v>
      </c>
      <c r="B98" s="24" t="s">
        <v>73</v>
      </c>
      <c r="C98" s="24" t="s">
        <v>7</v>
      </c>
      <c r="D98" s="24" t="s">
        <v>9</v>
      </c>
      <c r="E98" s="24" t="s">
        <v>65</v>
      </c>
      <c r="F98" s="24" t="s">
        <v>11</v>
      </c>
      <c r="G98" s="24" t="s">
        <v>11</v>
      </c>
      <c r="H98" s="24" t="s">
        <v>11</v>
      </c>
      <c r="I98" s="24" t="s">
        <v>11</v>
      </c>
      <c r="J98" s="24" t="s">
        <v>74</v>
      </c>
      <c r="K98" s="24" t="s">
        <v>11</v>
      </c>
      <c r="L98" s="24" t="b">
        <v>0</v>
      </c>
      <c r="M98" s="5"/>
      <c r="N98" s="5">
        <f t="shared" si="3"/>
        <v>31</v>
      </c>
      <c r="O98" s="5" t="s">
        <v>23</v>
      </c>
      <c r="P98" s="5" t="s">
        <v>23</v>
      </c>
      <c r="R98" t="s">
        <v>189</v>
      </c>
      <c r="V98">
        <v>2</v>
      </c>
      <c r="AC98" t="str">
        <f t="shared" ref="AC98:AC99" si="4">A98</f>
        <v>Falling Max Speed - Boxed</v>
      </c>
    </row>
    <row r="99" spans="1:29" ht="15.95" customHeight="1" x14ac:dyDescent="0.25">
      <c r="A99" s="24" t="s">
        <v>125</v>
      </c>
      <c r="B99" s="24" t="s">
        <v>86</v>
      </c>
      <c r="C99" s="24" t="s">
        <v>7</v>
      </c>
      <c r="D99" s="24" t="s">
        <v>9</v>
      </c>
      <c r="E99" s="24" t="s">
        <v>65</v>
      </c>
      <c r="F99" s="24" t="s">
        <v>11</v>
      </c>
      <c r="G99" s="24" t="s">
        <v>11</v>
      </c>
      <c r="H99" s="24" t="s">
        <v>11</v>
      </c>
      <c r="I99" s="24" t="s">
        <v>11</v>
      </c>
      <c r="J99" s="24" t="s">
        <v>126</v>
      </c>
      <c r="K99" s="24" t="s">
        <v>11</v>
      </c>
      <c r="L99" s="24" t="b">
        <v>0</v>
      </c>
      <c r="M99" s="5"/>
      <c r="N99" s="5">
        <f t="shared" si="3"/>
        <v>32</v>
      </c>
      <c r="O99" s="5" t="s">
        <v>23</v>
      </c>
      <c r="P99" s="5" t="s">
        <v>23</v>
      </c>
      <c r="R99" t="s">
        <v>189</v>
      </c>
      <c r="AC99" t="str">
        <f t="shared" si="4"/>
        <v>Falling Max Speed - Session</v>
      </c>
    </row>
    <row r="100" spans="1:29" ht="15.95" customHeight="1" x14ac:dyDescent="0.25">
      <c r="A100" s="25" t="s">
        <v>68</v>
      </c>
      <c r="B100" s="25" t="s">
        <v>121</v>
      </c>
      <c r="C100" s="25" t="s">
        <v>11</v>
      </c>
      <c r="D100" s="25" t="s">
        <v>69</v>
      </c>
      <c r="E100" s="25" t="s">
        <v>65</v>
      </c>
      <c r="F100" s="25" t="s">
        <v>11</v>
      </c>
      <c r="G100" s="25" t="s">
        <v>11</v>
      </c>
      <c r="H100" s="25" t="s">
        <v>11</v>
      </c>
      <c r="I100" s="25" t="s">
        <v>11</v>
      </c>
      <c r="J100" s="25" t="s">
        <v>74</v>
      </c>
      <c r="K100" s="25" t="s">
        <v>11</v>
      </c>
      <c r="L100" s="25" t="b">
        <v>0</v>
      </c>
      <c r="M100" s="21" t="s">
        <v>75</v>
      </c>
      <c r="N100" s="21">
        <f t="shared" si="3"/>
        <v>33</v>
      </c>
      <c r="O100" s="21" t="s">
        <v>118</v>
      </c>
      <c r="P100" s="21" t="s">
        <v>67</v>
      </c>
      <c r="X100" t="s">
        <v>120</v>
      </c>
      <c r="Y100" t="s">
        <v>187</v>
      </c>
      <c r="Z100" t="s">
        <v>136</v>
      </c>
      <c r="AC100" t="s">
        <v>152</v>
      </c>
    </row>
    <row r="101" spans="1:29" ht="15.95" customHeight="1" x14ac:dyDescent="0.25">
      <c r="A101" s="25" t="s">
        <v>76</v>
      </c>
      <c r="B101" s="25" t="s">
        <v>121</v>
      </c>
      <c r="C101" s="25" t="s">
        <v>11</v>
      </c>
      <c r="D101" s="25" t="s">
        <v>69</v>
      </c>
      <c r="E101" s="25" t="s">
        <v>78</v>
      </c>
      <c r="F101" s="25" t="s">
        <v>11</v>
      </c>
      <c r="G101" s="25" t="s">
        <v>11</v>
      </c>
      <c r="H101" s="25" t="s">
        <v>11</v>
      </c>
      <c r="I101" s="25" t="s">
        <v>11</v>
      </c>
      <c r="J101" s="25" t="s">
        <v>74</v>
      </c>
      <c r="K101" s="25" t="s">
        <v>11</v>
      </c>
      <c r="L101" s="25" t="b">
        <v>0</v>
      </c>
      <c r="M101" s="21" t="s">
        <v>75</v>
      </c>
      <c r="N101" s="21">
        <f t="shared" si="3"/>
        <v>33</v>
      </c>
      <c r="O101" s="21" t="s">
        <v>118</v>
      </c>
      <c r="P101" s="21" t="s">
        <v>31</v>
      </c>
      <c r="X101" t="s">
        <v>120</v>
      </c>
      <c r="Y101" t="s">
        <v>187</v>
      </c>
      <c r="Z101" t="s">
        <v>136</v>
      </c>
      <c r="AC101" t="s">
        <v>152</v>
      </c>
    </row>
    <row r="102" spans="1:29" ht="15.95" customHeight="1" x14ac:dyDescent="0.25">
      <c r="A102" s="25" t="s">
        <v>77</v>
      </c>
      <c r="B102" s="25" t="s">
        <v>121</v>
      </c>
      <c r="C102" s="25" t="s">
        <v>11</v>
      </c>
      <c r="D102" s="25" t="s">
        <v>69</v>
      </c>
      <c r="E102" s="25" t="s">
        <v>79</v>
      </c>
      <c r="F102" s="25" t="s">
        <v>11</v>
      </c>
      <c r="G102" s="25" t="s">
        <v>11</v>
      </c>
      <c r="H102" s="25" t="s">
        <v>11</v>
      </c>
      <c r="I102" s="25" t="s">
        <v>11</v>
      </c>
      <c r="J102" s="25" t="s">
        <v>74</v>
      </c>
      <c r="K102" s="25" t="s">
        <v>11</v>
      </c>
      <c r="L102" s="25" t="b">
        <v>0</v>
      </c>
      <c r="M102" s="21" t="s">
        <v>75</v>
      </c>
      <c r="N102" s="21">
        <f t="shared" si="3"/>
        <v>33</v>
      </c>
      <c r="O102" s="21" t="s">
        <v>118</v>
      </c>
      <c r="P102" s="21" t="s">
        <v>80</v>
      </c>
      <c r="X102" t="s">
        <v>120</v>
      </c>
      <c r="Y102" t="s">
        <v>187</v>
      </c>
      <c r="Z102" t="s">
        <v>136</v>
      </c>
      <c r="AC102" t="s">
        <v>152</v>
      </c>
    </row>
    <row r="103" spans="1:29" ht="15.95" customHeight="1" x14ac:dyDescent="0.25">
      <c r="A103" s="25" t="s">
        <v>122</v>
      </c>
      <c r="B103" s="25" t="s">
        <v>121</v>
      </c>
      <c r="C103" s="25" t="s">
        <v>11</v>
      </c>
      <c r="D103" s="25" t="s">
        <v>119</v>
      </c>
      <c r="E103" s="25" t="s">
        <v>120</v>
      </c>
      <c r="F103" s="25" t="s">
        <v>11</v>
      </c>
      <c r="G103" s="25" t="s">
        <v>11</v>
      </c>
      <c r="H103" s="25" t="s">
        <v>11</v>
      </c>
      <c r="I103" s="25" t="s">
        <v>11</v>
      </c>
      <c r="J103" s="25" t="s">
        <v>74</v>
      </c>
      <c r="K103" s="25" t="s">
        <v>11</v>
      </c>
      <c r="L103" s="25" t="b">
        <v>0</v>
      </c>
      <c r="M103" s="21" t="s">
        <v>75</v>
      </c>
      <c r="N103" s="21">
        <f t="shared" si="3"/>
        <v>33</v>
      </c>
      <c r="O103" s="21" t="s">
        <v>118</v>
      </c>
      <c r="P103" s="21" t="s">
        <v>118</v>
      </c>
      <c r="X103" t="s">
        <v>120</v>
      </c>
      <c r="Y103" t="s">
        <v>187</v>
      </c>
      <c r="Z103" t="s">
        <v>136</v>
      </c>
      <c r="AC103" t="s">
        <v>152</v>
      </c>
    </row>
    <row r="104" spans="1:29" x14ac:dyDescent="0.25">
      <c r="A104" s="21" t="s">
        <v>185</v>
      </c>
      <c r="B104" s="22" t="s">
        <v>86</v>
      </c>
      <c r="C104" s="22" t="s">
        <v>26</v>
      </c>
      <c r="D104" s="22" t="s">
        <v>9</v>
      </c>
      <c r="E104" s="22" t="s">
        <v>59</v>
      </c>
      <c r="F104" s="22" t="s">
        <v>11</v>
      </c>
      <c r="G104" s="22" t="s">
        <v>11</v>
      </c>
      <c r="H104" s="22" t="s">
        <v>11</v>
      </c>
      <c r="I104" s="22" t="s">
        <v>11</v>
      </c>
      <c r="J104" s="22" t="s">
        <v>192</v>
      </c>
      <c r="K104" s="22" t="s">
        <v>11</v>
      </c>
      <c r="L104" s="22" t="b">
        <v>0</v>
      </c>
      <c r="M104" s="22"/>
      <c r="N104" s="22">
        <f>IF(TRIM(P103)=TRIM(O103), N103+1, N103)</f>
        <v>34</v>
      </c>
      <c r="O104" s="22" t="s">
        <v>22</v>
      </c>
      <c r="P104" s="22" t="s">
        <v>23</v>
      </c>
      <c r="R104" t="s">
        <v>161</v>
      </c>
      <c r="V104">
        <v>4</v>
      </c>
      <c r="AC104" t="s">
        <v>151</v>
      </c>
    </row>
    <row r="105" spans="1:29" x14ac:dyDescent="0.25">
      <c r="A105" s="21" t="s">
        <v>183</v>
      </c>
      <c r="B105" s="22" t="s">
        <v>86</v>
      </c>
      <c r="C105" s="22" t="s">
        <v>26</v>
      </c>
      <c r="D105" s="22" t="s">
        <v>9</v>
      </c>
      <c r="E105" s="22" t="s">
        <v>60</v>
      </c>
      <c r="F105" s="22" t="s">
        <v>11</v>
      </c>
      <c r="G105" s="22" t="s">
        <v>11</v>
      </c>
      <c r="H105" s="22" t="s">
        <v>11</v>
      </c>
      <c r="I105" s="22" t="s">
        <v>11</v>
      </c>
      <c r="J105" s="22" t="s">
        <v>192</v>
      </c>
      <c r="K105" s="22" t="s">
        <v>11</v>
      </c>
      <c r="L105" s="22" t="b">
        <v>0</v>
      </c>
      <c r="M105" s="22"/>
      <c r="N105" s="22">
        <f>IF(TRIM(P104)=TRIM(O104), N104+1, N104)</f>
        <v>34</v>
      </c>
      <c r="O105" s="22" t="s">
        <v>22</v>
      </c>
      <c r="P105" s="22" t="s">
        <v>29</v>
      </c>
      <c r="R105" t="s">
        <v>162</v>
      </c>
      <c r="V105">
        <v>4</v>
      </c>
      <c r="AC105" t="str">
        <f t="shared" ref="AC105:AC106" si="5">AC104</f>
        <v>Driver Monitor</v>
      </c>
    </row>
    <row r="106" spans="1:29" x14ac:dyDescent="0.25">
      <c r="A106" s="21" t="s">
        <v>184</v>
      </c>
      <c r="B106" s="22" t="s">
        <v>86</v>
      </c>
      <c r="C106" s="22" t="s">
        <v>26</v>
      </c>
      <c r="D106" s="22" t="s">
        <v>9</v>
      </c>
      <c r="E106" s="22" t="s">
        <v>61</v>
      </c>
      <c r="F106" s="22" t="s">
        <v>11</v>
      </c>
      <c r="G106" s="22" t="s">
        <v>11</v>
      </c>
      <c r="H106" s="22" t="s">
        <v>11</v>
      </c>
      <c r="I106" s="22" t="s">
        <v>11</v>
      </c>
      <c r="J106" s="22" t="s">
        <v>192</v>
      </c>
      <c r="K106" s="22" t="s">
        <v>11</v>
      </c>
      <c r="L106" s="22" t="b">
        <v>0</v>
      </c>
      <c r="M106" s="22"/>
      <c r="N106" s="22">
        <f>IF(TRIM(P105)=TRIM(O105), N105+1, N105)</f>
        <v>34</v>
      </c>
      <c r="O106" s="22" t="s">
        <v>53</v>
      </c>
      <c r="P106" s="22" t="s">
        <v>53</v>
      </c>
      <c r="R106" t="s">
        <v>162</v>
      </c>
      <c r="V106">
        <v>4</v>
      </c>
      <c r="AC106" t="str">
        <f t="shared" si="5"/>
        <v>Driver Monitor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plotting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Lachlan Holliday</dc:creator>
  <cp:lastModifiedBy>Lachlan Holliday</cp:lastModifiedBy>
  <dcterms:created xsi:type="dcterms:W3CDTF">2026-02-24T06:36:44Z</dcterms:created>
  <dcterms:modified xsi:type="dcterms:W3CDTF">2026-08-07T07:05:28Z</dcterms:modified>
</cp:coreProperties>
</file>