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8_{D1DC2C47-BE65-49BC-B9E3-543EE4FD75D0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 s="1"/>
  <c r="N7" i="1"/>
  <c r="N3" i="1" l="1"/>
  <c r="N4" i="1" s="1"/>
  <c r="N5" i="1" s="1"/>
  <c r="N6" i="1" s="1"/>
</calcChain>
</file>

<file path=xl/sharedStrings.xml><?xml version="1.0" encoding="utf-8"?>
<sst xmlns="http://schemas.openxmlformats.org/spreadsheetml/2006/main" count="162" uniqueCount="80">
  <si>
    <t>mathFunction</t>
  </si>
  <si>
    <t>xAxis</t>
  </si>
  <si>
    <t>yAxis1</t>
  </si>
  <si>
    <t>yAxis2</t>
  </si>
  <si>
    <t>yAxis3</t>
  </si>
  <si>
    <t>yAxis4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</si>
  <si>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</si>
  <si>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</si>
  <si>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</si>
  <si>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</si>
  <si>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</si>
  <si>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</si>
  <si>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</si>
  <si>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</si>
  <si>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</si>
  <si>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</si>
  <si>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</si>
  <si>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</si>
  <si>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</si>
  <si>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</si>
  <si>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</si>
  <si>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</si>
  <si>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</si>
  <si>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</si>
  <si>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</si>
  <si>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</si>
  <si>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</si>
  <si>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</si>
  <si>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</si>
  <si>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Lap Distance</t>
  </si>
  <si>
    <t>manufacturer</t>
  </si>
  <si>
    <t>C1_Damper Pos FL</t>
  </si>
  <si>
    <t>[2, 1]</t>
  </si>
  <si>
    <t>[3, 1]</t>
  </si>
  <si>
    <t>peaks</t>
  </si>
  <si>
    <t>outlierScope</t>
  </si>
  <si>
    <t>pptxTitle</t>
  </si>
  <si>
    <t>drv=MOS,WOO,HEI,mfr=Toyota</t>
  </si>
  <si>
    <t>drv=DEP,BAT,OJE,mfr=Chevrolet</t>
  </si>
  <si>
    <t>timeseries</t>
  </si>
  <si>
    <t>Cz Total Gated Aero Plot</t>
  </si>
  <si>
    <t>phase_profile</t>
  </si>
  <si>
    <t>{'Braking', 'Entry', 'Mid-Corner', 'Exit'}</t>
  </si>
  <si>
    <t>CLa_SCz_Braking_VCH</t>
  </si>
  <si>
    <t>CLa_SCz_Entry_VCH</t>
  </si>
  <si>
    <t>CLa_SCz_MidCrn_VCH</t>
  </si>
  <si>
    <t>CLa_SCz_Exit_VCH</t>
  </si>
  <si>
    <t>Cx Binned Cx Gates</t>
  </si>
  <si>
    <t>{'Low Speed \n &lt;80km/h', 'Mid Speed \n 80 - 160 km/h', 'High Speed \n &gt; 160 km/h', 'Parity Speed \n 220 - 240 km/h'}</t>
  </si>
  <si>
    <t>Low_Speed_Cx</t>
  </si>
  <si>
    <t>Mid_Speed_Cx</t>
  </si>
  <si>
    <t>High_Speed_SCx</t>
  </si>
  <si>
    <t>Parity_Speed_Cx</t>
  </si>
  <si>
    <t>Balance % Front</t>
  </si>
  <si>
    <t>AB_Braking</t>
  </si>
  <si>
    <t>AB_Entry</t>
  </si>
  <si>
    <t>AB_Midcrn</t>
  </si>
  <si>
    <t>AB_Exit</t>
  </si>
  <si>
    <t>Aero Efficiency</t>
  </si>
  <si>
    <t>EFF_Braking</t>
  </si>
  <si>
    <t>EFF_Entry</t>
  </si>
  <si>
    <t>EFF_MidCrn</t>
  </si>
  <si>
    <t>EFF_Exit</t>
  </si>
  <si>
    <t>Side Force</t>
  </si>
  <si>
    <t>{ 'Entry', 'Mid-Corner','', ''}</t>
  </si>
  <si>
    <t>SideForce_Entry</t>
  </si>
  <si>
    <t>SideForce_Midcrn</t>
  </si>
  <si>
    <t>lap_type_filter</t>
  </si>
  <si>
    <t>CLa_SCz</t>
  </si>
  <si>
    <t>Total Down Force</t>
  </si>
  <si>
    <t>[1330, 1370]</t>
  </si>
  <si>
    <t>Time Series Total Cz</t>
  </si>
  <si>
    <t>Front Ride Height</t>
  </si>
  <si>
    <t>Front_Ride_Height_Corr</t>
  </si>
  <si>
    <t>Sum</t>
  </si>
  <si>
    <t>Average</t>
  </si>
  <si>
    <t>Running Total</t>
  </si>
  <si>
    <t>Count</t>
  </si>
  <si>
    <t>Rear  Ride Height</t>
  </si>
  <si>
    <t>Rear_Ride_Height_Corr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</si>
</sst>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7" borderId="0" xfId="0" applyFill="1" applyAlignment="1">
      <alignment vertical="center" wrapText="1"/>
    </xf>
    <xf numFmtId="0" fontId="0" fillId="7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9"/>
  <sheetViews>
    <sheetView tabSelected="1" zoomScale="70" zoomScaleNormal="70" workbookViewId="0">
      <selection activeCell="K19" sqref="K19"/>
    </sheetView>
  </sheetViews>
  <sheetFormatPr defaultColWidth="8.77734375" defaultRowHeight="14.4" x14ac:dyDescent="0.3"/>
  <cols>
    <col min="1" max="1" width="34.33203125" bestFit="1" customWidth="1"/>
    <col min="2" max="2" width="15" bestFit="1" customWidth="1"/>
    <col min="3" max="3" width="21.109375" customWidth="1"/>
    <col min="4" max="4" width="36" customWidth="1"/>
    <col min="5" max="5" width="27.109375" bestFit="1" customWidth="1"/>
    <col min="6" max="6" width="21.6640625" bestFit="1" customWidth="1"/>
    <col min="7" max="7" width="9.77734375" bestFit="1" customWidth="1"/>
    <col min="8" max="8" width="21.6640625" bestFit="1" customWidth="1"/>
    <col min="10" max="10" width="17.109375" customWidth="1"/>
    <col min="11" max="11" width="18.109375" customWidth="1"/>
    <col min="12" max="12" width="20.109375" customWidth="1"/>
    <col min="13" max="13" width="44.44140625" bestFit="1" customWidth="1"/>
    <col min="15" max="15" width="15.44140625" bestFit="1" customWidth="1"/>
    <col min="19" max="19" width="17.33203125" customWidth="1"/>
    <col min="20" max="20" width="10" bestFit="1" customWidth="1"/>
    <col min="21" max="21" width="17.33203125" bestFit="1" customWidth="1"/>
    <col min="22" max="22" width="20.109375" bestFit="1" customWidth="1"/>
    <col min="23" max="23" width="16.6640625" bestFit="1" customWidth="1"/>
    <col min="24" max="24" width="16.77734375" bestFit="1" customWidth="1"/>
    <col min="25" max="25" width="15.44140625" bestFit="1" customWidth="1"/>
    <col min="26" max="26" width="19.44140625" bestFit="1" customWidth="1"/>
    <col min="27" max="27" width="28.109375" bestFit="1" customWidth="1"/>
    <col min="29" max="29" width="25.109375" bestFit="1" customWidth="1"/>
  </cols>
  <sheetData>
    <row r="1" spans="1:29" s="3" customFormat="1" x14ac:dyDescent="0.3">
      <c r="A1" s="1" t="s">
        <v>6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  <c r="J1" s="1" t="s">
        <v>10</v>
      </c>
      <c r="K1" s="1" t="s">
        <v>7</v>
      </c>
      <c r="L1" s="1" t="s">
        <v>11</v>
      </c>
      <c r="M1" s="1" t="s">
        <v>12</v>
      </c>
      <c r="N1" s="2" t="s">
        <v>14</v>
      </c>
      <c r="O1" s="2" t="s">
        <v>15</v>
      </c>
      <c r="P1" s="2" t="s">
        <v>16</v>
      </c>
      <c r="Q1" s="4" t="s">
        <v>19</v>
      </c>
      <c r="R1" s="4" t="s">
        <v>20</v>
      </c>
      <c r="S1" s="4" t="s">
        <v>67</v>
      </c>
      <c r="T1" s="4" t="s">
        <v>21</v>
      </c>
      <c r="U1" s="4" t="s">
        <v>22</v>
      </c>
      <c r="V1" s="4" t="s">
        <v>23</v>
      </c>
      <c r="W1" s="4" t="s">
        <v>35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36</v>
      </c>
    </row>
    <row r="2" spans="1:29" x14ac:dyDescent="0.3">
      <c r="A2" s="9" t="s">
        <v>40</v>
      </c>
      <c r="B2" s="9" t="s">
        <v>41</v>
      </c>
      <c r="C2" s="9" t="s">
        <v>18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9" t="s">
        <v>8</v>
      </c>
      <c r="J2" s="9" t="s">
        <v>30</v>
      </c>
      <c r="K2" s="9" t="s">
        <v>8</v>
      </c>
      <c r="L2" s="9" t="b">
        <v>0</v>
      </c>
      <c r="M2" s="10"/>
      <c r="N2" s="10">
        <v>1</v>
      </c>
      <c r="O2" s="10" t="s">
        <v>17</v>
      </c>
      <c r="P2" s="10" t="s">
        <v>17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9" t="s">
        <v>40</v>
      </c>
    </row>
    <row r="3" spans="1:29" x14ac:dyDescent="0.3">
      <c r="A3" s="11" t="s">
        <v>47</v>
      </c>
      <c r="B3" s="11" t="s">
        <v>41</v>
      </c>
      <c r="C3" s="11" t="s">
        <v>18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1" t="s">
        <v>8</v>
      </c>
      <c r="J3" s="11" t="s">
        <v>30</v>
      </c>
      <c r="K3" s="11" t="s">
        <v>8</v>
      </c>
      <c r="L3" s="11" t="b">
        <v>0</v>
      </c>
      <c r="M3" s="12"/>
      <c r="N3" s="12">
        <f t="shared" ref="N3:N7" si="0">IF(TRIM(P2)=TRIM(O2), N2+1, N2)</f>
        <v>2</v>
      </c>
      <c r="O3" s="12" t="s">
        <v>17</v>
      </c>
      <c r="P3" s="12" t="s">
        <v>17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1" t="s">
        <v>47</v>
      </c>
    </row>
    <row r="4" spans="1:29" x14ac:dyDescent="0.3">
      <c r="A4" s="13" t="s">
        <v>53</v>
      </c>
      <c r="B4" s="13" t="s">
        <v>41</v>
      </c>
      <c r="C4" s="13" t="s">
        <v>18</v>
      </c>
      <c r="D4" s="7" t="s">
        <v>42</v>
      </c>
      <c r="E4" s="7" t="s">
        <v>54</v>
      </c>
      <c r="F4" s="7" t="s">
        <v>55</v>
      </c>
      <c r="G4" s="7" t="s">
        <v>56</v>
      </c>
      <c r="H4" s="7" t="s">
        <v>57</v>
      </c>
      <c r="I4" s="13" t="s">
        <v>8</v>
      </c>
      <c r="J4" s="13" t="s">
        <v>30</v>
      </c>
      <c r="K4" s="13" t="s">
        <v>8</v>
      </c>
      <c r="L4" s="13" t="b">
        <v>0</v>
      </c>
      <c r="M4" s="7"/>
      <c r="N4" s="7">
        <f t="shared" si="0"/>
        <v>3</v>
      </c>
      <c r="O4" s="7" t="s">
        <v>17</v>
      </c>
      <c r="P4" s="7" t="s">
        <v>17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3" t="s">
        <v>53</v>
      </c>
    </row>
    <row r="5" spans="1:29" x14ac:dyDescent="0.3">
      <c r="A5" s="14" t="s">
        <v>58</v>
      </c>
      <c r="B5" s="14" t="s">
        <v>41</v>
      </c>
      <c r="C5" s="14" t="s">
        <v>18</v>
      </c>
      <c r="D5" s="8" t="s">
        <v>42</v>
      </c>
      <c r="E5" s="8" t="s">
        <v>59</v>
      </c>
      <c r="F5" s="8" t="s">
        <v>60</v>
      </c>
      <c r="G5" s="8" t="s">
        <v>61</v>
      </c>
      <c r="H5" s="8" t="s">
        <v>62</v>
      </c>
      <c r="I5" s="14" t="s">
        <v>8</v>
      </c>
      <c r="J5" s="14" t="s">
        <v>30</v>
      </c>
      <c r="K5" s="14" t="s">
        <v>8</v>
      </c>
      <c r="L5" s="14" t="b">
        <v>0</v>
      </c>
      <c r="M5" s="8"/>
      <c r="N5" s="8">
        <f t="shared" si="0"/>
        <v>4</v>
      </c>
      <c r="O5" s="8" t="s">
        <v>17</v>
      </c>
      <c r="P5" s="8" t="s">
        <v>17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4" t="s">
        <v>58</v>
      </c>
    </row>
    <row r="6" spans="1:29" x14ac:dyDescent="0.3">
      <c r="A6" s="15" t="s">
        <v>63</v>
      </c>
      <c r="B6" s="15" t="s">
        <v>41</v>
      </c>
      <c r="C6" s="15" t="s">
        <v>18</v>
      </c>
      <c r="D6" s="16" t="s">
        <v>64</v>
      </c>
      <c r="E6" s="16" t="s">
        <v>65</v>
      </c>
      <c r="F6" s="16" t="s">
        <v>66</v>
      </c>
      <c r="G6" s="16" t="s">
        <v>8</v>
      </c>
      <c r="H6" s="16" t="s">
        <v>8</v>
      </c>
      <c r="I6" s="15" t="s">
        <v>8</v>
      </c>
      <c r="J6" s="15" t="s">
        <v>30</v>
      </c>
      <c r="K6" s="15" t="s">
        <v>8</v>
      </c>
      <c r="L6" s="15" t="b">
        <v>0</v>
      </c>
      <c r="M6" s="16"/>
      <c r="N6" s="16">
        <f t="shared" si="0"/>
        <v>5</v>
      </c>
      <c r="O6" s="16" t="s">
        <v>17</v>
      </c>
      <c r="P6" s="16" t="s">
        <v>17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5" t="s">
        <v>63</v>
      </c>
    </row>
    <row r="7" spans="1:29" x14ac:dyDescent="0.3">
      <c r="A7" s="5" t="s">
        <v>69</v>
      </c>
      <c r="B7" s="5" t="s">
        <v>39</v>
      </c>
      <c r="C7" s="5" t="s">
        <v>8</v>
      </c>
      <c r="D7" s="5" t="s">
        <v>29</v>
      </c>
      <c r="E7" s="5" t="s">
        <v>68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b">
        <v>0</v>
      </c>
      <c r="M7" s="5"/>
      <c r="N7" s="5">
        <f t="shared" si="0"/>
        <v>6</v>
      </c>
      <c r="O7" s="5" t="s">
        <v>33</v>
      </c>
      <c r="P7" s="5" t="s">
        <v>17</v>
      </c>
      <c r="Q7" s="5"/>
      <c r="R7" s="5"/>
      <c r="S7" s="5"/>
      <c r="T7" s="5"/>
      <c r="U7" s="5"/>
      <c r="V7" s="5"/>
      <c r="W7" s="5" t="s">
        <v>31</v>
      </c>
      <c r="X7" s="5" t="s">
        <v>70</v>
      </c>
      <c r="Y7" s="5" t="s">
        <v>34</v>
      </c>
      <c r="Z7" s="5"/>
      <c r="AA7" s="5"/>
      <c r="AB7" s="5"/>
      <c r="AC7" s="5" t="s">
        <v>71</v>
      </c>
    </row>
    <row r="8" spans="1:29" x14ac:dyDescent="0.3">
      <c r="A8" s="5" t="s">
        <v>72</v>
      </c>
      <c r="B8" s="5" t="s">
        <v>39</v>
      </c>
      <c r="C8" s="5" t="s">
        <v>8</v>
      </c>
      <c r="D8" s="5" t="s">
        <v>29</v>
      </c>
      <c r="E8" s="5" t="s">
        <v>73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 t="b">
        <v>0</v>
      </c>
      <c r="M8" s="5"/>
      <c r="N8" s="5">
        <f t="shared" ref="N8" si="1">IF(TRIM(P7)=TRIM(O7), N7+1, N7)</f>
        <v>6</v>
      </c>
      <c r="O8" s="5" t="s">
        <v>33</v>
      </c>
      <c r="P8" s="5" t="s">
        <v>32</v>
      </c>
      <c r="Q8" s="5"/>
      <c r="R8" s="5"/>
      <c r="S8" s="5"/>
      <c r="T8" s="5"/>
      <c r="U8" s="5"/>
      <c r="V8" s="5"/>
      <c r="W8" s="5" t="s">
        <v>31</v>
      </c>
      <c r="X8" s="5" t="s">
        <v>70</v>
      </c>
      <c r="Y8" s="5" t="s">
        <v>34</v>
      </c>
      <c r="Z8" s="5"/>
      <c r="AA8" s="5"/>
      <c r="AB8" s="5"/>
      <c r="AC8" s="5" t="s">
        <v>71</v>
      </c>
    </row>
    <row r="9" spans="1:29" x14ac:dyDescent="0.3">
      <c r="A9" s="5" t="s">
        <v>78</v>
      </c>
      <c r="B9" s="5" t="s">
        <v>39</v>
      </c>
      <c r="C9" s="5" t="s">
        <v>8</v>
      </c>
      <c r="D9" s="5" t="s">
        <v>29</v>
      </c>
      <c r="E9" s="5" t="s">
        <v>79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 t="b">
        <v>0</v>
      </c>
      <c r="M9" s="5"/>
      <c r="N9" s="5">
        <f t="shared" ref="N9" si="2">IF(TRIM(P8)=TRIM(O8), N8+1, N8)</f>
        <v>6</v>
      </c>
      <c r="O9" s="5" t="s">
        <v>33</v>
      </c>
      <c r="P9" s="5" t="s">
        <v>33</v>
      </c>
      <c r="Q9" s="5"/>
      <c r="R9" s="5"/>
      <c r="S9" s="5"/>
      <c r="T9" s="5"/>
      <c r="U9" s="5"/>
      <c r="V9" s="5"/>
      <c r="W9" s="5" t="s">
        <v>31</v>
      </c>
      <c r="X9" s="5" t="s">
        <v>70</v>
      </c>
      <c r="Y9" s="5" t="s">
        <v>34</v>
      </c>
      <c r="Z9" s="5"/>
      <c r="AA9" s="5"/>
      <c r="AB9" s="5"/>
      <c r="AC9" s="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7734375" defaultRowHeight="14.4" x14ac:dyDescent="0.3"/>
  <sheetData>
    <row r="11" spans="7:7" x14ac:dyDescent="0.3">
      <c r="G11" s="5" t="s">
        <v>37</v>
      </c>
    </row>
    <row r="12" spans="7:7" x14ac:dyDescent="0.3">
      <c r="G12" s="5" t="s">
        <v>37</v>
      </c>
    </row>
    <row r="13" spans="7:7" x14ac:dyDescent="0.3">
      <c r="G13" s="5" t="s">
        <v>37</v>
      </c>
    </row>
    <row r="14" spans="7:7" x14ac:dyDescent="0.3">
      <c r="G14" s="5" t="s">
        <v>37</v>
      </c>
    </row>
    <row r="15" spans="7:7" x14ac:dyDescent="0.3">
      <c r="G15" s="6" t="s">
        <v>38</v>
      </c>
    </row>
    <row r="16" spans="7:7" x14ac:dyDescent="0.3">
      <c r="G16" s="6" t="s">
        <v>38</v>
      </c>
    </row>
    <row r="17" spans="7:7" x14ac:dyDescent="0.3">
      <c r="G17" s="6" t="s">
        <v>38</v>
      </c>
    </row>
    <row r="18" spans="7:7" x14ac:dyDescent="0.3">
      <c r="G18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2026-07-11T22:21:42Z</dcterms:modified>
</cp:coreProperties>
</file>