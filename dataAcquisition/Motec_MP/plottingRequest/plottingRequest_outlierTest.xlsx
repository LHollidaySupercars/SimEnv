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plottingRequest\"/>
    </mc:Choice>
  </mc:AlternateContent>
  <xr:revisionPtr revIDLastSave="0" documentId="13_ncr:1_{FB96E46E-0B3D-43C3-BBF0-8A62754EAF6C}" xr6:coauthVersionLast="47" xr6:coauthVersionMax="47" xr10:uidLastSave="{00000000-0000-0000-0000-000000000000}"/>
  <bookViews>
    <workbookView xWindow="-108" yWindow="-108" windowWidth="23256" windowHeight="13896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" i="1" l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10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26" i="1" l="1"/>
  <c r="N27" i="1" s="1"/>
  <c r="N28" i="1" s="1"/>
  <c r="N29" i="1" s="1"/>
</calcChain>
</file>

<file path=xl/sharedStrings.xml><?xml version="1.0" encoding="utf-8"?>
<sst xmlns="http://schemas.openxmlformats.org/spreadsheetml/2006/main" count="815" uniqueCount="144">
  <si>
    <t>mathFunction</t>
  </si>
  <si>
    <t>xAxis</t>
  </si>
  <si>
    <t>yAxis1</t>
  </si>
  <si>
    <t>yAxis2</t>
  </si>
  <si>
    <t>yAxis3</t>
  </si>
  <si>
    <t>yAxis4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</si>
  <si>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</si>
  <si>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</si>
  <si>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</si>
  <si>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</si>
  <si>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</si>
  <si>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</si>
  <si>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</si>
  <si>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</si>
  <si>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</si>
  <si>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</si>
  <si>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TPM1S FL WS TEMP</t>
  </si>
  <si>
    <t>TPM1S FL WS PRESS</t>
  </si>
  <si>
    <t>figure</t>
  </si>
  <si>
    <t>plotOrganization</t>
  </si>
  <si>
    <t>plotPos</t>
  </si>
  <si>
    <t>[1,3]</t>
  </si>
  <si>
    <t>[1, 1]</t>
  </si>
  <si>
    <t xml:space="preserve">Coolant Temperature                 </t>
  </si>
  <si>
    <t>mean</t>
  </si>
  <si>
    <t>[2, 2]</t>
  </si>
  <si>
    <t xml:space="preserve">[2, 2] </t>
  </si>
  <si>
    <t>[1, 2]</t>
  </si>
  <si>
    <t xml:space="preserve">Engine Oil Temperature              </t>
  </si>
  <si>
    <t>[2, 1]</t>
  </si>
  <si>
    <t xml:space="preserve">Transmission Pressure                </t>
  </si>
  <si>
    <t xml:space="preserve">Transmission Temperature             </t>
  </si>
  <si>
    <t xml:space="preserve">Coolant Pressure                    </t>
  </si>
  <si>
    <t xml:space="preserve">Engine Oil Pressure                 </t>
  </si>
  <si>
    <t xml:space="preserve">Fuel Pressure                   </t>
  </si>
  <si>
    <t xml:space="preserve">Fuel Temperature                    </t>
  </si>
  <si>
    <t xml:space="preserve">C1_Power Steering Pressure          </t>
  </si>
  <si>
    <t>TPM1S FR WS PRESS</t>
  </si>
  <si>
    <t>TPM1S RL WS PRESS</t>
  </si>
  <si>
    <t>TPM1S RR WS PRESS</t>
  </si>
  <si>
    <t>TPM1S FR WS TEMP</t>
  </si>
  <si>
    <t>TPM1S RL WS TEMP</t>
  </si>
  <si>
    <t>TPM1S RR WS TEMP</t>
  </si>
  <si>
    <t xml:space="preserve">PDM2 Total Current                 </t>
  </si>
  <si>
    <t xml:space="preserve">PDM Total Current                 </t>
  </si>
  <si>
    <t xml:space="preserve">[1, 2] </t>
  </si>
  <si>
    <t xml:space="preserve">PDM2 Output 1 Current FP Main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</si>
  <si>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</si>
  <si>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</si>
  <si>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</si>
  <si>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</si>
  <si>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>[1, 3]</t>
  </si>
  <si>
    <t xml:space="preserve">ECU CPU Usage         </t>
  </si>
  <si>
    <t xml:space="preserve">CPU Usage         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</si>
  <si>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</si>
  <si>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</si>
  <si>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</si>
  <si>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C1_Cockpit Temp       </t>
  </si>
  <si>
    <t xml:space="preserve">C1_Driver Suit Temp   </t>
  </si>
  <si>
    <t xml:space="preserve">C1_Driver Helmet Temp               </t>
  </si>
  <si>
    <t xml:space="preserve">Inlet Air Temp Mix Aim             </t>
  </si>
  <si>
    <t xml:space="preserve">Inlet Manifold Pressure              </t>
  </si>
  <si>
    <t xml:space="preserve">Inlet Air Temperature                </t>
  </si>
  <si>
    <t>manufacturer</t>
  </si>
  <si>
    <t>outlierThreshold</t>
  </si>
  <si>
    <t>outliers</t>
  </si>
  <si>
    <t>xLim</t>
  </si>
  <si>
    <t>yLim</t>
  </si>
  <si>
    <t>outlierMethod</t>
  </si>
  <si>
    <t>sessionlapwise</t>
  </si>
  <si>
    <t>mad</t>
  </si>
  <si>
    <t>[0, 120]</t>
  </si>
  <si>
    <t>Fuel Pressure max [kPa]</t>
  </si>
  <si>
    <t>Fuel Pressure Mean [kPa]</t>
  </si>
  <si>
    <t>Fuel Temperature Max [°C]</t>
  </si>
  <si>
    <t>Fuel Temperature Mean [°C]</t>
  </si>
  <si>
    <t>[20, 170]</t>
  </si>
  <si>
    <t>Power Steering Pressure Max [kPa]</t>
  </si>
  <si>
    <t>Power Steering Pressure Mean [kPa]</t>
  </si>
  <si>
    <t>Power Steering Temperature Max [°C]</t>
  </si>
  <si>
    <t>Power Steering Temperature Mean [°C]</t>
  </si>
  <si>
    <t>Engine Temperature Max [°C]</t>
  </si>
  <si>
    <t>Engine Temperature Mean [°C]</t>
  </si>
  <si>
    <t>Engine Pressure Mean [kPa]</t>
  </si>
  <si>
    <t>Engine Pressure Max [kPa]</t>
  </si>
  <si>
    <t>Coolant Temperatures Max [°C]</t>
  </si>
  <si>
    <t>Coolant Temperatures Mean [°C]</t>
  </si>
  <si>
    <t>Tyre Performance FL [kPa/°C]</t>
  </si>
  <si>
    <t>Tyre Performance FR [kPa/°C]</t>
  </si>
  <si>
    <t>Tyre Performance RL [kPa/°C]</t>
  </si>
  <si>
    <t>Tyre Performance RR [kPa/°C]</t>
  </si>
  <si>
    <t>PDM Total Current Max [A]</t>
  </si>
  <si>
    <t>PDM Total Current Mean [A]</t>
  </si>
  <si>
    <t>PDM2 Total Current Max [A]</t>
  </si>
  <si>
    <t>PDM2 Total Current Mean [A]</t>
  </si>
  <si>
    <t>Fuel Pump Curret Max [A]</t>
  </si>
  <si>
    <t>Fuel Pump Current Mean [A]</t>
  </si>
  <si>
    <t>Average Lift Pump 1 Mean [A]</t>
  </si>
  <si>
    <t>Average Lift Pump 2 Mean [A]</t>
  </si>
  <si>
    <t>Average Lift Pump 3 Mean [A]</t>
  </si>
  <si>
    <t>Average Lift Pump 1 Max [A]</t>
  </si>
  <si>
    <t>Average Lift Pump 2 Max [A]</t>
  </si>
  <si>
    <t>Average Lift Pump 3 Max [A]</t>
  </si>
  <si>
    <t>Average Lift Pump 4 Max [A]</t>
  </si>
  <si>
    <t>CAN 1 Utilization [%]</t>
  </si>
  <si>
    <t>CAN 2 Utilization [%]</t>
  </si>
  <si>
    <t>CAN 3 Utilization [%]</t>
  </si>
  <si>
    <t>CPU Usage [%]</t>
  </si>
  <si>
    <t>ECU CPU Usage [%]</t>
  </si>
  <si>
    <t>Cockpit Temperature Mean [°C]</t>
  </si>
  <si>
    <t>Driver Suit Temperature [°C]</t>
  </si>
  <si>
    <t>Driver Helmet Temperature [°C]</t>
  </si>
  <si>
    <t>Inlet Air Temp [°C]</t>
  </si>
  <si>
    <t>Inlet Air Temperature Mean [°C]</t>
  </si>
  <si>
    <t>Inlet Manifold Pressure Mean [°C]</t>
  </si>
  <si>
    <t>notes</t>
  </si>
  <si>
    <t>alignWindow</t>
  </si>
  <si>
    <t>Too vertical Can't read</t>
  </si>
  <si>
    <t>Weird on going laps from what should be session length which is 19 laps</t>
  </si>
  <si>
    <t>Num 18 and 9 both are mean to have much higher CPU usage, but  I can't see that</t>
  </si>
  <si>
    <t>Implementation of the outliers is kinda shit and only occurs on plot 1?</t>
  </si>
  <si>
    <t>Average Lift Pump 4 Mean [A]</t>
  </si>
  <si>
    <t>Outliers are only applied to the first plot</t>
  </si>
  <si>
    <t>[300, 800]</t>
  </si>
  <si>
    <t>[80, 130]</t>
  </si>
  <si>
    <t>[0, 350]</t>
  </si>
  <si>
    <t>Transmission Temperature Max [°C]</t>
  </si>
  <si>
    <t>Transmission Pressure Mean [°C]</t>
  </si>
  <si>
    <t>Transmission Pressure Max [°C]</t>
  </si>
  <si>
    <t>Transmission Temperature Mean [°C]</t>
  </si>
  <si>
    <t>[60, 140]</t>
  </si>
  <si>
    <t>[0, 300]</t>
  </si>
  <si>
    <t>[0, 170]</t>
  </si>
  <si>
    <t>[60, 100]</t>
  </si>
  <si>
    <t>Coolant Pressure Max [°C]</t>
  </si>
  <si>
    <t>Coolant Pressure Mean [°C]</t>
  </si>
  <si>
    <t>alignChannel</t>
  </si>
  <si>
    <t>alignMethod</t>
  </si>
  <si>
    <t>alightMaxOffset</t>
  </si>
  <si>
    <t>outlierScope</t>
  </si>
  <si>
    <t>global</t>
  </si>
  <si>
    <t>pptxTitle</t>
  </si>
  <si>
    <t>title 1</t>
  </si>
  <si>
    <t>title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</si>
</sst>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1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B54"/>
  <sheetViews>
    <sheetView tabSelected="1" zoomScale="70" zoomScaleNormal="70" workbookViewId="0">
      <pane ySplit="1" topLeftCell="A22" activePane="bottomLeft" state="frozen"/>
      <selection activeCell="F1" sqref="F1"/>
      <selection pane="bottomLeft" activeCell="AC58" sqref="AC58:AC60"/>
    </sheetView>
  </sheetViews>
  <sheetFormatPr defaultRowHeight="14.4" x14ac:dyDescent="0.3"/>
  <cols>
    <col min="1" max="1" width="33.21875" customWidth="1"/>
    <col min="2" max="2" width="13.88671875" bestFit="1" customWidth="1"/>
    <col min="3" max="3" width="13.109375" bestFit="1" customWidth="1"/>
    <col min="4" max="4" width="17.77734375" bestFit="1" customWidth="1"/>
    <col min="5" max="5" width="28.77734375" bestFit="1" customWidth="1"/>
    <col min="6" max="6" width="16.109375" bestFit="1" customWidth="1"/>
    <col min="7" max="8" width="6.33203125" bestFit="1" customWidth="1"/>
    <col min="9" max="9" width="5.33203125" bestFit="1" customWidth="1"/>
    <col min="10" max="10" width="12.109375" bestFit="1" customWidth="1"/>
    <col min="11" max="11" width="12.21875" bestFit="1" customWidth="1"/>
    <col min="12" max="12" width="12.77734375" bestFit="1" customWidth="1"/>
    <col min="13" max="13" width="42.5546875" bestFit="1" customWidth="1"/>
    <col min="14" max="14" width="5.77734375" bestFit="1" customWidth="1"/>
    <col min="15" max="15" width="15" customWidth="1"/>
    <col min="16" max="16" width="7.33203125" customWidth="1"/>
    <col min="17" max="19" width="8.88671875" customWidth="1"/>
    <col min="20" max="20" width="13.44140625" customWidth="1"/>
    <col min="21" max="23" width="15.6640625" customWidth="1"/>
    <col min="24" max="25" width="8.88671875" customWidth="1"/>
    <col min="26" max="26" width="14.33203125" customWidth="1"/>
    <col min="27" max="27" width="68.5546875" bestFit="1" customWidth="1"/>
  </cols>
  <sheetData>
    <row r="1" spans="1:28" ht="28.8" x14ac:dyDescent="0.3">
      <c r="A1" s="1" t="s">
        <v>7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15</v>
      </c>
      <c r="J1" s="1" t="s">
        <v>12</v>
      </c>
      <c r="K1" s="1" t="s">
        <v>9</v>
      </c>
      <c r="L1" s="1" t="s">
        <v>13</v>
      </c>
      <c r="M1" s="1" t="s">
        <v>14</v>
      </c>
      <c r="N1" s="2" t="s">
        <v>18</v>
      </c>
      <c r="O1" s="2" t="s">
        <v>19</v>
      </c>
      <c r="P1" s="2" t="s">
        <v>20</v>
      </c>
      <c r="Q1" s="2" t="s">
        <v>66</v>
      </c>
      <c r="R1" s="2" t="s">
        <v>67</v>
      </c>
      <c r="S1" s="2" t="s">
        <v>65</v>
      </c>
      <c r="T1" s="2" t="s">
        <v>68</v>
      </c>
      <c r="U1" s="2" t="s">
        <v>64</v>
      </c>
      <c r="V1" s="2" t="s">
        <v>139</v>
      </c>
      <c r="W1" s="2" t="s">
        <v>136</v>
      </c>
      <c r="X1" s="2" t="s">
        <v>116</v>
      </c>
      <c r="Y1" s="2" t="s">
        <v>137</v>
      </c>
      <c r="Z1" s="2" t="s">
        <v>138</v>
      </c>
      <c r="AA1" s="2" t="s">
        <v>115</v>
      </c>
      <c r="AB1" s="2" t="s">
        <v>141</v>
      </c>
    </row>
    <row r="2" spans="1:28" ht="16.05" customHeight="1" x14ac:dyDescent="0.3">
      <c r="A2" s="4" t="s">
        <v>85</v>
      </c>
      <c r="B2" s="5" t="s">
        <v>69</v>
      </c>
      <c r="C2" s="4" t="s">
        <v>6</v>
      </c>
      <c r="D2" s="4" t="s">
        <v>8</v>
      </c>
      <c r="E2" s="5" t="s">
        <v>23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63</v>
      </c>
      <c r="K2" s="4" t="s">
        <v>10</v>
      </c>
      <c r="L2" s="4" t="b">
        <v>0</v>
      </c>
      <c r="M2" s="5"/>
      <c r="N2" s="5">
        <v>1</v>
      </c>
      <c r="O2" s="5" t="s">
        <v>25</v>
      </c>
      <c r="P2" s="5" t="s">
        <v>22</v>
      </c>
      <c r="R2" t="s">
        <v>71</v>
      </c>
      <c r="S2" t="b">
        <v>1</v>
      </c>
      <c r="T2" t="s">
        <v>70</v>
      </c>
      <c r="U2">
        <v>4</v>
      </c>
      <c r="AB2" t="s">
        <v>142</v>
      </c>
    </row>
    <row r="3" spans="1:28" ht="16.05" customHeight="1" x14ac:dyDescent="0.3">
      <c r="A3" s="4" t="s">
        <v>86</v>
      </c>
      <c r="B3" s="5" t="s">
        <v>69</v>
      </c>
      <c r="C3" s="4" t="s">
        <v>24</v>
      </c>
      <c r="D3" s="4" t="s">
        <v>8</v>
      </c>
      <c r="E3" s="5" t="s">
        <v>23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63</v>
      </c>
      <c r="K3" s="4" t="s">
        <v>10</v>
      </c>
      <c r="L3" s="4" t="b">
        <v>0</v>
      </c>
      <c r="M3" s="5"/>
      <c r="N3" s="5">
        <f t="shared" ref="N3:N18" si="0">IF(TRIM(P2)=TRIM(O2), N2+1, N2)</f>
        <v>1</v>
      </c>
      <c r="O3" s="5" t="s">
        <v>26</v>
      </c>
      <c r="P3" s="5" t="s">
        <v>27</v>
      </c>
      <c r="R3" t="s">
        <v>133</v>
      </c>
      <c r="S3" t="b">
        <v>1</v>
      </c>
      <c r="T3" t="s">
        <v>70</v>
      </c>
      <c r="U3">
        <v>4</v>
      </c>
      <c r="AB3" t="s">
        <v>142</v>
      </c>
    </row>
    <row r="4" spans="1:28" ht="16.05" customHeight="1" x14ac:dyDescent="0.3">
      <c r="A4" s="4" t="s">
        <v>134</v>
      </c>
      <c r="B4" s="5" t="s">
        <v>69</v>
      </c>
      <c r="C4" s="4" t="s">
        <v>6</v>
      </c>
      <c r="D4" s="4" t="s">
        <v>8</v>
      </c>
      <c r="E4" s="5" t="s">
        <v>32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63</v>
      </c>
      <c r="K4" s="4" t="s">
        <v>10</v>
      </c>
      <c r="L4" s="4" t="b">
        <v>0</v>
      </c>
      <c r="M4" s="5"/>
      <c r="N4" s="5">
        <f t="shared" si="0"/>
        <v>1</v>
      </c>
      <c r="O4" s="5" t="s">
        <v>25</v>
      </c>
      <c r="P4" s="5" t="s">
        <v>29</v>
      </c>
      <c r="R4" t="s">
        <v>71</v>
      </c>
      <c r="S4" t="b">
        <v>1</v>
      </c>
      <c r="T4" t="s">
        <v>70</v>
      </c>
      <c r="U4">
        <v>4</v>
      </c>
      <c r="AB4" t="s">
        <v>142</v>
      </c>
    </row>
    <row r="5" spans="1:28" ht="16.05" customHeight="1" x14ac:dyDescent="0.3">
      <c r="A5" s="4" t="s">
        <v>135</v>
      </c>
      <c r="B5" s="5" t="s">
        <v>69</v>
      </c>
      <c r="C5" s="4" t="s">
        <v>24</v>
      </c>
      <c r="D5" s="4" t="s">
        <v>8</v>
      </c>
      <c r="E5" s="5" t="s">
        <v>32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63</v>
      </c>
      <c r="K5" s="4" t="s">
        <v>10</v>
      </c>
      <c r="L5" s="4" t="b">
        <v>0</v>
      </c>
      <c r="M5" s="5"/>
      <c r="N5" s="5">
        <f t="shared" si="0"/>
        <v>1</v>
      </c>
      <c r="O5" s="5" t="s">
        <v>25</v>
      </c>
      <c r="P5" s="5" t="s">
        <v>25</v>
      </c>
      <c r="R5" t="s">
        <v>71</v>
      </c>
      <c r="S5" t="b">
        <v>1</v>
      </c>
      <c r="T5" t="s">
        <v>70</v>
      </c>
      <c r="U5">
        <v>4</v>
      </c>
      <c r="AB5" t="s">
        <v>142</v>
      </c>
    </row>
    <row r="6" spans="1:28" ht="16.05" customHeight="1" x14ac:dyDescent="0.3">
      <c r="A6" s="6" t="s">
        <v>126</v>
      </c>
      <c r="B6" s="7" t="s">
        <v>69</v>
      </c>
      <c r="C6" s="6" t="s">
        <v>6</v>
      </c>
      <c r="D6" s="6" t="s">
        <v>8</v>
      </c>
      <c r="E6" s="7" t="s">
        <v>31</v>
      </c>
      <c r="F6" s="6" t="s">
        <v>10</v>
      </c>
      <c r="G6" s="6" t="s">
        <v>10</v>
      </c>
      <c r="H6" s="6" t="s">
        <v>10</v>
      </c>
      <c r="I6" s="6" t="s">
        <v>10</v>
      </c>
      <c r="J6" s="6" t="s">
        <v>63</v>
      </c>
      <c r="K6" s="6" t="s">
        <v>10</v>
      </c>
      <c r="L6" s="6" t="b">
        <v>0</v>
      </c>
      <c r="M6" s="7"/>
      <c r="N6" s="7">
        <f t="shared" si="0"/>
        <v>2</v>
      </c>
      <c r="O6" s="7" t="s">
        <v>25</v>
      </c>
      <c r="P6" s="7" t="s">
        <v>22</v>
      </c>
      <c r="R6" t="s">
        <v>125</v>
      </c>
      <c r="S6" t="b">
        <v>1</v>
      </c>
      <c r="T6" t="s">
        <v>70</v>
      </c>
      <c r="U6">
        <v>4</v>
      </c>
      <c r="AB6" t="s">
        <v>143</v>
      </c>
    </row>
    <row r="7" spans="1:28" ht="16.05" customHeight="1" x14ac:dyDescent="0.3">
      <c r="A7" s="6" t="s">
        <v>129</v>
      </c>
      <c r="B7" s="7" t="s">
        <v>69</v>
      </c>
      <c r="C7" s="6" t="s">
        <v>24</v>
      </c>
      <c r="D7" s="6" t="s">
        <v>8</v>
      </c>
      <c r="E7" s="7" t="s">
        <v>31</v>
      </c>
      <c r="F7" s="6" t="s">
        <v>10</v>
      </c>
      <c r="G7" s="6" t="s">
        <v>10</v>
      </c>
      <c r="H7" s="6" t="s">
        <v>10</v>
      </c>
      <c r="I7" s="6" t="s">
        <v>10</v>
      </c>
      <c r="J7" s="6" t="s">
        <v>63</v>
      </c>
      <c r="K7" s="6" t="s">
        <v>10</v>
      </c>
      <c r="L7" s="6" t="b">
        <v>0</v>
      </c>
      <c r="M7" s="7"/>
      <c r="N7" s="7">
        <f t="shared" si="0"/>
        <v>2</v>
      </c>
      <c r="O7" s="7" t="s">
        <v>26</v>
      </c>
      <c r="P7" s="7" t="s">
        <v>27</v>
      </c>
      <c r="R7" t="s">
        <v>130</v>
      </c>
      <c r="S7" t="b">
        <v>1</v>
      </c>
      <c r="T7" t="s">
        <v>70</v>
      </c>
      <c r="U7">
        <v>4</v>
      </c>
      <c r="AB7" t="s">
        <v>143</v>
      </c>
    </row>
    <row r="8" spans="1:28" ht="16.05" customHeight="1" x14ac:dyDescent="0.3">
      <c r="A8" s="6" t="s">
        <v>128</v>
      </c>
      <c r="B8" s="7" t="s">
        <v>69</v>
      </c>
      <c r="C8" s="6" t="s">
        <v>6</v>
      </c>
      <c r="D8" s="6" t="s">
        <v>8</v>
      </c>
      <c r="E8" s="7" t="s">
        <v>30</v>
      </c>
      <c r="F8" s="6" t="s">
        <v>10</v>
      </c>
      <c r="G8" s="6" t="s">
        <v>10</v>
      </c>
      <c r="H8" s="6" t="s">
        <v>10</v>
      </c>
      <c r="I8" s="6" t="s">
        <v>10</v>
      </c>
      <c r="J8" s="6" t="s">
        <v>63</v>
      </c>
      <c r="K8" s="6" t="s">
        <v>10</v>
      </c>
      <c r="L8" s="6" t="b">
        <v>0</v>
      </c>
      <c r="M8" s="7"/>
      <c r="N8" s="7">
        <f t="shared" si="0"/>
        <v>2</v>
      </c>
      <c r="O8" s="7" t="s">
        <v>25</v>
      </c>
      <c r="P8" s="7" t="s">
        <v>29</v>
      </c>
      <c r="R8" t="s">
        <v>131</v>
      </c>
      <c r="S8" t="b">
        <v>1</v>
      </c>
      <c r="T8" t="s">
        <v>70</v>
      </c>
      <c r="U8">
        <v>4</v>
      </c>
      <c r="AB8" t="s">
        <v>143</v>
      </c>
    </row>
    <row r="9" spans="1:28" ht="16.05" customHeight="1" x14ac:dyDescent="0.3">
      <c r="A9" s="6" t="s">
        <v>127</v>
      </c>
      <c r="B9" s="7" t="s">
        <v>69</v>
      </c>
      <c r="C9" s="6" t="s">
        <v>24</v>
      </c>
      <c r="D9" s="6" t="s">
        <v>8</v>
      </c>
      <c r="E9" s="7" t="s">
        <v>30</v>
      </c>
      <c r="F9" s="6" t="s">
        <v>10</v>
      </c>
      <c r="G9" s="6" t="s">
        <v>10</v>
      </c>
      <c r="H9" s="6" t="s">
        <v>10</v>
      </c>
      <c r="I9" s="6" t="s">
        <v>10</v>
      </c>
      <c r="J9" s="6" t="s">
        <v>63</v>
      </c>
      <c r="K9" s="6" t="s">
        <v>10</v>
      </c>
      <c r="L9" s="6" t="b">
        <v>0</v>
      </c>
      <c r="M9" s="7"/>
      <c r="N9" s="7">
        <f t="shared" si="0"/>
        <v>2</v>
      </c>
      <c r="O9" s="7" t="s">
        <v>25</v>
      </c>
      <c r="P9" s="7" t="s">
        <v>25</v>
      </c>
      <c r="R9" t="s">
        <v>132</v>
      </c>
      <c r="S9" t="b">
        <v>1</v>
      </c>
      <c r="T9" t="s">
        <v>70</v>
      </c>
      <c r="U9">
        <v>4</v>
      </c>
      <c r="AB9" t="s">
        <v>143</v>
      </c>
    </row>
    <row r="10" spans="1:28" ht="16.05" customHeight="1" x14ac:dyDescent="0.3">
      <c r="A10" s="8" t="s">
        <v>84</v>
      </c>
      <c r="B10" s="9" t="s">
        <v>69</v>
      </c>
      <c r="C10" s="8" t="s">
        <v>6</v>
      </c>
      <c r="D10" s="8" t="s">
        <v>8</v>
      </c>
      <c r="E10" s="9" t="s">
        <v>33</v>
      </c>
      <c r="F10" s="8" t="s">
        <v>10</v>
      </c>
      <c r="G10" s="8" t="s">
        <v>10</v>
      </c>
      <c r="H10" s="8" t="s">
        <v>10</v>
      </c>
      <c r="I10" s="8" t="s">
        <v>10</v>
      </c>
      <c r="J10" s="8" t="s">
        <v>63</v>
      </c>
      <c r="K10" s="8" t="s">
        <v>10</v>
      </c>
      <c r="L10" s="8" t="b">
        <v>0</v>
      </c>
      <c r="M10" s="9"/>
      <c r="N10" s="9">
        <f t="shared" si="0"/>
        <v>3</v>
      </c>
      <c r="O10" s="9" t="s">
        <v>25</v>
      </c>
      <c r="P10" s="9" t="s">
        <v>22</v>
      </c>
      <c r="R10" t="s">
        <v>123</v>
      </c>
      <c r="S10" t="b">
        <v>1</v>
      </c>
      <c r="T10" t="s">
        <v>70</v>
      </c>
      <c r="U10">
        <v>4</v>
      </c>
      <c r="AA10" t="s">
        <v>122</v>
      </c>
      <c r="AB10" t="str">
        <f>_xlfn.CONCAT("Title ",N10)</f>
        <v>Title 3</v>
      </c>
    </row>
    <row r="11" spans="1:28" ht="16.05" customHeight="1" x14ac:dyDescent="0.3">
      <c r="A11" s="8" t="s">
        <v>83</v>
      </c>
      <c r="B11" s="9" t="s">
        <v>69</v>
      </c>
      <c r="C11" s="8" t="s">
        <v>24</v>
      </c>
      <c r="D11" s="8" t="s">
        <v>8</v>
      </c>
      <c r="E11" s="9" t="s">
        <v>33</v>
      </c>
      <c r="F11" s="8" t="s">
        <v>10</v>
      </c>
      <c r="G11" s="8" t="s">
        <v>10</v>
      </c>
      <c r="H11" s="8" t="s">
        <v>10</v>
      </c>
      <c r="I11" s="8" t="s">
        <v>10</v>
      </c>
      <c r="J11" s="8" t="s">
        <v>63</v>
      </c>
      <c r="K11" s="8" t="s">
        <v>10</v>
      </c>
      <c r="L11" s="8" t="b">
        <v>0</v>
      </c>
      <c r="M11" s="9"/>
      <c r="N11" s="9">
        <f t="shared" si="0"/>
        <v>3</v>
      </c>
      <c r="O11" s="9" t="s">
        <v>26</v>
      </c>
      <c r="P11" s="9" t="s">
        <v>27</v>
      </c>
      <c r="R11" t="s">
        <v>123</v>
      </c>
      <c r="S11" t="b">
        <v>1</v>
      </c>
      <c r="T11" t="s">
        <v>70</v>
      </c>
      <c r="U11">
        <v>4</v>
      </c>
      <c r="AB11" t="str">
        <f t="shared" ref="AB11:AB54" si="1">_xlfn.CONCAT("Title ",N11)</f>
        <v>Title 3</v>
      </c>
    </row>
    <row r="12" spans="1:28" ht="16.05" customHeight="1" x14ac:dyDescent="0.3">
      <c r="A12" s="8" t="s">
        <v>81</v>
      </c>
      <c r="B12" s="9" t="s">
        <v>69</v>
      </c>
      <c r="C12" s="8" t="s">
        <v>6</v>
      </c>
      <c r="D12" s="8" t="s">
        <v>8</v>
      </c>
      <c r="E12" s="9" t="s">
        <v>28</v>
      </c>
      <c r="F12" s="8" t="s">
        <v>10</v>
      </c>
      <c r="G12" s="8" t="s">
        <v>10</v>
      </c>
      <c r="H12" s="8" t="s">
        <v>10</v>
      </c>
      <c r="I12" s="8" t="s">
        <v>10</v>
      </c>
      <c r="J12" s="8" t="s">
        <v>63</v>
      </c>
      <c r="K12" s="8" t="s">
        <v>10</v>
      </c>
      <c r="L12" s="8" t="b">
        <v>0</v>
      </c>
      <c r="M12" s="9"/>
      <c r="N12" s="9">
        <f t="shared" si="0"/>
        <v>3</v>
      </c>
      <c r="O12" s="9" t="s">
        <v>25</v>
      </c>
      <c r="P12" s="9" t="s">
        <v>29</v>
      </c>
      <c r="R12" t="s">
        <v>124</v>
      </c>
      <c r="S12" t="b">
        <v>1</v>
      </c>
      <c r="T12" t="s">
        <v>70</v>
      </c>
      <c r="U12">
        <v>4</v>
      </c>
      <c r="AB12" t="str">
        <f t="shared" si="1"/>
        <v>Title 3</v>
      </c>
    </row>
    <row r="13" spans="1:28" ht="16.05" customHeight="1" x14ac:dyDescent="0.3">
      <c r="A13" s="8" t="s">
        <v>82</v>
      </c>
      <c r="B13" s="9" t="s">
        <v>69</v>
      </c>
      <c r="C13" s="8" t="s">
        <v>24</v>
      </c>
      <c r="D13" s="8" t="s">
        <v>8</v>
      </c>
      <c r="E13" s="9" t="s">
        <v>28</v>
      </c>
      <c r="F13" s="8" t="s">
        <v>10</v>
      </c>
      <c r="G13" s="8" t="s">
        <v>10</v>
      </c>
      <c r="H13" s="8" t="s">
        <v>10</v>
      </c>
      <c r="I13" s="8" t="s">
        <v>10</v>
      </c>
      <c r="J13" s="8" t="s">
        <v>63</v>
      </c>
      <c r="K13" s="8" t="s">
        <v>10</v>
      </c>
      <c r="L13" s="8" t="b">
        <v>0</v>
      </c>
      <c r="M13" s="9"/>
      <c r="N13" s="9">
        <f t="shared" si="0"/>
        <v>3</v>
      </c>
      <c r="O13" s="9" t="s">
        <v>25</v>
      </c>
      <c r="P13" s="9" t="s">
        <v>25</v>
      </c>
      <c r="R13" t="s">
        <v>124</v>
      </c>
      <c r="S13" t="b">
        <v>1</v>
      </c>
      <c r="T13" t="s">
        <v>70</v>
      </c>
      <c r="U13">
        <v>4</v>
      </c>
      <c r="AB13" t="str">
        <f t="shared" si="1"/>
        <v>Title 3</v>
      </c>
    </row>
    <row r="14" spans="1:28" ht="16.05" customHeight="1" x14ac:dyDescent="0.3">
      <c r="A14" s="10" t="s">
        <v>72</v>
      </c>
      <c r="B14" s="11" t="s">
        <v>69</v>
      </c>
      <c r="C14" s="10" t="s">
        <v>6</v>
      </c>
      <c r="D14" s="10" t="s">
        <v>8</v>
      </c>
      <c r="E14" s="11" t="s">
        <v>34</v>
      </c>
      <c r="F14" s="10" t="s">
        <v>10</v>
      </c>
      <c r="G14" s="10" t="s">
        <v>10</v>
      </c>
      <c r="H14" s="10" t="s">
        <v>10</v>
      </c>
      <c r="I14" s="10" t="s">
        <v>10</v>
      </c>
      <c r="J14" s="10" t="s">
        <v>63</v>
      </c>
      <c r="K14" s="10" t="s">
        <v>10</v>
      </c>
      <c r="L14" s="10" t="b">
        <v>0</v>
      </c>
      <c r="M14" s="11"/>
      <c r="N14" s="11">
        <f t="shared" si="0"/>
        <v>4</v>
      </c>
      <c r="O14" s="11" t="s">
        <v>25</v>
      </c>
      <c r="P14" s="11" t="s">
        <v>22</v>
      </c>
      <c r="S14" t="b">
        <v>1</v>
      </c>
      <c r="T14" t="s">
        <v>70</v>
      </c>
      <c r="U14">
        <v>4</v>
      </c>
      <c r="AB14" t="str">
        <f t="shared" si="1"/>
        <v>Title 4</v>
      </c>
    </row>
    <row r="15" spans="1:28" ht="16.05" customHeight="1" x14ac:dyDescent="0.3">
      <c r="A15" s="10" t="s">
        <v>73</v>
      </c>
      <c r="B15" s="11" t="s">
        <v>69</v>
      </c>
      <c r="C15" s="10" t="s">
        <v>24</v>
      </c>
      <c r="D15" s="10" t="s">
        <v>8</v>
      </c>
      <c r="E15" s="11" t="s">
        <v>34</v>
      </c>
      <c r="F15" s="10" t="s">
        <v>10</v>
      </c>
      <c r="G15" s="10" t="s">
        <v>10</v>
      </c>
      <c r="H15" s="10" t="s">
        <v>10</v>
      </c>
      <c r="I15" s="10" t="s">
        <v>10</v>
      </c>
      <c r="J15" s="10" t="s">
        <v>63</v>
      </c>
      <c r="K15" s="10" t="s">
        <v>10</v>
      </c>
      <c r="L15" s="10" t="b">
        <v>0</v>
      </c>
      <c r="M15" s="11"/>
      <c r="N15" s="11">
        <f t="shared" si="0"/>
        <v>4</v>
      </c>
      <c r="O15" s="11" t="s">
        <v>26</v>
      </c>
      <c r="P15" s="11" t="s">
        <v>27</v>
      </c>
      <c r="S15" t="b">
        <v>1</v>
      </c>
      <c r="T15" t="s">
        <v>70</v>
      </c>
      <c r="U15">
        <v>4</v>
      </c>
      <c r="AB15" t="str">
        <f t="shared" si="1"/>
        <v>Title 4</v>
      </c>
    </row>
    <row r="16" spans="1:28" ht="16.05" customHeight="1" x14ac:dyDescent="0.3">
      <c r="A16" s="10" t="s">
        <v>74</v>
      </c>
      <c r="B16" s="11" t="s">
        <v>69</v>
      </c>
      <c r="C16" s="10" t="s">
        <v>6</v>
      </c>
      <c r="D16" s="10" t="s">
        <v>8</v>
      </c>
      <c r="E16" s="11" t="s">
        <v>35</v>
      </c>
      <c r="F16" s="10" t="s">
        <v>10</v>
      </c>
      <c r="G16" s="10" t="s">
        <v>10</v>
      </c>
      <c r="H16" s="10" t="s">
        <v>10</v>
      </c>
      <c r="I16" s="10" t="s">
        <v>10</v>
      </c>
      <c r="J16" s="10" t="s">
        <v>63</v>
      </c>
      <c r="K16" s="10" t="s">
        <v>10</v>
      </c>
      <c r="L16" s="10" t="b">
        <v>0</v>
      </c>
      <c r="M16" s="11"/>
      <c r="N16" s="11">
        <f t="shared" si="0"/>
        <v>4</v>
      </c>
      <c r="O16" s="11" t="s">
        <v>25</v>
      </c>
      <c r="P16" s="11" t="s">
        <v>29</v>
      </c>
      <c r="S16" t="b">
        <v>1</v>
      </c>
      <c r="T16" t="s">
        <v>70</v>
      </c>
      <c r="U16">
        <v>4</v>
      </c>
      <c r="AB16" t="str">
        <f t="shared" si="1"/>
        <v>Title 4</v>
      </c>
    </row>
    <row r="17" spans="1:28" ht="16.05" customHeight="1" x14ac:dyDescent="0.3">
      <c r="A17" s="10" t="s">
        <v>75</v>
      </c>
      <c r="B17" s="11" t="s">
        <v>69</v>
      </c>
      <c r="C17" s="10" t="s">
        <v>24</v>
      </c>
      <c r="D17" s="10" t="s">
        <v>8</v>
      </c>
      <c r="E17" s="11" t="s">
        <v>35</v>
      </c>
      <c r="F17" s="10" t="s">
        <v>10</v>
      </c>
      <c r="G17" s="10" t="s">
        <v>10</v>
      </c>
      <c r="H17" s="10" t="s">
        <v>10</v>
      </c>
      <c r="I17" s="10" t="s">
        <v>10</v>
      </c>
      <c r="J17" s="10" t="s">
        <v>63</v>
      </c>
      <c r="K17" s="10" t="s">
        <v>10</v>
      </c>
      <c r="L17" s="10" t="b">
        <v>0</v>
      </c>
      <c r="M17" s="11"/>
      <c r="N17" s="11">
        <f t="shared" si="0"/>
        <v>4</v>
      </c>
      <c r="O17" s="11" t="s">
        <v>25</v>
      </c>
      <c r="P17" s="11" t="s">
        <v>25</v>
      </c>
      <c r="S17" t="b">
        <v>1</v>
      </c>
      <c r="T17" t="s">
        <v>70</v>
      </c>
      <c r="U17">
        <v>4</v>
      </c>
      <c r="AB17" t="str">
        <f t="shared" si="1"/>
        <v>Title 4</v>
      </c>
    </row>
    <row r="18" spans="1:28" ht="16.05" customHeight="1" x14ac:dyDescent="0.3">
      <c r="A18" s="12" t="s">
        <v>77</v>
      </c>
      <c r="B18" s="13" t="s">
        <v>69</v>
      </c>
      <c r="C18" s="12" t="s">
        <v>6</v>
      </c>
      <c r="D18" s="12" t="s">
        <v>8</v>
      </c>
      <c r="E18" s="13" t="s">
        <v>36</v>
      </c>
      <c r="F18" s="12" t="s">
        <v>10</v>
      </c>
      <c r="G18" s="12" t="s">
        <v>10</v>
      </c>
      <c r="H18" s="12" t="s">
        <v>10</v>
      </c>
      <c r="I18" s="12" t="s">
        <v>10</v>
      </c>
      <c r="J18" s="12" t="s">
        <v>63</v>
      </c>
      <c r="K18" s="12" t="s">
        <v>10</v>
      </c>
      <c r="L18" s="12" t="b">
        <v>0</v>
      </c>
      <c r="M18" s="13"/>
      <c r="N18" s="13">
        <f t="shared" si="0"/>
        <v>5</v>
      </c>
      <c r="O18" s="13" t="s">
        <v>25</v>
      </c>
      <c r="P18" s="13" t="s">
        <v>22</v>
      </c>
      <c r="S18" t="b">
        <v>1</v>
      </c>
      <c r="T18" t="s">
        <v>70</v>
      </c>
      <c r="U18">
        <v>4</v>
      </c>
      <c r="AB18" t="str">
        <f t="shared" si="1"/>
        <v>Title 5</v>
      </c>
    </row>
    <row r="19" spans="1:28" ht="16.05" customHeight="1" x14ac:dyDescent="0.3">
      <c r="A19" s="12" t="s">
        <v>78</v>
      </c>
      <c r="B19" s="13" t="s">
        <v>69</v>
      </c>
      <c r="C19" s="12" t="s">
        <v>24</v>
      </c>
      <c r="D19" s="12" t="s">
        <v>8</v>
      </c>
      <c r="E19" s="13" t="s">
        <v>36</v>
      </c>
      <c r="F19" s="12" t="s">
        <v>10</v>
      </c>
      <c r="G19" s="12" t="s">
        <v>10</v>
      </c>
      <c r="H19" s="12" t="s">
        <v>10</v>
      </c>
      <c r="I19" s="12" t="s">
        <v>10</v>
      </c>
      <c r="J19" s="12" t="s">
        <v>63</v>
      </c>
      <c r="K19" s="12" t="s">
        <v>10</v>
      </c>
      <c r="L19" s="12" t="b">
        <v>0</v>
      </c>
      <c r="M19" s="13"/>
      <c r="N19" s="13">
        <f t="shared" ref="N19:N54" si="2">IF(TRIM(P18)=TRIM(O18), N18+1, N18)</f>
        <v>5</v>
      </c>
      <c r="O19" s="13" t="s">
        <v>26</v>
      </c>
      <c r="P19" s="13" t="s">
        <v>27</v>
      </c>
      <c r="S19" t="b">
        <v>1</v>
      </c>
      <c r="T19" t="s">
        <v>70</v>
      </c>
      <c r="U19">
        <v>4</v>
      </c>
      <c r="AB19" t="str">
        <f t="shared" si="1"/>
        <v>Title 5</v>
      </c>
    </row>
    <row r="20" spans="1:28" ht="16.05" customHeight="1" x14ac:dyDescent="0.3">
      <c r="A20" s="12" t="s">
        <v>79</v>
      </c>
      <c r="B20" s="13" t="s">
        <v>69</v>
      </c>
      <c r="C20" s="12" t="s">
        <v>6</v>
      </c>
      <c r="D20" s="12" t="s">
        <v>8</v>
      </c>
      <c r="E20" s="13" t="s">
        <v>36</v>
      </c>
      <c r="F20" s="12" t="s">
        <v>10</v>
      </c>
      <c r="G20" s="12" t="s">
        <v>10</v>
      </c>
      <c r="H20" s="12" t="s">
        <v>10</v>
      </c>
      <c r="I20" s="12" t="s">
        <v>10</v>
      </c>
      <c r="J20" s="12" t="s">
        <v>63</v>
      </c>
      <c r="K20" s="12" t="s">
        <v>10</v>
      </c>
      <c r="L20" s="12" t="b">
        <v>0</v>
      </c>
      <c r="M20" s="13"/>
      <c r="N20" s="13">
        <f t="shared" si="2"/>
        <v>5</v>
      </c>
      <c r="O20" s="13" t="s">
        <v>25</v>
      </c>
      <c r="P20" s="13" t="s">
        <v>29</v>
      </c>
      <c r="S20" t="b">
        <v>1</v>
      </c>
      <c r="T20" t="s">
        <v>70</v>
      </c>
      <c r="U20">
        <v>4</v>
      </c>
      <c r="AB20" t="str">
        <f t="shared" si="1"/>
        <v>Title 5</v>
      </c>
    </row>
    <row r="21" spans="1:28" ht="16.05" customHeight="1" x14ac:dyDescent="0.3">
      <c r="A21" s="12" t="s">
        <v>80</v>
      </c>
      <c r="B21" s="13" t="s">
        <v>69</v>
      </c>
      <c r="C21" s="12" t="s">
        <v>24</v>
      </c>
      <c r="D21" s="12" t="s">
        <v>8</v>
      </c>
      <c r="E21" s="13" t="s">
        <v>36</v>
      </c>
      <c r="F21" s="12" t="s">
        <v>10</v>
      </c>
      <c r="G21" s="12" t="s">
        <v>10</v>
      </c>
      <c r="H21" s="12" t="s">
        <v>10</v>
      </c>
      <c r="I21" s="12" t="s">
        <v>10</v>
      </c>
      <c r="J21" s="12" t="s">
        <v>63</v>
      </c>
      <c r="K21" s="12" t="s">
        <v>10</v>
      </c>
      <c r="L21" s="12" t="b">
        <v>0</v>
      </c>
      <c r="M21" s="13"/>
      <c r="N21" s="13">
        <f t="shared" si="2"/>
        <v>5</v>
      </c>
      <c r="O21" s="13" t="s">
        <v>25</v>
      </c>
      <c r="P21" s="13" t="s">
        <v>25</v>
      </c>
      <c r="S21" t="b">
        <v>1</v>
      </c>
      <c r="T21" t="s">
        <v>70</v>
      </c>
      <c r="U21">
        <v>4</v>
      </c>
      <c r="AB21" t="str">
        <f t="shared" si="1"/>
        <v>Title 5</v>
      </c>
    </row>
    <row r="22" spans="1:28" ht="16.05" customHeight="1" x14ac:dyDescent="0.3">
      <c r="A22" s="6" t="s">
        <v>87</v>
      </c>
      <c r="B22" s="7" t="s">
        <v>69</v>
      </c>
      <c r="C22" s="6" t="s">
        <v>24</v>
      </c>
      <c r="D22" s="7" t="s">
        <v>17</v>
      </c>
      <c r="E22" s="7" t="s">
        <v>16</v>
      </c>
      <c r="F22" s="6" t="s">
        <v>10</v>
      </c>
      <c r="G22" s="6" t="s">
        <v>10</v>
      </c>
      <c r="H22" s="6" t="s">
        <v>10</v>
      </c>
      <c r="I22" s="6" t="s">
        <v>10</v>
      </c>
      <c r="J22" s="6" t="s">
        <v>63</v>
      </c>
      <c r="K22" s="6" t="s">
        <v>10</v>
      </c>
      <c r="L22" s="6" t="b">
        <v>0</v>
      </c>
      <c r="M22" s="7"/>
      <c r="N22" s="7">
        <f t="shared" si="2"/>
        <v>6</v>
      </c>
      <c r="O22" s="7" t="s">
        <v>25</v>
      </c>
      <c r="P22" s="7" t="s">
        <v>22</v>
      </c>
      <c r="R22" t="s">
        <v>76</v>
      </c>
      <c r="S22" t="b">
        <v>1</v>
      </c>
      <c r="T22" t="s">
        <v>70</v>
      </c>
      <c r="U22">
        <v>4</v>
      </c>
      <c r="V22" t="s">
        <v>140</v>
      </c>
      <c r="AB22" t="str">
        <f t="shared" si="1"/>
        <v>Title 6</v>
      </c>
    </row>
    <row r="23" spans="1:28" ht="16.05" customHeight="1" x14ac:dyDescent="0.3">
      <c r="A23" s="6" t="s">
        <v>88</v>
      </c>
      <c r="B23" s="7" t="s">
        <v>69</v>
      </c>
      <c r="C23" s="6" t="s">
        <v>24</v>
      </c>
      <c r="D23" s="7" t="s">
        <v>37</v>
      </c>
      <c r="E23" s="7" t="s">
        <v>40</v>
      </c>
      <c r="F23" s="6" t="s">
        <v>10</v>
      </c>
      <c r="G23" s="6" t="s">
        <v>10</v>
      </c>
      <c r="H23" s="6" t="s">
        <v>10</v>
      </c>
      <c r="I23" s="6" t="s">
        <v>10</v>
      </c>
      <c r="J23" s="6" t="s">
        <v>63</v>
      </c>
      <c r="K23" s="6" t="s">
        <v>10</v>
      </c>
      <c r="L23" s="6" t="b">
        <v>0</v>
      </c>
      <c r="M23" s="7"/>
      <c r="N23" s="7">
        <f t="shared" si="2"/>
        <v>6</v>
      </c>
      <c r="O23" s="7" t="s">
        <v>26</v>
      </c>
      <c r="P23" s="7" t="s">
        <v>27</v>
      </c>
      <c r="R23" t="s">
        <v>76</v>
      </c>
      <c r="S23" t="b">
        <v>1</v>
      </c>
      <c r="T23" t="s">
        <v>70</v>
      </c>
      <c r="U23">
        <v>4</v>
      </c>
      <c r="V23" t="s">
        <v>140</v>
      </c>
      <c r="AB23" t="str">
        <f t="shared" si="1"/>
        <v>Title 6</v>
      </c>
    </row>
    <row r="24" spans="1:28" ht="16.05" customHeight="1" x14ac:dyDescent="0.3">
      <c r="A24" s="6" t="s">
        <v>89</v>
      </c>
      <c r="B24" s="7" t="s">
        <v>69</v>
      </c>
      <c r="C24" s="6" t="s">
        <v>24</v>
      </c>
      <c r="D24" s="7" t="s">
        <v>38</v>
      </c>
      <c r="E24" s="7" t="s">
        <v>41</v>
      </c>
      <c r="F24" s="6" t="s">
        <v>10</v>
      </c>
      <c r="G24" s="6" t="s">
        <v>10</v>
      </c>
      <c r="H24" s="6" t="s">
        <v>10</v>
      </c>
      <c r="I24" s="6" t="s">
        <v>10</v>
      </c>
      <c r="J24" s="6" t="s">
        <v>63</v>
      </c>
      <c r="K24" s="6" t="s">
        <v>10</v>
      </c>
      <c r="L24" s="6" t="b">
        <v>0</v>
      </c>
      <c r="M24" s="7"/>
      <c r="N24" s="7">
        <f t="shared" si="2"/>
        <v>6</v>
      </c>
      <c r="O24" s="7" t="s">
        <v>25</v>
      </c>
      <c r="P24" s="7" t="s">
        <v>29</v>
      </c>
      <c r="R24" t="s">
        <v>76</v>
      </c>
      <c r="S24" t="b">
        <v>1</v>
      </c>
      <c r="T24" t="s">
        <v>70</v>
      </c>
      <c r="U24">
        <v>4</v>
      </c>
      <c r="V24" t="s">
        <v>140</v>
      </c>
      <c r="AB24" t="str">
        <f t="shared" si="1"/>
        <v>Title 6</v>
      </c>
    </row>
    <row r="25" spans="1:28" ht="16.05" customHeight="1" x14ac:dyDescent="0.3">
      <c r="A25" s="6" t="s">
        <v>90</v>
      </c>
      <c r="B25" s="7" t="s">
        <v>69</v>
      </c>
      <c r="C25" s="6" t="s">
        <v>24</v>
      </c>
      <c r="D25" s="7" t="s">
        <v>39</v>
      </c>
      <c r="E25" s="7" t="s">
        <v>42</v>
      </c>
      <c r="F25" s="6" t="s">
        <v>10</v>
      </c>
      <c r="G25" s="6" t="s">
        <v>10</v>
      </c>
      <c r="H25" s="6" t="s">
        <v>10</v>
      </c>
      <c r="I25" s="6" t="s">
        <v>10</v>
      </c>
      <c r="J25" s="6" t="s">
        <v>63</v>
      </c>
      <c r="K25" s="6" t="s">
        <v>10</v>
      </c>
      <c r="L25" s="6" t="b">
        <v>0</v>
      </c>
      <c r="M25" s="7"/>
      <c r="N25" s="7">
        <f t="shared" si="2"/>
        <v>6</v>
      </c>
      <c r="O25" s="7" t="s">
        <v>25</v>
      </c>
      <c r="P25" s="7" t="s">
        <v>25</v>
      </c>
      <c r="R25" t="s">
        <v>76</v>
      </c>
      <c r="S25" t="b">
        <v>1</v>
      </c>
      <c r="T25" t="s">
        <v>70</v>
      </c>
      <c r="U25">
        <v>4</v>
      </c>
      <c r="V25" t="s">
        <v>140</v>
      </c>
      <c r="AB25" t="str">
        <f t="shared" si="1"/>
        <v>Title 6</v>
      </c>
    </row>
    <row r="26" spans="1:28" ht="16.05" customHeight="1" x14ac:dyDescent="0.3">
      <c r="A26" s="22" t="s">
        <v>87</v>
      </c>
      <c r="B26" s="21" t="s">
        <v>69</v>
      </c>
      <c r="C26" s="22" t="s">
        <v>24</v>
      </c>
      <c r="D26" s="21" t="s">
        <v>17</v>
      </c>
      <c r="E26" s="21" t="s">
        <v>16</v>
      </c>
      <c r="F26" s="22" t="s">
        <v>10</v>
      </c>
      <c r="G26" s="22" t="s">
        <v>10</v>
      </c>
      <c r="H26" s="22" t="s">
        <v>10</v>
      </c>
      <c r="I26" s="22" t="s">
        <v>10</v>
      </c>
      <c r="J26" s="22" t="s">
        <v>63</v>
      </c>
      <c r="K26" s="22" t="s">
        <v>10</v>
      </c>
      <c r="L26" s="22" t="b">
        <v>0</v>
      </c>
      <c r="M26" s="21"/>
      <c r="N26" s="21">
        <f t="shared" ref="N26:N29" si="3">IF(TRIM(P25)=TRIM(O25), N25+1, N25)</f>
        <v>7</v>
      </c>
      <c r="O26" s="21" t="s">
        <v>25</v>
      </c>
      <c r="P26" s="21" t="s">
        <v>22</v>
      </c>
      <c r="R26" t="s">
        <v>76</v>
      </c>
      <c r="S26" t="b">
        <v>1</v>
      </c>
      <c r="T26" t="s">
        <v>70</v>
      </c>
      <c r="U26">
        <v>4</v>
      </c>
      <c r="AB26" t="str">
        <f t="shared" si="1"/>
        <v>Title 7</v>
      </c>
    </row>
    <row r="27" spans="1:28" ht="16.05" customHeight="1" x14ac:dyDescent="0.3">
      <c r="A27" s="22" t="s">
        <v>88</v>
      </c>
      <c r="B27" s="21" t="s">
        <v>69</v>
      </c>
      <c r="C27" s="22" t="s">
        <v>24</v>
      </c>
      <c r="D27" s="21" t="s">
        <v>37</v>
      </c>
      <c r="E27" s="21" t="s">
        <v>40</v>
      </c>
      <c r="F27" s="22" t="s">
        <v>10</v>
      </c>
      <c r="G27" s="22" t="s">
        <v>10</v>
      </c>
      <c r="H27" s="22" t="s">
        <v>10</v>
      </c>
      <c r="I27" s="22" t="s">
        <v>10</v>
      </c>
      <c r="J27" s="22" t="s">
        <v>63</v>
      </c>
      <c r="K27" s="22" t="s">
        <v>10</v>
      </c>
      <c r="L27" s="22" t="b">
        <v>0</v>
      </c>
      <c r="M27" s="21"/>
      <c r="N27" s="21">
        <f t="shared" si="3"/>
        <v>7</v>
      </c>
      <c r="O27" s="21" t="s">
        <v>26</v>
      </c>
      <c r="P27" s="21" t="s">
        <v>27</v>
      </c>
      <c r="R27" t="s">
        <v>76</v>
      </c>
      <c r="S27" t="b">
        <v>1</v>
      </c>
      <c r="T27" t="s">
        <v>70</v>
      </c>
      <c r="U27">
        <v>4</v>
      </c>
      <c r="AB27" t="str">
        <f t="shared" si="1"/>
        <v>Title 7</v>
      </c>
    </row>
    <row r="28" spans="1:28" ht="16.05" customHeight="1" x14ac:dyDescent="0.3">
      <c r="A28" s="22" t="s">
        <v>89</v>
      </c>
      <c r="B28" s="21" t="s">
        <v>69</v>
      </c>
      <c r="C28" s="22" t="s">
        <v>24</v>
      </c>
      <c r="D28" s="21" t="s">
        <v>38</v>
      </c>
      <c r="E28" s="21" t="s">
        <v>41</v>
      </c>
      <c r="F28" s="22" t="s">
        <v>10</v>
      </c>
      <c r="G28" s="22" t="s">
        <v>10</v>
      </c>
      <c r="H28" s="22" t="s">
        <v>10</v>
      </c>
      <c r="I28" s="22" t="s">
        <v>10</v>
      </c>
      <c r="J28" s="22" t="s">
        <v>63</v>
      </c>
      <c r="K28" s="22" t="s">
        <v>10</v>
      </c>
      <c r="L28" s="22" t="b">
        <v>0</v>
      </c>
      <c r="M28" s="21"/>
      <c r="N28" s="21">
        <f t="shared" si="3"/>
        <v>7</v>
      </c>
      <c r="O28" s="21" t="s">
        <v>25</v>
      </c>
      <c r="P28" s="21" t="s">
        <v>29</v>
      </c>
      <c r="R28" t="s">
        <v>76</v>
      </c>
      <c r="S28" t="b">
        <v>1</v>
      </c>
      <c r="T28" t="s">
        <v>70</v>
      </c>
      <c r="U28">
        <v>4</v>
      </c>
      <c r="AB28" t="str">
        <f t="shared" si="1"/>
        <v>Title 7</v>
      </c>
    </row>
    <row r="29" spans="1:28" ht="16.05" customHeight="1" x14ac:dyDescent="0.3">
      <c r="A29" s="22" t="s">
        <v>90</v>
      </c>
      <c r="B29" s="21" t="s">
        <v>69</v>
      </c>
      <c r="C29" s="22" t="s">
        <v>24</v>
      </c>
      <c r="D29" s="21" t="s">
        <v>39</v>
      </c>
      <c r="E29" s="21" t="s">
        <v>42</v>
      </c>
      <c r="F29" s="22" t="s">
        <v>10</v>
      </c>
      <c r="G29" s="22" t="s">
        <v>10</v>
      </c>
      <c r="H29" s="22" t="s">
        <v>10</v>
      </c>
      <c r="I29" s="22" t="s">
        <v>10</v>
      </c>
      <c r="J29" s="22" t="s">
        <v>63</v>
      </c>
      <c r="K29" s="22" t="s">
        <v>10</v>
      </c>
      <c r="L29" s="22" t="b">
        <v>0</v>
      </c>
      <c r="M29" s="21"/>
      <c r="N29" s="21">
        <f t="shared" si="3"/>
        <v>7</v>
      </c>
      <c r="O29" s="21" t="s">
        <v>25</v>
      </c>
      <c r="P29" s="21" t="s">
        <v>25</v>
      </c>
      <c r="R29" t="s">
        <v>76</v>
      </c>
      <c r="S29" t="b">
        <v>1</v>
      </c>
      <c r="T29" t="s">
        <v>70</v>
      </c>
      <c r="U29">
        <v>4</v>
      </c>
      <c r="AB29" t="str">
        <f t="shared" si="1"/>
        <v>Title 7</v>
      </c>
    </row>
    <row r="30" spans="1:28" ht="16.05" customHeight="1" x14ac:dyDescent="0.3">
      <c r="A30" s="14" t="s">
        <v>91</v>
      </c>
      <c r="B30" s="15" t="s">
        <v>69</v>
      </c>
      <c r="C30" s="14" t="s">
        <v>6</v>
      </c>
      <c r="D30" s="15" t="s">
        <v>8</v>
      </c>
      <c r="E30" s="15" t="s">
        <v>44</v>
      </c>
      <c r="F30" s="14" t="s">
        <v>10</v>
      </c>
      <c r="G30" s="14" t="s">
        <v>10</v>
      </c>
      <c r="H30" s="14" t="s">
        <v>10</v>
      </c>
      <c r="I30" s="14" t="s">
        <v>10</v>
      </c>
      <c r="J30" s="14" t="s">
        <v>63</v>
      </c>
      <c r="K30" s="14" t="s">
        <v>10</v>
      </c>
      <c r="L30" s="14" t="b">
        <v>0</v>
      </c>
      <c r="M30" s="15"/>
      <c r="N30" s="15">
        <f>IF(TRIM(P25)=TRIM(O25), N25+1, N25)</f>
        <v>7</v>
      </c>
      <c r="O30" s="15" t="s">
        <v>25</v>
      </c>
      <c r="P30" s="15" t="s">
        <v>22</v>
      </c>
      <c r="S30" t="b">
        <v>1</v>
      </c>
      <c r="T30" t="s">
        <v>70</v>
      </c>
      <c r="U30">
        <v>4</v>
      </c>
      <c r="AB30" t="str">
        <f t="shared" si="1"/>
        <v>Title 7</v>
      </c>
    </row>
    <row r="31" spans="1:28" ht="16.05" customHeight="1" x14ac:dyDescent="0.3">
      <c r="A31" s="14" t="s">
        <v>92</v>
      </c>
      <c r="B31" s="15" t="s">
        <v>69</v>
      </c>
      <c r="C31" s="14" t="s">
        <v>24</v>
      </c>
      <c r="D31" s="15" t="s">
        <v>8</v>
      </c>
      <c r="E31" s="15" t="s">
        <v>44</v>
      </c>
      <c r="F31" s="14" t="s">
        <v>10</v>
      </c>
      <c r="G31" s="14" t="s">
        <v>10</v>
      </c>
      <c r="H31" s="14" t="s">
        <v>10</v>
      </c>
      <c r="I31" s="14" t="s">
        <v>10</v>
      </c>
      <c r="J31" s="14" t="s">
        <v>63</v>
      </c>
      <c r="K31" s="14" t="s">
        <v>10</v>
      </c>
      <c r="L31" s="14" t="b">
        <v>0</v>
      </c>
      <c r="M31" s="15"/>
      <c r="N31" s="15">
        <f t="shared" si="2"/>
        <v>7</v>
      </c>
      <c r="O31" s="15" t="s">
        <v>26</v>
      </c>
      <c r="P31" s="15" t="s">
        <v>27</v>
      </c>
      <c r="S31" t="b">
        <v>1</v>
      </c>
      <c r="T31" t="s">
        <v>70</v>
      </c>
      <c r="U31">
        <v>4</v>
      </c>
      <c r="AB31" t="str">
        <f t="shared" si="1"/>
        <v>Title 7</v>
      </c>
    </row>
    <row r="32" spans="1:28" ht="16.05" customHeight="1" x14ac:dyDescent="0.3">
      <c r="A32" s="14" t="s">
        <v>93</v>
      </c>
      <c r="B32" s="15" t="s">
        <v>69</v>
      </c>
      <c r="C32" s="14" t="s">
        <v>6</v>
      </c>
      <c r="D32" s="15" t="s">
        <v>8</v>
      </c>
      <c r="E32" s="15" t="s">
        <v>43</v>
      </c>
      <c r="F32" s="14" t="s">
        <v>10</v>
      </c>
      <c r="G32" s="14" t="s">
        <v>10</v>
      </c>
      <c r="H32" s="14" t="s">
        <v>10</v>
      </c>
      <c r="I32" s="14" t="s">
        <v>10</v>
      </c>
      <c r="J32" s="14" t="s">
        <v>63</v>
      </c>
      <c r="K32" s="14" t="s">
        <v>10</v>
      </c>
      <c r="L32" s="14" t="b">
        <v>0</v>
      </c>
      <c r="M32" s="15"/>
      <c r="N32" s="15">
        <f t="shared" si="2"/>
        <v>7</v>
      </c>
      <c r="O32" s="15" t="s">
        <v>25</v>
      </c>
      <c r="P32" s="15" t="s">
        <v>29</v>
      </c>
      <c r="S32" t="b">
        <v>1</v>
      </c>
      <c r="T32" t="s">
        <v>70</v>
      </c>
      <c r="U32">
        <v>4</v>
      </c>
      <c r="AB32" t="str">
        <f t="shared" si="1"/>
        <v>Title 7</v>
      </c>
    </row>
    <row r="33" spans="1:28" ht="16.05" customHeight="1" x14ac:dyDescent="0.3">
      <c r="A33" s="15" t="s">
        <v>94</v>
      </c>
      <c r="B33" s="15" t="s">
        <v>69</v>
      </c>
      <c r="C33" s="14" t="s">
        <v>24</v>
      </c>
      <c r="D33" s="15" t="s">
        <v>8</v>
      </c>
      <c r="E33" s="15" t="s">
        <v>43</v>
      </c>
      <c r="F33" s="14" t="s">
        <v>10</v>
      </c>
      <c r="G33" s="14" t="s">
        <v>10</v>
      </c>
      <c r="H33" s="14" t="s">
        <v>10</v>
      </c>
      <c r="I33" s="14" t="s">
        <v>10</v>
      </c>
      <c r="J33" s="14" t="s">
        <v>63</v>
      </c>
      <c r="K33" s="14" t="s">
        <v>10</v>
      </c>
      <c r="L33" s="14" t="b">
        <v>0</v>
      </c>
      <c r="M33" s="15"/>
      <c r="N33" s="15">
        <f t="shared" si="2"/>
        <v>7</v>
      </c>
      <c r="O33" s="15" t="s">
        <v>25</v>
      </c>
      <c r="P33" s="15" t="s">
        <v>25</v>
      </c>
      <c r="S33" t="b">
        <v>1</v>
      </c>
      <c r="T33" t="s">
        <v>70</v>
      </c>
      <c r="U33">
        <v>4</v>
      </c>
      <c r="AB33" t="str">
        <f t="shared" si="1"/>
        <v>Title 7</v>
      </c>
    </row>
    <row r="34" spans="1:28" ht="16.05" customHeight="1" x14ac:dyDescent="0.3">
      <c r="A34" s="16" t="s">
        <v>95</v>
      </c>
      <c r="B34" s="16" t="s">
        <v>69</v>
      </c>
      <c r="C34" s="16" t="s">
        <v>6</v>
      </c>
      <c r="D34" s="16" t="s">
        <v>8</v>
      </c>
      <c r="E34" s="16" t="s">
        <v>46</v>
      </c>
      <c r="F34" s="16" t="s">
        <v>10</v>
      </c>
      <c r="G34" s="16" t="s">
        <v>10</v>
      </c>
      <c r="H34" s="16" t="s">
        <v>10</v>
      </c>
      <c r="I34" s="16" t="s">
        <v>10</v>
      </c>
      <c r="J34" s="16" t="s">
        <v>63</v>
      </c>
      <c r="K34" s="16" t="s">
        <v>10</v>
      </c>
      <c r="L34" s="16" t="b">
        <v>0</v>
      </c>
      <c r="M34" s="16"/>
      <c r="N34" s="16">
        <f t="shared" si="2"/>
        <v>8</v>
      </c>
      <c r="O34" s="16" t="s">
        <v>27</v>
      </c>
      <c r="P34" s="16" t="s">
        <v>22</v>
      </c>
      <c r="S34" t="b">
        <v>1</v>
      </c>
      <c r="T34" t="s">
        <v>70</v>
      </c>
      <c r="U34">
        <v>4</v>
      </c>
      <c r="AB34" t="str">
        <f t="shared" si="1"/>
        <v>Title 8</v>
      </c>
    </row>
    <row r="35" spans="1:28" ht="16.05" customHeight="1" x14ac:dyDescent="0.3">
      <c r="A35" s="16" t="s">
        <v>96</v>
      </c>
      <c r="B35" s="16" t="s">
        <v>69</v>
      </c>
      <c r="C35" s="16" t="s">
        <v>24</v>
      </c>
      <c r="D35" s="16" t="s">
        <v>8</v>
      </c>
      <c r="E35" s="16" t="s">
        <v>46</v>
      </c>
      <c r="F35" s="16" t="s">
        <v>10</v>
      </c>
      <c r="G35" s="16" t="s">
        <v>10</v>
      </c>
      <c r="H35" s="16" t="s">
        <v>10</v>
      </c>
      <c r="I35" s="16" t="s">
        <v>10</v>
      </c>
      <c r="J35" s="16" t="s">
        <v>63</v>
      </c>
      <c r="K35" s="16" t="s">
        <v>10</v>
      </c>
      <c r="L35" s="16" t="b">
        <v>0</v>
      </c>
      <c r="M35" s="16"/>
      <c r="N35" s="16">
        <f t="shared" si="2"/>
        <v>8</v>
      </c>
      <c r="O35" s="16" t="s">
        <v>45</v>
      </c>
      <c r="P35" s="16" t="s">
        <v>27</v>
      </c>
      <c r="S35" t="b">
        <v>1</v>
      </c>
      <c r="T35" t="s">
        <v>70</v>
      </c>
      <c r="U35">
        <v>4</v>
      </c>
      <c r="AB35" t="str">
        <f t="shared" si="1"/>
        <v>Title 8</v>
      </c>
    </row>
    <row r="36" spans="1:28" ht="16.05" customHeight="1" x14ac:dyDescent="0.3">
      <c r="A36" s="17" t="s">
        <v>97</v>
      </c>
      <c r="B36" s="18" t="s">
        <v>69</v>
      </c>
      <c r="C36" s="18" t="s">
        <v>24</v>
      </c>
      <c r="D36" s="18" t="s">
        <v>8</v>
      </c>
      <c r="E36" s="18" t="s">
        <v>47</v>
      </c>
      <c r="F36" s="18" t="s">
        <v>10</v>
      </c>
      <c r="G36" s="18" t="s">
        <v>10</v>
      </c>
      <c r="H36" s="18" t="s">
        <v>10</v>
      </c>
      <c r="I36" s="18" t="s">
        <v>10</v>
      </c>
      <c r="J36" s="18" t="s">
        <v>63</v>
      </c>
      <c r="K36" s="18" t="s">
        <v>10</v>
      </c>
      <c r="L36" s="18" t="b">
        <v>0</v>
      </c>
      <c r="M36" s="18"/>
      <c r="N36" s="18">
        <f t="shared" si="2"/>
        <v>9</v>
      </c>
      <c r="O36" s="18" t="s">
        <v>25</v>
      </c>
      <c r="P36" s="18" t="s">
        <v>22</v>
      </c>
      <c r="S36" t="b">
        <v>1</v>
      </c>
      <c r="T36" t="s">
        <v>70</v>
      </c>
      <c r="U36">
        <v>4</v>
      </c>
      <c r="AB36" t="str">
        <f t="shared" si="1"/>
        <v>Title 9</v>
      </c>
    </row>
    <row r="37" spans="1:28" ht="16.05" customHeight="1" x14ac:dyDescent="0.3">
      <c r="A37" s="17" t="s">
        <v>98</v>
      </c>
      <c r="B37" s="18" t="s">
        <v>69</v>
      </c>
      <c r="C37" s="18" t="s">
        <v>24</v>
      </c>
      <c r="D37" s="18" t="s">
        <v>8</v>
      </c>
      <c r="E37" s="18" t="s">
        <v>48</v>
      </c>
      <c r="F37" s="18" t="s">
        <v>10</v>
      </c>
      <c r="G37" s="18" t="s">
        <v>10</v>
      </c>
      <c r="H37" s="18" t="s">
        <v>10</v>
      </c>
      <c r="I37" s="18" t="s">
        <v>10</v>
      </c>
      <c r="J37" s="18" t="s">
        <v>63</v>
      </c>
      <c r="K37" s="18" t="s">
        <v>10</v>
      </c>
      <c r="L37" s="18" t="b">
        <v>0</v>
      </c>
      <c r="M37" s="18"/>
      <c r="N37" s="18">
        <f t="shared" si="2"/>
        <v>9</v>
      </c>
      <c r="O37" s="18" t="s">
        <v>26</v>
      </c>
      <c r="P37" s="18" t="s">
        <v>27</v>
      </c>
      <c r="S37" t="b">
        <v>1</v>
      </c>
      <c r="T37" t="s">
        <v>70</v>
      </c>
      <c r="U37">
        <v>4</v>
      </c>
      <c r="AB37" t="str">
        <f t="shared" si="1"/>
        <v>Title 9</v>
      </c>
    </row>
    <row r="38" spans="1:28" ht="16.05" customHeight="1" x14ac:dyDescent="0.3">
      <c r="A38" s="17" t="s">
        <v>99</v>
      </c>
      <c r="B38" s="18" t="s">
        <v>69</v>
      </c>
      <c r="C38" s="18" t="s">
        <v>24</v>
      </c>
      <c r="D38" s="18" t="s">
        <v>8</v>
      </c>
      <c r="E38" s="17" t="s">
        <v>49</v>
      </c>
      <c r="F38" s="18" t="s">
        <v>10</v>
      </c>
      <c r="G38" s="18" t="s">
        <v>10</v>
      </c>
      <c r="H38" s="18" t="s">
        <v>10</v>
      </c>
      <c r="I38" s="18" t="s">
        <v>10</v>
      </c>
      <c r="J38" s="18" t="s">
        <v>63</v>
      </c>
      <c r="K38" s="18" t="s">
        <v>10</v>
      </c>
      <c r="L38" s="18" t="b">
        <v>0</v>
      </c>
      <c r="M38" s="18"/>
      <c r="N38" s="18">
        <f t="shared" si="2"/>
        <v>9</v>
      </c>
      <c r="O38" s="18" t="s">
        <v>25</v>
      </c>
      <c r="P38" s="18" t="s">
        <v>29</v>
      </c>
      <c r="S38" t="b">
        <v>1</v>
      </c>
      <c r="T38" t="s">
        <v>70</v>
      </c>
      <c r="U38">
        <v>4</v>
      </c>
      <c r="AB38" t="str">
        <f t="shared" si="1"/>
        <v>Title 9</v>
      </c>
    </row>
    <row r="39" spans="1:28" ht="16.05" customHeight="1" x14ac:dyDescent="0.3">
      <c r="A39" s="17" t="s">
        <v>121</v>
      </c>
      <c r="B39" s="18" t="s">
        <v>69</v>
      </c>
      <c r="C39" s="18" t="s">
        <v>24</v>
      </c>
      <c r="D39" s="18" t="s">
        <v>8</v>
      </c>
      <c r="E39" s="17" t="s">
        <v>50</v>
      </c>
      <c r="F39" s="18" t="s">
        <v>10</v>
      </c>
      <c r="G39" s="18" t="s">
        <v>10</v>
      </c>
      <c r="H39" s="18" t="s">
        <v>10</v>
      </c>
      <c r="I39" s="18" t="s">
        <v>10</v>
      </c>
      <c r="J39" s="18" t="s">
        <v>63</v>
      </c>
      <c r="K39" s="18" t="s">
        <v>10</v>
      </c>
      <c r="L39" s="18" t="b">
        <v>0</v>
      </c>
      <c r="M39" s="18"/>
      <c r="N39" s="18">
        <f t="shared" si="2"/>
        <v>9</v>
      </c>
      <c r="O39" s="18" t="s">
        <v>25</v>
      </c>
      <c r="P39" s="18" t="s">
        <v>25</v>
      </c>
      <c r="S39" t="b">
        <v>1</v>
      </c>
      <c r="T39" t="s">
        <v>70</v>
      </c>
      <c r="U39">
        <v>4</v>
      </c>
      <c r="AB39" t="str">
        <f t="shared" si="1"/>
        <v>Title 9</v>
      </c>
    </row>
    <row r="40" spans="1:28" ht="16.05" customHeight="1" x14ac:dyDescent="0.3">
      <c r="A40" s="19" t="s">
        <v>100</v>
      </c>
      <c r="B40" s="20" t="s">
        <v>69</v>
      </c>
      <c r="C40" s="20" t="s">
        <v>24</v>
      </c>
      <c r="D40" s="20" t="s">
        <v>8</v>
      </c>
      <c r="E40" s="20" t="s">
        <v>47</v>
      </c>
      <c r="F40" s="20" t="s">
        <v>10</v>
      </c>
      <c r="G40" s="20" t="s">
        <v>10</v>
      </c>
      <c r="H40" s="20" t="s">
        <v>10</v>
      </c>
      <c r="I40" s="20" t="s">
        <v>10</v>
      </c>
      <c r="J40" s="20" t="s">
        <v>63</v>
      </c>
      <c r="K40" s="20" t="s">
        <v>10</v>
      </c>
      <c r="L40" s="20" t="b">
        <v>0</v>
      </c>
      <c r="M40" s="20"/>
      <c r="N40" s="20">
        <f t="shared" si="2"/>
        <v>10</v>
      </c>
      <c r="O40" s="20" t="s">
        <v>25</v>
      </c>
      <c r="P40" s="20" t="s">
        <v>22</v>
      </c>
      <c r="S40" t="b">
        <v>1</v>
      </c>
      <c r="T40" t="s">
        <v>70</v>
      </c>
      <c r="U40">
        <v>4</v>
      </c>
      <c r="AA40" t="s">
        <v>120</v>
      </c>
      <c r="AB40" t="str">
        <f t="shared" si="1"/>
        <v>Title 10</v>
      </c>
    </row>
    <row r="41" spans="1:28" ht="16.05" customHeight="1" x14ac:dyDescent="0.3">
      <c r="A41" s="19" t="s">
        <v>101</v>
      </c>
      <c r="B41" s="20" t="s">
        <v>69</v>
      </c>
      <c r="C41" s="20" t="s">
        <v>24</v>
      </c>
      <c r="D41" s="20" t="s">
        <v>8</v>
      </c>
      <c r="E41" s="20" t="s">
        <v>48</v>
      </c>
      <c r="F41" s="20" t="s">
        <v>10</v>
      </c>
      <c r="G41" s="20" t="s">
        <v>10</v>
      </c>
      <c r="H41" s="20" t="s">
        <v>10</v>
      </c>
      <c r="I41" s="20" t="s">
        <v>10</v>
      </c>
      <c r="J41" s="20" t="s">
        <v>63</v>
      </c>
      <c r="K41" s="20" t="s">
        <v>10</v>
      </c>
      <c r="L41" s="20" t="b">
        <v>0</v>
      </c>
      <c r="M41" s="20"/>
      <c r="N41" s="20">
        <f t="shared" si="2"/>
        <v>10</v>
      </c>
      <c r="O41" s="20" t="s">
        <v>26</v>
      </c>
      <c r="P41" s="20" t="s">
        <v>27</v>
      </c>
      <c r="S41" t="b">
        <v>1</v>
      </c>
      <c r="T41" t="s">
        <v>70</v>
      </c>
      <c r="U41">
        <v>4</v>
      </c>
      <c r="AA41" t="s">
        <v>120</v>
      </c>
      <c r="AB41" t="str">
        <f t="shared" si="1"/>
        <v>Title 10</v>
      </c>
    </row>
    <row r="42" spans="1:28" ht="16.05" customHeight="1" x14ac:dyDescent="0.3">
      <c r="A42" s="19" t="s">
        <v>102</v>
      </c>
      <c r="B42" s="20" t="s">
        <v>69</v>
      </c>
      <c r="C42" s="20" t="s">
        <v>24</v>
      </c>
      <c r="D42" s="20" t="s">
        <v>8</v>
      </c>
      <c r="E42" s="19" t="s">
        <v>49</v>
      </c>
      <c r="F42" s="20" t="s">
        <v>10</v>
      </c>
      <c r="G42" s="20" t="s">
        <v>10</v>
      </c>
      <c r="H42" s="20" t="s">
        <v>10</v>
      </c>
      <c r="I42" s="20" t="s">
        <v>10</v>
      </c>
      <c r="J42" s="20" t="s">
        <v>63</v>
      </c>
      <c r="K42" s="20" t="s">
        <v>10</v>
      </c>
      <c r="L42" s="20" t="b">
        <v>0</v>
      </c>
      <c r="M42" s="20"/>
      <c r="N42" s="20">
        <f t="shared" si="2"/>
        <v>10</v>
      </c>
      <c r="O42" s="20" t="s">
        <v>25</v>
      </c>
      <c r="P42" s="20" t="s">
        <v>29</v>
      </c>
      <c r="S42" t="b">
        <v>1</v>
      </c>
      <c r="T42" t="s">
        <v>70</v>
      </c>
      <c r="U42">
        <v>4</v>
      </c>
      <c r="AA42" t="s">
        <v>120</v>
      </c>
      <c r="AB42" t="str">
        <f t="shared" si="1"/>
        <v>Title 10</v>
      </c>
    </row>
    <row r="43" spans="1:28" ht="16.05" customHeight="1" x14ac:dyDescent="0.3">
      <c r="A43" s="19" t="s">
        <v>103</v>
      </c>
      <c r="B43" s="20" t="s">
        <v>69</v>
      </c>
      <c r="C43" s="20" t="s">
        <v>24</v>
      </c>
      <c r="D43" s="20" t="s">
        <v>8</v>
      </c>
      <c r="E43" s="19" t="s">
        <v>50</v>
      </c>
      <c r="F43" s="20" t="s">
        <v>10</v>
      </c>
      <c r="G43" s="20" t="s">
        <v>10</v>
      </c>
      <c r="H43" s="20" t="s">
        <v>10</v>
      </c>
      <c r="I43" s="20" t="s">
        <v>10</v>
      </c>
      <c r="J43" s="20" t="s">
        <v>63</v>
      </c>
      <c r="K43" s="20" t="s">
        <v>10</v>
      </c>
      <c r="L43" s="20" t="b">
        <v>0</v>
      </c>
      <c r="M43" s="20"/>
      <c r="N43" s="20">
        <f t="shared" si="2"/>
        <v>10</v>
      </c>
      <c r="O43" s="20" t="s">
        <v>25</v>
      </c>
      <c r="P43" s="20" t="s">
        <v>25</v>
      </c>
      <c r="S43" t="b">
        <v>1</v>
      </c>
      <c r="T43" t="s">
        <v>70</v>
      </c>
      <c r="U43">
        <v>4</v>
      </c>
      <c r="AA43" t="s">
        <v>120</v>
      </c>
      <c r="AB43" t="str">
        <f t="shared" si="1"/>
        <v>Title 10</v>
      </c>
    </row>
    <row r="44" spans="1:28" ht="16.05" customHeight="1" x14ac:dyDescent="0.3">
      <c r="A44" s="21" t="s">
        <v>104</v>
      </c>
      <c r="B44" s="22" t="s">
        <v>69</v>
      </c>
      <c r="C44" s="22" t="s">
        <v>24</v>
      </c>
      <c r="D44" s="22" t="s">
        <v>8</v>
      </c>
      <c r="E44" s="21" t="s">
        <v>54</v>
      </c>
      <c r="F44" s="22" t="s">
        <v>10</v>
      </c>
      <c r="G44" s="22" t="s">
        <v>10</v>
      </c>
      <c r="H44" s="22" t="s">
        <v>10</v>
      </c>
      <c r="I44" s="22" t="s">
        <v>10</v>
      </c>
      <c r="J44" s="22" t="s">
        <v>63</v>
      </c>
      <c r="K44" s="22" t="s">
        <v>10</v>
      </c>
      <c r="L44" s="22" t="b">
        <v>0</v>
      </c>
      <c r="M44" s="22"/>
      <c r="N44" s="22">
        <f t="shared" si="2"/>
        <v>11</v>
      </c>
      <c r="O44" s="22" t="s">
        <v>21</v>
      </c>
      <c r="P44" s="22" t="s">
        <v>22</v>
      </c>
      <c r="S44" t="b">
        <v>1</v>
      </c>
      <c r="T44" t="s">
        <v>70</v>
      </c>
      <c r="U44">
        <v>4</v>
      </c>
      <c r="AB44" t="str">
        <f t="shared" si="1"/>
        <v>Title 11</v>
      </c>
    </row>
    <row r="45" spans="1:28" ht="16.05" customHeight="1" x14ac:dyDescent="0.3">
      <c r="A45" s="21" t="s">
        <v>105</v>
      </c>
      <c r="B45" s="22" t="s">
        <v>69</v>
      </c>
      <c r="C45" s="22" t="s">
        <v>24</v>
      </c>
      <c r="D45" s="22" t="s">
        <v>8</v>
      </c>
      <c r="E45" s="21" t="s">
        <v>55</v>
      </c>
      <c r="F45" s="22" t="s">
        <v>10</v>
      </c>
      <c r="G45" s="22" t="s">
        <v>10</v>
      </c>
      <c r="H45" s="22" t="s">
        <v>10</v>
      </c>
      <c r="I45" s="22" t="s">
        <v>10</v>
      </c>
      <c r="J45" s="22" t="s">
        <v>63</v>
      </c>
      <c r="K45" s="22" t="s">
        <v>10</v>
      </c>
      <c r="L45" s="22" t="b">
        <v>0</v>
      </c>
      <c r="M45" s="22"/>
      <c r="N45" s="22">
        <f t="shared" si="2"/>
        <v>11</v>
      </c>
      <c r="O45" s="22" t="s">
        <v>21</v>
      </c>
      <c r="P45" s="22" t="s">
        <v>27</v>
      </c>
      <c r="S45" t="b">
        <v>1</v>
      </c>
      <c r="T45" t="s">
        <v>70</v>
      </c>
      <c r="U45">
        <v>4</v>
      </c>
      <c r="AB45" t="str">
        <f t="shared" si="1"/>
        <v>Title 11</v>
      </c>
    </row>
    <row r="46" spans="1:28" ht="16.05" customHeight="1" x14ac:dyDescent="0.3">
      <c r="A46" s="21" t="s">
        <v>106</v>
      </c>
      <c r="B46" s="22" t="s">
        <v>69</v>
      </c>
      <c r="C46" s="22" t="s">
        <v>24</v>
      </c>
      <c r="D46" s="22" t="s">
        <v>8</v>
      </c>
      <c r="E46" s="21" t="s">
        <v>56</v>
      </c>
      <c r="F46" s="22" t="s">
        <v>10</v>
      </c>
      <c r="G46" s="22" t="s">
        <v>10</v>
      </c>
      <c r="H46" s="22" t="s">
        <v>10</v>
      </c>
      <c r="I46" s="22" t="s">
        <v>10</v>
      </c>
      <c r="J46" s="22" t="s">
        <v>63</v>
      </c>
      <c r="K46" s="22" t="s">
        <v>10</v>
      </c>
      <c r="L46" s="22" t="b">
        <v>0</v>
      </c>
      <c r="M46" s="22"/>
      <c r="N46" s="22">
        <f t="shared" si="2"/>
        <v>11</v>
      </c>
      <c r="O46" s="22" t="s">
        <v>51</v>
      </c>
      <c r="P46" s="22" t="s">
        <v>51</v>
      </c>
      <c r="S46" t="b">
        <v>1</v>
      </c>
      <c r="T46" t="s">
        <v>70</v>
      </c>
      <c r="U46">
        <v>4</v>
      </c>
      <c r="AB46" t="str">
        <f t="shared" si="1"/>
        <v>Title 11</v>
      </c>
    </row>
    <row r="47" spans="1:28" ht="16.05" customHeight="1" x14ac:dyDescent="0.3">
      <c r="A47" s="3" t="s">
        <v>107</v>
      </c>
      <c r="B47" s="23" t="s">
        <v>69</v>
      </c>
      <c r="C47" s="23" t="s">
        <v>24</v>
      </c>
      <c r="D47" s="23" t="s">
        <v>8</v>
      </c>
      <c r="E47" s="3" t="s">
        <v>53</v>
      </c>
      <c r="F47" s="23" t="s">
        <v>10</v>
      </c>
      <c r="G47" s="23" t="s">
        <v>10</v>
      </c>
      <c r="H47" s="23" t="s">
        <v>10</v>
      </c>
      <c r="I47" s="23" t="s">
        <v>10</v>
      </c>
      <c r="J47" s="23" t="s">
        <v>63</v>
      </c>
      <c r="K47" s="23" t="s">
        <v>10</v>
      </c>
      <c r="L47" s="23" t="b">
        <v>0</v>
      </c>
      <c r="M47" s="23"/>
      <c r="N47" s="23">
        <f t="shared" si="2"/>
        <v>12</v>
      </c>
      <c r="O47" s="23" t="s">
        <v>27</v>
      </c>
      <c r="P47" s="23" t="s">
        <v>22</v>
      </c>
      <c r="S47" t="b">
        <v>1</v>
      </c>
      <c r="T47" t="s">
        <v>70</v>
      </c>
      <c r="U47">
        <v>4</v>
      </c>
      <c r="AA47" t="s">
        <v>119</v>
      </c>
      <c r="AB47" t="str">
        <f t="shared" si="1"/>
        <v>Title 12</v>
      </c>
    </row>
    <row r="48" spans="1:28" ht="16.05" customHeight="1" x14ac:dyDescent="0.3">
      <c r="A48" s="3" t="s">
        <v>108</v>
      </c>
      <c r="B48" s="23" t="s">
        <v>69</v>
      </c>
      <c r="C48" s="23" t="s">
        <v>24</v>
      </c>
      <c r="D48" s="23" t="s">
        <v>8</v>
      </c>
      <c r="E48" s="3" t="s">
        <v>52</v>
      </c>
      <c r="F48" s="23" t="s">
        <v>10</v>
      </c>
      <c r="G48" s="23" t="s">
        <v>10</v>
      </c>
      <c r="H48" s="23" t="s">
        <v>10</v>
      </c>
      <c r="I48" s="23" t="s">
        <v>10</v>
      </c>
      <c r="J48" s="3" t="s">
        <v>63</v>
      </c>
      <c r="K48" s="3" t="s">
        <v>10</v>
      </c>
      <c r="L48" s="3" t="b">
        <v>0</v>
      </c>
      <c r="M48" s="3"/>
      <c r="N48" s="3">
        <f t="shared" si="2"/>
        <v>12</v>
      </c>
      <c r="O48" s="3" t="s">
        <v>27</v>
      </c>
      <c r="P48" s="3" t="s">
        <v>27</v>
      </c>
      <c r="S48" t="b">
        <v>1</v>
      </c>
      <c r="T48" t="s">
        <v>70</v>
      </c>
      <c r="U48">
        <v>4</v>
      </c>
      <c r="AA48" t="s">
        <v>119</v>
      </c>
      <c r="AB48" t="str">
        <f t="shared" si="1"/>
        <v>Title 12</v>
      </c>
    </row>
    <row r="49" spans="1:28" ht="16.05" customHeight="1" x14ac:dyDescent="0.3">
      <c r="A49" s="21" t="s">
        <v>109</v>
      </c>
      <c r="B49" s="22" t="s">
        <v>69</v>
      </c>
      <c r="C49" s="22" t="s">
        <v>24</v>
      </c>
      <c r="D49" s="22" t="s">
        <v>8</v>
      </c>
      <c r="E49" s="22" t="s">
        <v>57</v>
      </c>
      <c r="F49" s="22" t="s">
        <v>10</v>
      </c>
      <c r="G49" s="22" t="s">
        <v>10</v>
      </c>
      <c r="H49" s="22" t="s">
        <v>10</v>
      </c>
      <c r="I49" s="22" t="s">
        <v>10</v>
      </c>
      <c r="J49" s="22" t="s">
        <v>63</v>
      </c>
      <c r="K49" s="22" t="s">
        <v>10</v>
      </c>
      <c r="L49" s="22" t="b">
        <v>0</v>
      </c>
      <c r="M49" s="22"/>
      <c r="N49" s="22">
        <f t="shared" si="2"/>
        <v>13</v>
      </c>
      <c r="O49" s="22" t="s">
        <v>21</v>
      </c>
      <c r="P49" s="22" t="s">
        <v>22</v>
      </c>
      <c r="S49" t="b">
        <v>1</v>
      </c>
      <c r="T49" t="s">
        <v>70</v>
      </c>
      <c r="U49">
        <v>4</v>
      </c>
      <c r="AA49" t="s">
        <v>118</v>
      </c>
      <c r="AB49" t="str">
        <f t="shared" si="1"/>
        <v>Title 13</v>
      </c>
    </row>
    <row r="50" spans="1:28" ht="16.05" customHeight="1" x14ac:dyDescent="0.3">
      <c r="A50" s="21" t="s">
        <v>110</v>
      </c>
      <c r="B50" s="22" t="s">
        <v>69</v>
      </c>
      <c r="C50" s="22" t="s">
        <v>24</v>
      </c>
      <c r="D50" s="22" t="s">
        <v>8</v>
      </c>
      <c r="E50" s="22" t="s">
        <v>58</v>
      </c>
      <c r="F50" s="22" t="s">
        <v>10</v>
      </c>
      <c r="G50" s="22" t="s">
        <v>10</v>
      </c>
      <c r="H50" s="22" t="s">
        <v>10</v>
      </c>
      <c r="I50" s="22" t="s">
        <v>10</v>
      </c>
      <c r="J50" s="22" t="s">
        <v>63</v>
      </c>
      <c r="K50" s="22" t="s">
        <v>10</v>
      </c>
      <c r="L50" s="22" t="b">
        <v>0</v>
      </c>
      <c r="M50" s="22"/>
      <c r="N50" s="22">
        <f t="shared" si="2"/>
        <v>13</v>
      </c>
      <c r="O50" s="22" t="s">
        <v>21</v>
      </c>
      <c r="P50" s="22" t="s">
        <v>27</v>
      </c>
      <c r="S50" t="b">
        <v>1</v>
      </c>
      <c r="T50" t="s">
        <v>70</v>
      </c>
      <c r="U50">
        <v>4</v>
      </c>
      <c r="AA50" t="s">
        <v>118</v>
      </c>
      <c r="AB50" t="str">
        <f t="shared" si="1"/>
        <v>Title 13</v>
      </c>
    </row>
    <row r="51" spans="1:28" ht="16.05" customHeight="1" x14ac:dyDescent="0.3">
      <c r="A51" s="21" t="s">
        <v>111</v>
      </c>
      <c r="B51" s="22" t="s">
        <v>69</v>
      </c>
      <c r="C51" s="22" t="s">
        <v>24</v>
      </c>
      <c r="D51" s="22" t="s">
        <v>8</v>
      </c>
      <c r="E51" s="22" t="s">
        <v>59</v>
      </c>
      <c r="F51" s="22" t="s">
        <v>10</v>
      </c>
      <c r="G51" s="22" t="s">
        <v>10</v>
      </c>
      <c r="H51" s="22" t="s">
        <v>10</v>
      </c>
      <c r="I51" s="22" t="s">
        <v>10</v>
      </c>
      <c r="J51" s="22" t="s">
        <v>63</v>
      </c>
      <c r="K51" s="22" t="s">
        <v>10</v>
      </c>
      <c r="L51" s="22" t="b">
        <v>0</v>
      </c>
      <c r="M51" s="22"/>
      <c r="N51" s="22">
        <f t="shared" si="2"/>
        <v>13</v>
      </c>
      <c r="O51" s="22" t="s">
        <v>51</v>
      </c>
      <c r="P51" s="22" t="s">
        <v>51</v>
      </c>
      <c r="S51" t="b">
        <v>1</v>
      </c>
      <c r="T51" t="s">
        <v>70</v>
      </c>
      <c r="U51">
        <v>4</v>
      </c>
      <c r="AA51" t="s">
        <v>118</v>
      </c>
      <c r="AB51" t="str">
        <f t="shared" si="1"/>
        <v>Title 13</v>
      </c>
    </row>
    <row r="52" spans="1:28" ht="16.05" customHeight="1" x14ac:dyDescent="0.3">
      <c r="A52" s="3" t="s">
        <v>112</v>
      </c>
      <c r="B52" s="23" t="s">
        <v>69</v>
      </c>
      <c r="C52" s="23" t="s">
        <v>24</v>
      </c>
      <c r="D52" s="23" t="s">
        <v>8</v>
      </c>
      <c r="E52" s="3" t="s">
        <v>60</v>
      </c>
      <c r="F52" s="23" t="s">
        <v>10</v>
      </c>
      <c r="G52" s="23" t="s">
        <v>10</v>
      </c>
      <c r="H52" s="23" t="s">
        <v>10</v>
      </c>
      <c r="I52" s="23" t="s">
        <v>10</v>
      </c>
      <c r="J52" s="23" t="s">
        <v>63</v>
      </c>
      <c r="K52" s="23" t="s">
        <v>10</v>
      </c>
      <c r="L52" s="23" t="b">
        <v>0</v>
      </c>
      <c r="M52" s="23"/>
      <c r="N52" s="23">
        <f t="shared" si="2"/>
        <v>14</v>
      </c>
      <c r="O52" s="23" t="s">
        <v>21</v>
      </c>
      <c r="P52" s="23" t="s">
        <v>22</v>
      </c>
      <c r="S52" t="b">
        <v>1</v>
      </c>
      <c r="T52" t="s">
        <v>70</v>
      </c>
      <c r="U52">
        <v>4</v>
      </c>
      <c r="AA52" t="s">
        <v>117</v>
      </c>
      <c r="AB52" t="str">
        <f t="shared" si="1"/>
        <v>Title 14</v>
      </c>
    </row>
    <row r="53" spans="1:28" ht="16.05" customHeight="1" x14ac:dyDescent="0.3">
      <c r="A53" s="3" t="s">
        <v>113</v>
      </c>
      <c r="B53" s="23" t="s">
        <v>69</v>
      </c>
      <c r="C53" s="23" t="s">
        <v>24</v>
      </c>
      <c r="D53" s="23" t="s">
        <v>8</v>
      </c>
      <c r="E53" s="3" t="s">
        <v>62</v>
      </c>
      <c r="F53" s="23" t="s">
        <v>10</v>
      </c>
      <c r="G53" s="23" t="s">
        <v>10</v>
      </c>
      <c r="H53" s="23" t="s">
        <v>10</v>
      </c>
      <c r="I53" s="23" t="s">
        <v>10</v>
      </c>
      <c r="J53" s="23" t="s">
        <v>63</v>
      </c>
      <c r="K53" s="23" t="s">
        <v>10</v>
      </c>
      <c r="L53" s="23" t="b">
        <v>0</v>
      </c>
      <c r="M53" s="23"/>
      <c r="N53" s="23">
        <f t="shared" si="2"/>
        <v>14</v>
      </c>
      <c r="O53" s="23" t="s">
        <v>21</v>
      </c>
      <c r="P53" s="23" t="s">
        <v>27</v>
      </c>
      <c r="S53" t="b">
        <v>1</v>
      </c>
      <c r="T53" t="s">
        <v>70</v>
      </c>
      <c r="U53">
        <v>4</v>
      </c>
      <c r="AA53" t="s">
        <v>117</v>
      </c>
      <c r="AB53" t="str">
        <f t="shared" si="1"/>
        <v>Title 14</v>
      </c>
    </row>
    <row r="54" spans="1:28" ht="16.05" customHeight="1" x14ac:dyDescent="0.3">
      <c r="A54" s="3" t="s">
        <v>114</v>
      </c>
      <c r="B54" s="23" t="s">
        <v>69</v>
      </c>
      <c r="C54" s="23" t="s">
        <v>24</v>
      </c>
      <c r="D54" s="3" t="s">
        <v>8</v>
      </c>
      <c r="E54" s="3" t="s">
        <v>61</v>
      </c>
      <c r="F54" s="23" t="s">
        <v>10</v>
      </c>
      <c r="G54" s="23" t="s">
        <v>10</v>
      </c>
      <c r="H54" s="23" t="s">
        <v>10</v>
      </c>
      <c r="I54" s="23" t="s">
        <v>10</v>
      </c>
      <c r="J54" s="23" t="s">
        <v>63</v>
      </c>
      <c r="K54" s="23" t="s">
        <v>10</v>
      </c>
      <c r="L54" s="23" t="b">
        <v>0</v>
      </c>
      <c r="M54" s="23"/>
      <c r="N54" s="23">
        <f t="shared" si="2"/>
        <v>14</v>
      </c>
      <c r="O54" s="23" t="s">
        <v>21</v>
      </c>
      <c r="P54" s="23" t="s">
        <v>51</v>
      </c>
      <c r="S54" t="b">
        <v>1</v>
      </c>
      <c r="T54" t="s">
        <v>70</v>
      </c>
      <c r="U54">
        <v>4</v>
      </c>
      <c r="AA54" t="s">
        <v>117</v>
      </c>
      <c r="AB54" t="str">
        <f t="shared" si="1"/>
        <v>Title 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2026-04-14T03:00:45Z</dcterms:modified>
</cp:coreProperties>
</file>