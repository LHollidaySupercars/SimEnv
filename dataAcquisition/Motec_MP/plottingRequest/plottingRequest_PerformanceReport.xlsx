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FDE79DE7-FF17-4BDB-B717-302A5EE5914F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29" i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AB37" i="1"/>
  <c r="AB38" i="1"/>
  <c r="AB40" i="1"/>
  <c r="AB41" i="1" s="1"/>
  <c r="AB42" i="1" s="1"/>
  <c r="F38" i="1" l="1"/>
  <c r="G38" i="1"/>
  <c r="H38" i="1"/>
  <c r="I38" i="1"/>
  <c r="K38" i="1"/>
  <c r="L38" i="1"/>
  <c r="G37" i="1"/>
  <c r="H37" i="1"/>
  <c r="I37" i="1"/>
  <c r="K37" i="1"/>
  <c r="L37" i="1"/>
  <c r="F37" i="1"/>
  <c r="N3" i="1" l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</calcChain>
</file>

<file path=xl/sharedStrings.xml><?xml version="1.0" encoding="utf-8"?>
<sst xmlns="http://schemas.openxmlformats.org/spreadsheetml/2006/main" count="690" uniqueCount="152">
  <si>
    <t>mathFunction</t>
  </si>
  <si>
    <t>xAxis</t>
  </si>
  <si>
    <t>yAxis1</t>
  </si>
  <si>
    <t>yAxis2</t>
  </si>
  <si>
    <t>yAxis3</t>
  </si>
  <si>
    <t>yAxis4</t>
  </si>
  <si>
    <t>scatter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</si>
  <si>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</si>
  <si>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</si>
  <si>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</si>
  <si>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</si>
  <si>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</si>
  <si>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</si>
  <si>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</si>
  <si>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</si>
  <si>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</si>
  <si>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</si>
  <si>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</si>
  <si>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</si>
  <si>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</si>
  <si>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</si>
  <si>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</si>
  <si>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</si>
  <si>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</si>
  <si>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</si>
  <si>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</si>
  <si>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</si>
  <si>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</si>
  <si>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</si>
  <si>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</si>
  <si>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Fastest Lap Trace</t>
  </si>
  <si>
    <t>timeseries_align</t>
  </si>
  <si>
    <t>Lap Distance</t>
  </si>
  <si>
    <t>Ground Speed</t>
  </si>
  <si>
    <t>manufacturer</t>
  </si>
  <si>
    <t>Fastest Lap Throttle Trace</t>
  </si>
  <si>
    <t>Throttle Pedal</t>
  </si>
  <si>
    <t>Fastest Lap Brake Trace</t>
  </si>
  <si>
    <t>Brake Pressure Front</t>
  </si>
  <si>
    <t>Fastest Lap Damper</t>
  </si>
  <si>
    <t>C1_Damper Pos FL</t>
  </si>
  <si>
    <t>[4, 1]</t>
  </si>
  <si>
    <t>[1,1]</t>
  </si>
  <si>
    <t>[2, 1]</t>
  </si>
  <si>
    <t>[3, 1]</t>
  </si>
  <si>
    <t>peaks</t>
  </si>
  <si>
    <t>outlierScope</t>
  </si>
  <si>
    <t>pptxTitle</t>
  </si>
  <si>
    <t>Tyre Pressure Sensitivity</t>
  </si>
  <si>
    <t>[10, 170]</t>
  </si>
  <si>
    <t>driver</t>
  </si>
  <si>
    <t>Lap Time</t>
  </si>
  <si>
    <t>[10, 30]</t>
  </si>
  <si>
    <t>mean</t>
  </si>
  <si>
    <t>Lap Number</t>
  </si>
  <si>
    <t>FL_LockTimerVCH</t>
  </si>
  <si>
    <t>FR_LockTimerVCH</t>
  </si>
  <si>
    <t>RL_LockTimerVCH</t>
  </si>
  <si>
    <t>[1, 2]</t>
  </si>
  <si>
    <t>Tyre Locking Timer</t>
  </si>
  <si>
    <t>Wheel Slip</t>
  </si>
  <si>
    <t>[75, 90]</t>
  </si>
  <si>
    <t>drv=MOS,WOO,HEI,mfr=Toyota</t>
  </si>
  <si>
    <t>drv=DEP,BAT,OJE,mfr=Chevrolet</t>
  </si>
  <si>
    <t>tTyreFront_VCH_P</t>
  </si>
  <si>
    <t>tTyreFront_VCH_T</t>
  </si>
  <si>
    <t>tTyreRear_VCH_P</t>
  </si>
  <si>
    <t>tTyreRear_VCH_T</t>
  </si>
  <si>
    <t>Tyre Temperature Sensitivity</t>
  </si>
  <si>
    <t>Tyre Temp Sensitivity Front Axle</t>
  </si>
  <si>
    <t>Tyre Temp Sensitivity Rear Axle</t>
  </si>
  <si>
    <t>Tyre Pressure Sensitivity Front Axle</t>
  </si>
  <si>
    <t>Tyre Pressure Sensitivity Rear Axle</t>
  </si>
  <si>
    <t>RL_SlipVCH_ExitGate</t>
  </si>
  <si>
    <t>Wheel Speed Front Right</t>
  </si>
  <si>
    <t>Wheel Speed Compare</t>
  </si>
  <si>
    <t>Fuel Consumption</t>
  </si>
  <si>
    <t>change</t>
  </si>
  <si>
    <t xml:space="preserve">Fuel Used </t>
  </si>
  <si>
    <t>Fuel Efficiency</t>
  </si>
  <si>
    <t>[1, 3]</t>
  </si>
  <si>
    <t>timeseries</t>
  </si>
  <si>
    <t>Wheel Speed Front Left</t>
  </si>
  <si>
    <t>Wheel Speed Rear Left</t>
  </si>
  <si>
    <t>GPS Speed</t>
  </si>
  <si>
    <t>vWheel_VCH_FL</t>
  </si>
  <si>
    <t>vWheel_VCH_FR</t>
  </si>
  <si>
    <t>vWheel_VCH_RL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</si>
  <si>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</si>
  <si>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</si>
  <si>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</si>
  <si>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>Track GPS</t>
  </si>
  <si>
    <t>drv=FEE,mfr=Ford</t>
  </si>
  <si>
    <t>scatter_trace</t>
  </si>
  <si>
    <t>GPS Track Altitude</t>
  </si>
  <si>
    <t>GPS Track Top View</t>
  </si>
  <si>
    <t>Lat_Low_VCH</t>
  </si>
  <si>
    <t>Tyre Lateral Acceleration</t>
  </si>
  <si>
    <t>Lat_Mid_VCH</t>
  </si>
  <si>
    <t>Lat_High_VCH</t>
  </si>
  <si>
    <t>Tyre Temp Vs Lateral Acceleration Mid</t>
  </si>
  <si>
    <t>Tyre Temp Vs Lateral Acceleration High</t>
  </si>
  <si>
    <t>Tyre Temp Vs Lateral Acceleration Low</t>
  </si>
  <si>
    <t>Tyre Temp Lap</t>
  </si>
  <si>
    <t>Braking_gLong</t>
  </si>
  <si>
    <t>Entry_gLong</t>
  </si>
  <si>
    <t>[0, 10]</t>
  </si>
  <si>
    <t>Brake Efficiency</t>
  </si>
  <si>
    <t>Fuel Consumption [L]</t>
  </si>
  <si>
    <t>Wheel Locking FL [s]</t>
  </si>
  <si>
    <t>Wheel Locking FR [s]</t>
  </si>
  <si>
    <t>Wheel Locking RL [s]</t>
  </si>
  <si>
    <t>Wheel Slip Braking [%]</t>
  </si>
  <si>
    <t>Wheel Speed Compare FL [km/h]</t>
  </si>
  <si>
    <t>Wheel Speed Compare FR [km/h]</t>
  </si>
  <si>
    <t>Wheel Speed Compare RL [km/h]</t>
  </si>
  <si>
    <t>[2900, 3070]</t>
  </si>
  <si>
    <t>Tyre Performance FL [kPa/°C]</t>
  </si>
  <si>
    <t>sessionlapwise</t>
  </si>
  <si>
    <t>TPM1S FL WS PRESS</t>
  </si>
  <si>
    <t>TPM1S FL WS TEMP</t>
  </si>
  <si>
    <t>[2, 2]</t>
  </si>
  <si>
    <t>mad</t>
  </si>
  <si>
    <t>global</t>
  </si>
  <si>
    <t>Tyre IGL</t>
  </si>
  <si>
    <t>Tyre Performance FR [kPa/°C]</t>
  </si>
  <si>
    <t>TPM1S FR WS PRESS</t>
  </si>
  <si>
    <t>TPM1S FR WS TEMP</t>
  </si>
  <si>
    <t xml:space="preserve">[2, 2] </t>
  </si>
  <si>
    <t>Tyre Performance RL [kPa/°C]</t>
  </si>
  <si>
    <t>TPM1S RL WS PRESS</t>
  </si>
  <si>
    <t>TPM1S RL WS TEMP</t>
  </si>
  <si>
    <t>Tyre Performance RR [kPa/°C]</t>
  </si>
  <si>
    <t>TPM1S RR WS PRESS</t>
  </si>
  <si>
    <t>TPM1S RR WS TEMP</t>
  </si>
  <si>
    <t>mfr=Ford,n=1;mfr=Toyota, n=1; mfr=Chevrolet, n=1</t>
  </si>
  <si>
    <t>Three Ford Fastest Lap Compare</t>
  </si>
  <si>
    <t>Three Toyota Fastest Lap Compare</t>
  </si>
  <si>
    <t>Three Chevrolet Fastest Lap Compare</t>
  </si>
  <si>
    <t>mfr=Ford,n=3;</t>
  </si>
  <si>
    <t>mfr=Toyota,n=3;</t>
  </si>
  <si>
    <t>mfr=Chevrolet,n=3;</t>
  </si>
  <si>
    <t>[2, 6]</t>
  </si>
  <si>
    <t>[80, 95]</t>
  </si>
  <si>
    <t>Fuel_Density_Corr_Cubic</t>
  </si>
  <si>
    <t>Fuel Consumption [L] Dash</t>
  </si>
  <si>
    <t>Fuel_Density_Corr_Linear</t>
  </si>
  <si>
    <t>Fuel Used Mass [kg]</t>
  </si>
  <si>
    <t>Fuel Used Mass</t>
  </si>
  <si>
    <t>[1, 4]</t>
  </si>
  <si>
    <t>Fuel Consumption [L] Linear</t>
  </si>
  <si>
    <t>Fuel Consumption [L] Cubic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</si>
</sst>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B42"/>
  <sheetViews>
    <sheetView tabSelected="1" topLeftCell="A14" zoomScale="85" zoomScaleNormal="85" workbookViewId="0">
      <selection activeCell="A25" sqref="A25"/>
    </sheetView>
  </sheetViews>
  <sheetFormatPr defaultRowHeight="14.4" x14ac:dyDescent="0.3"/>
  <cols>
    <col min="1" max="1" width="34.33203125" bestFit="1" customWidth="1"/>
    <col min="2" max="2" width="15" bestFit="1" customWidth="1"/>
    <col min="3" max="3" width="21.109375" customWidth="1"/>
    <col min="4" max="4" width="21.6640625" bestFit="1" customWidth="1"/>
    <col min="5" max="5" width="27.21875" bestFit="1" customWidth="1"/>
    <col min="6" max="6" width="21.6640625" bestFit="1" customWidth="1"/>
    <col min="7" max="7" width="9.88671875" bestFit="1" customWidth="1"/>
    <col min="8" max="8" width="21.6640625" bestFit="1" customWidth="1"/>
    <col min="10" max="10" width="17.21875" customWidth="1"/>
    <col min="11" max="11" width="18.21875" customWidth="1"/>
    <col min="12" max="12" width="20.21875" customWidth="1"/>
    <col min="13" max="13" width="44.5546875" bestFit="1" customWidth="1"/>
    <col min="15" max="15" width="15.5546875" bestFit="1" customWidth="1"/>
    <col min="19" max="19" width="10" bestFit="1" customWidth="1"/>
    <col min="20" max="20" width="17.33203125" bestFit="1" customWidth="1"/>
    <col min="21" max="21" width="20.109375" bestFit="1" customWidth="1"/>
    <col min="22" max="22" width="16.6640625" bestFit="1" customWidth="1"/>
    <col min="23" max="23" width="16.88671875" bestFit="1" customWidth="1"/>
    <col min="24" max="24" width="15.44140625" bestFit="1" customWidth="1"/>
    <col min="25" max="25" width="19.5546875" bestFit="1" customWidth="1"/>
    <col min="26" max="26" width="28.21875" bestFit="1" customWidth="1"/>
    <col min="28" max="28" width="25.21875" bestFit="1" customWidth="1"/>
  </cols>
  <sheetData>
    <row r="1" spans="1:28" s="3" customFormat="1" x14ac:dyDescent="0.3">
      <c r="A1" s="1" t="s">
        <v>7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11</v>
      </c>
      <c r="K1" s="1" t="s">
        <v>8</v>
      </c>
      <c r="L1" s="1" t="s">
        <v>12</v>
      </c>
      <c r="M1" s="1" t="s">
        <v>13</v>
      </c>
      <c r="N1" s="2" t="s">
        <v>15</v>
      </c>
      <c r="O1" s="2" t="s">
        <v>16</v>
      </c>
      <c r="P1" s="2" t="s">
        <v>17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46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47</v>
      </c>
    </row>
    <row r="2" spans="1:28" x14ac:dyDescent="0.3">
      <c r="A2" s="5" t="s">
        <v>30</v>
      </c>
      <c r="B2" s="5" t="s">
        <v>31</v>
      </c>
      <c r="C2" s="5" t="s">
        <v>9</v>
      </c>
      <c r="D2" s="5" t="s">
        <v>32</v>
      </c>
      <c r="E2" s="5" t="s">
        <v>33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50</v>
      </c>
      <c r="K2" s="5" t="s">
        <v>9</v>
      </c>
      <c r="L2" s="5" t="b">
        <v>0</v>
      </c>
      <c r="M2" s="5" t="s">
        <v>139</v>
      </c>
      <c r="N2" s="5">
        <v>1</v>
      </c>
      <c r="O2" s="5" t="s">
        <v>41</v>
      </c>
      <c r="P2" s="5" t="s">
        <v>42</v>
      </c>
      <c r="Q2" s="5"/>
      <c r="R2" s="5"/>
      <c r="S2" s="5"/>
      <c r="T2" s="5"/>
      <c r="U2" s="5"/>
      <c r="V2" s="5"/>
      <c r="W2" s="5" t="s">
        <v>40</v>
      </c>
      <c r="X2" s="5" t="s">
        <v>116</v>
      </c>
      <c r="Y2" s="5" t="s">
        <v>45</v>
      </c>
      <c r="Z2" s="5"/>
      <c r="AA2" s="5"/>
      <c r="AB2" s="5" t="s">
        <v>136</v>
      </c>
    </row>
    <row r="3" spans="1:28" x14ac:dyDescent="0.3">
      <c r="A3" s="5" t="s">
        <v>35</v>
      </c>
      <c r="B3" s="5" t="s">
        <v>31</v>
      </c>
      <c r="C3" s="5" t="s">
        <v>9</v>
      </c>
      <c r="D3" s="5" t="s">
        <v>32</v>
      </c>
      <c r="E3" s="5" t="s">
        <v>36</v>
      </c>
      <c r="F3" s="5" t="s">
        <v>9</v>
      </c>
      <c r="G3" s="5" t="s">
        <v>9</v>
      </c>
      <c r="H3" s="5" t="s">
        <v>9</v>
      </c>
      <c r="I3" s="5" t="s">
        <v>9</v>
      </c>
      <c r="J3" s="5" t="s">
        <v>50</v>
      </c>
      <c r="K3" s="5" t="s">
        <v>9</v>
      </c>
      <c r="L3" s="5" t="b">
        <v>0</v>
      </c>
      <c r="M3" s="5" t="s">
        <v>139</v>
      </c>
      <c r="N3" s="5">
        <f t="shared" ref="N3:N24" si="0">IF(TRIM(P2)=TRIM(O2), N2+1, N2)</f>
        <v>1</v>
      </c>
      <c r="O3" s="5" t="s">
        <v>41</v>
      </c>
      <c r="P3" s="5" t="s">
        <v>43</v>
      </c>
      <c r="Q3" s="5"/>
      <c r="R3" s="5"/>
      <c r="S3" s="5"/>
      <c r="T3" s="5"/>
      <c r="U3" s="5"/>
      <c r="V3" s="5"/>
      <c r="W3" s="5" t="s">
        <v>40</v>
      </c>
      <c r="X3" s="5" t="s">
        <v>116</v>
      </c>
      <c r="Y3" s="5" t="s">
        <v>45</v>
      </c>
      <c r="Z3" s="5"/>
      <c r="AA3" s="5"/>
      <c r="AB3" s="5" t="s">
        <v>136</v>
      </c>
    </row>
    <row r="4" spans="1:28" x14ac:dyDescent="0.3">
      <c r="A4" s="5" t="s">
        <v>37</v>
      </c>
      <c r="B4" s="5" t="s">
        <v>31</v>
      </c>
      <c r="C4" s="5" t="s">
        <v>9</v>
      </c>
      <c r="D4" s="5" t="s">
        <v>32</v>
      </c>
      <c r="E4" s="5" t="s">
        <v>38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50</v>
      </c>
      <c r="K4" s="5" t="s">
        <v>9</v>
      </c>
      <c r="L4" s="5" t="b">
        <v>0</v>
      </c>
      <c r="M4" s="5" t="s">
        <v>139</v>
      </c>
      <c r="N4" s="5">
        <f t="shared" si="0"/>
        <v>1</v>
      </c>
      <c r="O4" s="5" t="s">
        <v>41</v>
      </c>
      <c r="P4" s="5" t="s">
        <v>44</v>
      </c>
      <c r="Q4" s="5"/>
      <c r="R4" s="5"/>
      <c r="S4" s="5"/>
      <c r="T4" s="5"/>
      <c r="U4" s="5"/>
      <c r="V4" s="5"/>
      <c r="W4" s="5" t="s">
        <v>40</v>
      </c>
      <c r="X4" s="5" t="s">
        <v>116</v>
      </c>
      <c r="Y4" s="5" t="s">
        <v>45</v>
      </c>
      <c r="Z4" s="5"/>
      <c r="AA4" s="5"/>
      <c r="AB4" s="5" t="s">
        <v>136</v>
      </c>
    </row>
    <row r="5" spans="1:28" x14ac:dyDescent="0.3">
      <c r="A5" s="5" t="s">
        <v>39</v>
      </c>
      <c r="B5" s="5" t="s">
        <v>31</v>
      </c>
      <c r="C5" s="5" t="s">
        <v>9</v>
      </c>
      <c r="D5" s="5" t="s">
        <v>32</v>
      </c>
      <c r="E5" s="5" t="s">
        <v>40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50</v>
      </c>
      <c r="K5" s="5" t="s">
        <v>9</v>
      </c>
      <c r="L5" s="5" t="b">
        <v>0</v>
      </c>
      <c r="M5" s="5" t="s">
        <v>139</v>
      </c>
      <c r="N5" s="5">
        <f t="shared" si="0"/>
        <v>1</v>
      </c>
      <c r="O5" s="5" t="s">
        <v>41</v>
      </c>
      <c r="P5" s="5" t="s">
        <v>41</v>
      </c>
      <c r="Q5" s="5"/>
      <c r="R5" s="5"/>
      <c r="S5" s="5"/>
      <c r="T5" s="5"/>
      <c r="U5" s="5"/>
      <c r="V5" s="5"/>
      <c r="W5" s="5" t="s">
        <v>40</v>
      </c>
      <c r="X5" s="5" t="s">
        <v>116</v>
      </c>
      <c r="Y5" s="5" t="s">
        <v>45</v>
      </c>
      <c r="Z5" s="5"/>
      <c r="AA5" s="5"/>
      <c r="AB5" s="5" t="s">
        <v>136</v>
      </c>
    </row>
    <row r="6" spans="1:28" x14ac:dyDescent="0.3">
      <c r="A6" s="6" t="s">
        <v>30</v>
      </c>
      <c r="B6" s="6" t="s">
        <v>31</v>
      </c>
      <c r="C6" s="6" t="s">
        <v>9</v>
      </c>
      <c r="D6" s="6" t="s">
        <v>32</v>
      </c>
      <c r="E6" s="6" t="s">
        <v>33</v>
      </c>
      <c r="F6" s="6" t="s">
        <v>9</v>
      </c>
      <c r="G6" s="6" t="s">
        <v>9</v>
      </c>
      <c r="H6" s="6" t="s">
        <v>9</v>
      </c>
      <c r="I6" s="6" t="s">
        <v>9</v>
      </c>
      <c r="J6" s="6" t="s">
        <v>50</v>
      </c>
      <c r="K6" s="6" t="s">
        <v>9</v>
      </c>
      <c r="L6" s="6" t="b">
        <v>0</v>
      </c>
      <c r="M6" s="6" t="s">
        <v>140</v>
      </c>
      <c r="N6" s="6">
        <f t="shared" si="0"/>
        <v>2</v>
      </c>
      <c r="O6" s="6" t="s">
        <v>41</v>
      </c>
      <c r="P6" s="6" t="s">
        <v>42</v>
      </c>
      <c r="Q6" s="6"/>
      <c r="R6" s="6"/>
      <c r="S6" s="6"/>
      <c r="T6" s="6"/>
      <c r="U6" s="6"/>
      <c r="V6" s="6"/>
      <c r="W6" s="6" t="s">
        <v>40</v>
      </c>
      <c r="X6" s="6" t="s">
        <v>116</v>
      </c>
      <c r="Y6" s="6" t="s">
        <v>45</v>
      </c>
      <c r="Z6" s="6"/>
      <c r="AA6" s="6"/>
      <c r="AB6" s="6" t="s">
        <v>137</v>
      </c>
    </row>
    <row r="7" spans="1:28" x14ac:dyDescent="0.3">
      <c r="A7" s="6" t="s">
        <v>35</v>
      </c>
      <c r="B7" s="6" t="s">
        <v>31</v>
      </c>
      <c r="C7" s="6" t="s">
        <v>9</v>
      </c>
      <c r="D7" s="6" t="s">
        <v>32</v>
      </c>
      <c r="E7" s="6" t="s">
        <v>36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50</v>
      </c>
      <c r="K7" s="6" t="s">
        <v>9</v>
      </c>
      <c r="L7" s="6" t="b">
        <v>0</v>
      </c>
      <c r="M7" s="6" t="s">
        <v>140</v>
      </c>
      <c r="N7" s="6">
        <f t="shared" si="0"/>
        <v>2</v>
      </c>
      <c r="O7" s="6" t="s">
        <v>41</v>
      </c>
      <c r="P7" s="6" t="s">
        <v>43</v>
      </c>
      <c r="Q7" s="6"/>
      <c r="R7" s="6"/>
      <c r="S7" s="6"/>
      <c r="T7" s="6"/>
      <c r="U7" s="6"/>
      <c r="V7" s="6"/>
      <c r="W7" s="6" t="s">
        <v>40</v>
      </c>
      <c r="X7" s="6" t="s">
        <v>116</v>
      </c>
      <c r="Y7" s="6" t="s">
        <v>45</v>
      </c>
      <c r="Z7" s="6"/>
      <c r="AA7" s="6"/>
      <c r="AB7" s="6" t="s">
        <v>137</v>
      </c>
    </row>
    <row r="8" spans="1:28" x14ac:dyDescent="0.3">
      <c r="A8" s="6" t="s">
        <v>37</v>
      </c>
      <c r="B8" s="6" t="s">
        <v>31</v>
      </c>
      <c r="C8" s="6" t="s">
        <v>9</v>
      </c>
      <c r="D8" s="6" t="s">
        <v>32</v>
      </c>
      <c r="E8" s="6" t="s">
        <v>38</v>
      </c>
      <c r="F8" s="6" t="s">
        <v>9</v>
      </c>
      <c r="G8" s="6" t="s">
        <v>9</v>
      </c>
      <c r="H8" s="6" t="s">
        <v>9</v>
      </c>
      <c r="I8" s="6" t="s">
        <v>9</v>
      </c>
      <c r="J8" s="6" t="s">
        <v>50</v>
      </c>
      <c r="K8" s="6" t="s">
        <v>9</v>
      </c>
      <c r="L8" s="6" t="b">
        <v>0</v>
      </c>
      <c r="M8" s="6" t="s">
        <v>140</v>
      </c>
      <c r="N8" s="6">
        <f t="shared" si="0"/>
        <v>2</v>
      </c>
      <c r="O8" s="6" t="s">
        <v>41</v>
      </c>
      <c r="P8" s="6" t="s">
        <v>44</v>
      </c>
      <c r="Q8" s="6"/>
      <c r="R8" s="6"/>
      <c r="S8" s="6"/>
      <c r="T8" s="6"/>
      <c r="U8" s="6"/>
      <c r="V8" s="6"/>
      <c r="W8" s="6" t="s">
        <v>40</v>
      </c>
      <c r="X8" s="6" t="s">
        <v>116</v>
      </c>
      <c r="Y8" s="6" t="s">
        <v>45</v>
      </c>
      <c r="Z8" s="6"/>
      <c r="AA8" s="6"/>
      <c r="AB8" s="6" t="s">
        <v>137</v>
      </c>
    </row>
    <row r="9" spans="1:28" x14ac:dyDescent="0.3">
      <c r="A9" s="6" t="s">
        <v>39</v>
      </c>
      <c r="B9" s="6" t="s">
        <v>31</v>
      </c>
      <c r="C9" s="6" t="s">
        <v>9</v>
      </c>
      <c r="D9" s="6" t="s">
        <v>32</v>
      </c>
      <c r="E9" s="6" t="s">
        <v>40</v>
      </c>
      <c r="F9" s="6" t="s">
        <v>9</v>
      </c>
      <c r="G9" s="6" t="s">
        <v>9</v>
      </c>
      <c r="H9" s="6" t="s">
        <v>9</v>
      </c>
      <c r="I9" s="6" t="s">
        <v>9</v>
      </c>
      <c r="J9" s="6" t="s">
        <v>50</v>
      </c>
      <c r="K9" s="6" t="s">
        <v>9</v>
      </c>
      <c r="L9" s="6" t="b">
        <v>0</v>
      </c>
      <c r="M9" s="6" t="s">
        <v>140</v>
      </c>
      <c r="N9" s="6">
        <f t="shared" si="0"/>
        <v>2</v>
      </c>
      <c r="O9" s="6" t="s">
        <v>41</v>
      </c>
      <c r="P9" s="6" t="s">
        <v>41</v>
      </c>
      <c r="Q9" s="6"/>
      <c r="R9" s="6"/>
      <c r="S9" s="6"/>
      <c r="T9" s="6"/>
      <c r="U9" s="6"/>
      <c r="V9" s="6"/>
      <c r="W9" s="6" t="s">
        <v>40</v>
      </c>
      <c r="X9" s="6" t="s">
        <v>116</v>
      </c>
      <c r="Y9" s="6" t="s">
        <v>45</v>
      </c>
      <c r="Z9" s="6"/>
      <c r="AA9" s="6"/>
      <c r="AB9" s="6" t="s">
        <v>137</v>
      </c>
    </row>
    <row r="10" spans="1:28" x14ac:dyDescent="0.3">
      <c r="A10" s="7" t="s">
        <v>30</v>
      </c>
      <c r="B10" s="7" t="s">
        <v>31</v>
      </c>
      <c r="C10" s="7" t="s">
        <v>9</v>
      </c>
      <c r="D10" s="7" t="s">
        <v>32</v>
      </c>
      <c r="E10" s="7" t="s">
        <v>33</v>
      </c>
      <c r="F10" s="7" t="s">
        <v>9</v>
      </c>
      <c r="G10" s="7" t="s">
        <v>9</v>
      </c>
      <c r="H10" s="7" t="s">
        <v>9</v>
      </c>
      <c r="I10" s="7" t="s">
        <v>9</v>
      </c>
      <c r="J10" s="7" t="s">
        <v>50</v>
      </c>
      <c r="K10" s="7" t="s">
        <v>9</v>
      </c>
      <c r="L10" s="7" t="b">
        <v>0</v>
      </c>
      <c r="M10" s="7" t="s">
        <v>141</v>
      </c>
      <c r="N10" s="7">
        <f t="shared" si="0"/>
        <v>3</v>
      </c>
      <c r="O10" s="7" t="s">
        <v>41</v>
      </c>
      <c r="P10" s="7" t="s">
        <v>42</v>
      </c>
      <c r="Q10" s="7"/>
      <c r="R10" s="7"/>
      <c r="S10" s="7"/>
      <c r="T10" s="7"/>
      <c r="U10" s="7"/>
      <c r="V10" s="7"/>
      <c r="W10" s="7" t="s">
        <v>40</v>
      </c>
      <c r="X10" s="7" t="s">
        <v>116</v>
      </c>
      <c r="Y10" s="7" t="s">
        <v>45</v>
      </c>
      <c r="Z10" s="7"/>
      <c r="AA10" s="7"/>
      <c r="AB10" s="7" t="s">
        <v>138</v>
      </c>
    </row>
    <row r="11" spans="1:28" x14ac:dyDescent="0.3">
      <c r="A11" s="7" t="s">
        <v>35</v>
      </c>
      <c r="B11" s="7" t="s">
        <v>31</v>
      </c>
      <c r="C11" s="7" t="s">
        <v>9</v>
      </c>
      <c r="D11" s="7" t="s">
        <v>32</v>
      </c>
      <c r="E11" s="7" t="s">
        <v>36</v>
      </c>
      <c r="F11" s="7" t="s">
        <v>9</v>
      </c>
      <c r="G11" s="7" t="s">
        <v>9</v>
      </c>
      <c r="H11" s="7" t="s">
        <v>9</v>
      </c>
      <c r="I11" s="7" t="s">
        <v>9</v>
      </c>
      <c r="J11" s="7" t="s">
        <v>50</v>
      </c>
      <c r="K11" s="7" t="s">
        <v>9</v>
      </c>
      <c r="L11" s="7" t="b">
        <v>0</v>
      </c>
      <c r="M11" s="7" t="s">
        <v>141</v>
      </c>
      <c r="N11" s="7">
        <f t="shared" si="0"/>
        <v>3</v>
      </c>
      <c r="O11" s="7" t="s">
        <v>41</v>
      </c>
      <c r="P11" s="7" t="s">
        <v>43</v>
      </c>
      <c r="Q11" s="7"/>
      <c r="R11" s="7"/>
      <c r="S11" s="7"/>
      <c r="T11" s="7"/>
      <c r="U11" s="7"/>
      <c r="V11" s="7"/>
      <c r="W11" s="7" t="s">
        <v>40</v>
      </c>
      <c r="X11" s="7" t="s">
        <v>116</v>
      </c>
      <c r="Y11" s="7" t="s">
        <v>45</v>
      </c>
      <c r="Z11" s="7"/>
      <c r="AA11" s="7"/>
      <c r="AB11" s="7" t="s">
        <v>138</v>
      </c>
    </row>
    <row r="12" spans="1:28" x14ac:dyDescent="0.3">
      <c r="A12" s="7" t="s">
        <v>37</v>
      </c>
      <c r="B12" s="7" t="s">
        <v>31</v>
      </c>
      <c r="C12" s="7" t="s">
        <v>9</v>
      </c>
      <c r="D12" s="7" t="s">
        <v>32</v>
      </c>
      <c r="E12" s="7" t="s">
        <v>38</v>
      </c>
      <c r="F12" s="7" t="s">
        <v>9</v>
      </c>
      <c r="G12" s="7" t="s">
        <v>9</v>
      </c>
      <c r="H12" s="7" t="s">
        <v>9</v>
      </c>
      <c r="I12" s="7" t="s">
        <v>9</v>
      </c>
      <c r="J12" s="7" t="s">
        <v>50</v>
      </c>
      <c r="K12" s="7" t="s">
        <v>9</v>
      </c>
      <c r="L12" s="7" t="b">
        <v>0</v>
      </c>
      <c r="M12" s="7" t="s">
        <v>141</v>
      </c>
      <c r="N12" s="7">
        <f t="shared" si="0"/>
        <v>3</v>
      </c>
      <c r="O12" s="7" t="s">
        <v>41</v>
      </c>
      <c r="P12" s="7" t="s">
        <v>44</v>
      </c>
      <c r="Q12" s="7"/>
      <c r="R12" s="7"/>
      <c r="S12" s="7"/>
      <c r="T12" s="7"/>
      <c r="U12" s="7"/>
      <c r="V12" s="7"/>
      <c r="W12" s="7" t="s">
        <v>40</v>
      </c>
      <c r="X12" s="7" t="s">
        <v>116</v>
      </c>
      <c r="Y12" s="7" t="s">
        <v>45</v>
      </c>
      <c r="Z12" s="7"/>
      <c r="AA12" s="7"/>
      <c r="AB12" s="7" t="s">
        <v>138</v>
      </c>
    </row>
    <row r="13" spans="1:28" x14ac:dyDescent="0.3">
      <c r="A13" s="7" t="s">
        <v>39</v>
      </c>
      <c r="B13" s="7" t="s">
        <v>31</v>
      </c>
      <c r="C13" s="7" t="s">
        <v>9</v>
      </c>
      <c r="D13" s="7" t="s">
        <v>32</v>
      </c>
      <c r="E13" s="7" t="s">
        <v>40</v>
      </c>
      <c r="F13" s="7" t="s">
        <v>9</v>
      </c>
      <c r="G13" s="7" t="s">
        <v>9</v>
      </c>
      <c r="H13" s="7" t="s">
        <v>9</v>
      </c>
      <c r="I13" s="7" t="s">
        <v>9</v>
      </c>
      <c r="J13" s="7" t="s">
        <v>50</v>
      </c>
      <c r="K13" s="7" t="s">
        <v>9</v>
      </c>
      <c r="L13" s="7" t="b">
        <v>0</v>
      </c>
      <c r="M13" s="7" t="s">
        <v>141</v>
      </c>
      <c r="N13" s="7">
        <f t="shared" si="0"/>
        <v>3</v>
      </c>
      <c r="O13" s="7" t="s">
        <v>41</v>
      </c>
      <c r="P13" s="7" t="s">
        <v>41</v>
      </c>
      <c r="Q13" s="7"/>
      <c r="R13" s="7"/>
      <c r="S13" s="7"/>
      <c r="T13" s="7"/>
      <c r="U13" s="7"/>
      <c r="V13" s="7"/>
      <c r="W13" s="7" t="s">
        <v>40</v>
      </c>
      <c r="X13" s="7" t="s">
        <v>116</v>
      </c>
      <c r="Y13" s="7" t="s">
        <v>45</v>
      </c>
      <c r="Z13" s="7"/>
      <c r="AA13" s="7"/>
      <c r="AB13" s="7" t="s">
        <v>138</v>
      </c>
    </row>
    <row r="14" spans="1:28" x14ac:dyDescent="0.3">
      <c r="A14" s="9" t="s">
        <v>69</v>
      </c>
      <c r="B14" s="9" t="s">
        <v>6</v>
      </c>
      <c r="C14" s="9" t="s">
        <v>19</v>
      </c>
      <c r="D14" s="9" t="s">
        <v>65</v>
      </c>
      <c r="E14" s="9" t="s">
        <v>51</v>
      </c>
      <c r="F14" s="9" t="s">
        <v>9</v>
      </c>
      <c r="G14" s="9" t="s">
        <v>9</v>
      </c>
      <c r="H14" s="9" t="s">
        <v>9</v>
      </c>
      <c r="I14" s="9" t="s">
        <v>9</v>
      </c>
      <c r="J14" s="9" t="s">
        <v>34</v>
      </c>
      <c r="K14" s="9" t="s">
        <v>9</v>
      </c>
      <c r="L14" s="9" t="b">
        <v>0</v>
      </c>
      <c r="M14" s="9"/>
      <c r="N14" s="9">
        <f t="shared" si="0"/>
        <v>4</v>
      </c>
      <c r="O14" s="9" t="s">
        <v>58</v>
      </c>
      <c r="P14" s="9" t="s">
        <v>18</v>
      </c>
      <c r="Q14" s="9" t="s">
        <v>49</v>
      </c>
      <c r="R14" s="9" t="s">
        <v>61</v>
      </c>
      <c r="S14" s="9"/>
      <c r="T14" s="9"/>
      <c r="U14" s="9"/>
      <c r="V14" s="9"/>
      <c r="W14" s="9"/>
      <c r="X14" s="9"/>
      <c r="Y14" s="9"/>
      <c r="Z14" s="9"/>
      <c r="AA14" s="9"/>
      <c r="AB14" s="9" t="s">
        <v>68</v>
      </c>
    </row>
    <row r="15" spans="1:28" x14ac:dyDescent="0.3">
      <c r="A15" s="9" t="s">
        <v>70</v>
      </c>
      <c r="B15" s="9" t="s">
        <v>6</v>
      </c>
      <c r="C15" s="9" t="s">
        <v>19</v>
      </c>
      <c r="D15" s="9" t="s">
        <v>67</v>
      </c>
      <c r="E15" s="9" t="s">
        <v>51</v>
      </c>
      <c r="F15" s="9" t="s">
        <v>9</v>
      </c>
      <c r="G15" s="9" t="s">
        <v>9</v>
      </c>
      <c r="H15" s="9" t="s">
        <v>9</v>
      </c>
      <c r="I15" s="9" t="s">
        <v>9</v>
      </c>
      <c r="J15" s="9" t="s">
        <v>34</v>
      </c>
      <c r="K15" s="9" t="s">
        <v>9</v>
      </c>
      <c r="L15" s="9" t="b">
        <v>0</v>
      </c>
      <c r="M15" s="9"/>
      <c r="N15" s="9">
        <f t="shared" si="0"/>
        <v>4</v>
      </c>
      <c r="O15" s="9" t="s">
        <v>58</v>
      </c>
      <c r="P15" s="9" t="s">
        <v>58</v>
      </c>
      <c r="Q15" s="9" t="s">
        <v>49</v>
      </c>
      <c r="R15" s="9" t="s">
        <v>61</v>
      </c>
      <c r="S15" s="9"/>
      <c r="T15" s="9"/>
      <c r="U15" s="9"/>
      <c r="V15" s="9"/>
      <c r="W15" s="9"/>
      <c r="X15" s="9"/>
      <c r="Y15" s="9"/>
      <c r="Z15" s="9"/>
      <c r="AA15" s="9"/>
      <c r="AB15" s="9" t="s">
        <v>68</v>
      </c>
    </row>
    <row r="16" spans="1:28" x14ac:dyDescent="0.3">
      <c r="A16" s="8" t="s">
        <v>71</v>
      </c>
      <c r="B16" s="8" t="s">
        <v>6</v>
      </c>
      <c r="C16" s="8" t="s">
        <v>19</v>
      </c>
      <c r="D16" s="8" t="s">
        <v>64</v>
      </c>
      <c r="E16" s="8" t="s">
        <v>51</v>
      </c>
      <c r="F16" s="8" t="s">
        <v>9</v>
      </c>
      <c r="G16" s="8" t="s">
        <v>9</v>
      </c>
      <c r="H16" s="8" t="s">
        <v>9</v>
      </c>
      <c r="I16" s="8" t="s">
        <v>9</v>
      </c>
      <c r="J16" s="8" t="s">
        <v>34</v>
      </c>
      <c r="K16" s="8" t="s">
        <v>9</v>
      </c>
      <c r="L16" s="8" t="b">
        <v>0</v>
      </c>
      <c r="M16" s="8"/>
      <c r="N16" s="8">
        <f t="shared" si="0"/>
        <v>5</v>
      </c>
      <c r="O16" s="8" t="s">
        <v>58</v>
      </c>
      <c r="P16" s="8" t="s">
        <v>18</v>
      </c>
      <c r="Q16" s="8" t="s">
        <v>52</v>
      </c>
      <c r="R16" s="8" t="s">
        <v>61</v>
      </c>
      <c r="S16" s="8"/>
      <c r="T16" s="8"/>
      <c r="U16" s="8"/>
      <c r="V16" s="8"/>
      <c r="W16" s="8"/>
      <c r="X16" s="8"/>
      <c r="Y16" s="8"/>
      <c r="Z16" s="8"/>
      <c r="AA16" s="8"/>
      <c r="AB16" s="8" t="s">
        <v>48</v>
      </c>
    </row>
    <row r="17" spans="1:28" x14ac:dyDescent="0.3">
      <c r="A17" s="8" t="s">
        <v>72</v>
      </c>
      <c r="B17" s="8" t="s">
        <v>6</v>
      </c>
      <c r="C17" s="8" t="s">
        <v>19</v>
      </c>
      <c r="D17" s="8" t="s">
        <v>66</v>
      </c>
      <c r="E17" s="8" t="s">
        <v>51</v>
      </c>
      <c r="F17" s="8" t="s">
        <v>9</v>
      </c>
      <c r="G17" s="8" t="s">
        <v>9</v>
      </c>
      <c r="H17" s="8" t="s">
        <v>9</v>
      </c>
      <c r="I17" s="8" t="s">
        <v>9</v>
      </c>
      <c r="J17" s="8" t="s">
        <v>34</v>
      </c>
      <c r="K17" s="8" t="s">
        <v>9</v>
      </c>
      <c r="L17" s="8" t="b">
        <v>0</v>
      </c>
      <c r="M17" s="8"/>
      <c r="N17" s="8">
        <f t="shared" si="0"/>
        <v>5</v>
      </c>
      <c r="O17" s="8" t="s">
        <v>58</v>
      </c>
      <c r="P17" s="8" t="s">
        <v>58</v>
      </c>
      <c r="Q17" s="8" t="s">
        <v>52</v>
      </c>
      <c r="R17" s="8" t="s">
        <v>61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48</v>
      </c>
    </row>
    <row r="18" spans="1:28" x14ac:dyDescent="0.3">
      <c r="A18" s="7" t="s">
        <v>109</v>
      </c>
      <c r="B18" s="7" t="s">
        <v>6</v>
      </c>
      <c r="C18" s="7" t="s">
        <v>53</v>
      </c>
      <c r="D18" s="7" t="s">
        <v>54</v>
      </c>
      <c r="E18" s="7" t="s">
        <v>55</v>
      </c>
      <c r="F18" s="7" t="s">
        <v>9</v>
      </c>
      <c r="G18" s="7" t="s">
        <v>9</v>
      </c>
      <c r="H18" s="7" t="s">
        <v>9</v>
      </c>
      <c r="I18" s="7" t="s">
        <v>9</v>
      </c>
      <c r="J18" s="7" t="s">
        <v>34</v>
      </c>
      <c r="K18" s="7" t="s">
        <v>9</v>
      </c>
      <c r="L18" s="7" t="b">
        <v>0</v>
      </c>
      <c r="M18" s="7"/>
      <c r="N18" s="7">
        <f t="shared" si="0"/>
        <v>6</v>
      </c>
      <c r="O18" s="7" t="s">
        <v>80</v>
      </c>
      <c r="P18" s="7" t="s">
        <v>18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 t="s">
        <v>59</v>
      </c>
    </row>
    <row r="19" spans="1:28" x14ac:dyDescent="0.3">
      <c r="A19" s="7" t="s">
        <v>110</v>
      </c>
      <c r="B19" s="7" t="s">
        <v>6</v>
      </c>
      <c r="C19" s="7" t="s">
        <v>53</v>
      </c>
      <c r="D19" s="7" t="s">
        <v>54</v>
      </c>
      <c r="E19" s="7" t="s">
        <v>56</v>
      </c>
      <c r="F19" s="7" t="s">
        <v>9</v>
      </c>
      <c r="G19" s="7" t="s">
        <v>9</v>
      </c>
      <c r="H19" s="7" t="s">
        <v>9</v>
      </c>
      <c r="I19" s="7" t="s">
        <v>9</v>
      </c>
      <c r="J19" s="7" t="s">
        <v>34</v>
      </c>
      <c r="K19" s="7" t="s">
        <v>9</v>
      </c>
      <c r="L19" s="7" t="b">
        <v>0</v>
      </c>
      <c r="M19" s="7"/>
      <c r="N19" s="7">
        <f t="shared" si="0"/>
        <v>6</v>
      </c>
      <c r="O19" s="7" t="s">
        <v>80</v>
      </c>
      <c r="P19" s="7" t="s">
        <v>58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 t="s">
        <v>59</v>
      </c>
    </row>
    <row r="20" spans="1:28" x14ac:dyDescent="0.3">
      <c r="A20" s="7" t="s">
        <v>111</v>
      </c>
      <c r="B20" s="7" t="s">
        <v>6</v>
      </c>
      <c r="C20" s="7" t="s">
        <v>53</v>
      </c>
      <c r="D20" s="7" t="s">
        <v>54</v>
      </c>
      <c r="E20" s="7" t="s">
        <v>57</v>
      </c>
      <c r="F20" s="7" t="s">
        <v>9</v>
      </c>
      <c r="G20" s="7" t="s">
        <v>9</v>
      </c>
      <c r="H20" s="7" t="s">
        <v>9</v>
      </c>
      <c r="I20" s="7" t="s">
        <v>9</v>
      </c>
      <c r="J20" s="7" t="s">
        <v>34</v>
      </c>
      <c r="K20" s="7" t="s">
        <v>9</v>
      </c>
      <c r="L20" s="7" t="b">
        <v>0</v>
      </c>
      <c r="M20" s="7"/>
      <c r="N20" s="7">
        <f t="shared" si="0"/>
        <v>6</v>
      </c>
      <c r="O20" s="7" t="s">
        <v>80</v>
      </c>
      <c r="P20" s="7" t="s">
        <v>80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 t="s">
        <v>59</v>
      </c>
    </row>
    <row r="21" spans="1:28" x14ac:dyDescent="0.3">
      <c r="A21" s="7" t="s">
        <v>112</v>
      </c>
      <c r="B21" s="7" t="s">
        <v>6</v>
      </c>
      <c r="C21" s="7" t="s">
        <v>19</v>
      </c>
      <c r="D21" s="7" t="s">
        <v>54</v>
      </c>
      <c r="E21" s="7" t="s">
        <v>73</v>
      </c>
      <c r="F21" s="7" t="s">
        <v>9</v>
      </c>
      <c r="G21" s="7" t="s">
        <v>9</v>
      </c>
      <c r="H21" s="7" t="s">
        <v>9</v>
      </c>
      <c r="I21" s="7" t="s">
        <v>9</v>
      </c>
      <c r="J21" s="7" t="s">
        <v>34</v>
      </c>
      <c r="K21" s="7" t="s">
        <v>9</v>
      </c>
      <c r="L21" s="7" t="b">
        <v>0</v>
      </c>
      <c r="M21" s="7"/>
      <c r="N21" s="7">
        <f t="shared" si="0"/>
        <v>7</v>
      </c>
      <c r="O21" s="7" t="s">
        <v>18</v>
      </c>
      <c r="P21" s="7" t="s">
        <v>18</v>
      </c>
      <c r="Q21" s="7"/>
      <c r="R21" s="7" t="s">
        <v>106</v>
      </c>
      <c r="S21" s="7"/>
      <c r="T21" s="7"/>
      <c r="U21" s="7"/>
      <c r="V21" s="7"/>
      <c r="W21" s="7"/>
      <c r="X21" s="7"/>
      <c r="Y21" s="7"/>
      <c r="Z21" s="7"/>
      <c r="AA21" s="7"/>
      <c r="AB21" s="7" t="s">
        <v>60</v>
      </c>
    </row>
    <row r="22" spans="1:28" x14ac:dyDescent="0.3">
      <c r="A22" s="6" t="s">
        <v>113</v>
      </c>
      <c r="B22" s="6" t="s">
        <v>81</v>
      </c>
      <c r="C22" s="6" t="s">
        <v>9</v>
      </c>
      <c r="D22" s="6" t="s">
        <v>32</v>
      </c>
      <c r="E22" s="6" t="s">
        <v>85</v>
      </c>
      <c r="F22" s="6" t="s">
        <v>9</v>
      </c>
      <c r="G22" s="6" t="s">
        <v>84</v>
      </c>
      <c r="H22" s="6" t="s">
        <v>82</v>
      </c>
      <c r="I22" s="6" t="s">
        <v>9</v>
      </c>
      <c r="J22" s="6" t="s">
        <v>9</v>
      </c>
      <c r="K22" s="6" t="s">
        <v>9</v>
      </c>
      <c r="L22" s="6" t="b">
        <v>0</v>
      </c>
      <c r="M22" s="6" t="s">
        <v>92</v>
      </c>
      <c r="N22" s="6">
        <f t="shared" si="0"/>
        <v>8</v>
      </c>
      <c r="O22" s="6" t="s">
        <v>80</v>
      </c>
      <c r="P22" s="6" t="s">
        <v>18</v>
      </c>
      <c r="Q22" s="6"/>
      <c r="R22" s="6"/>
      <c r="S22" s="6"/>
      <c r="T22" s="6"/>
      <c r="U22" s="6"/>
      <c r="V22" s="6"/>
      <c r="W22" s="6" t="s">
        <v>40</v>
      </c>
      <c r="X22" s="6" t="s">
        <v>116</v>
      </c>
      <c r="Y22" s="6" t="s">
        <v>45</v>
      </c>
      <c r="Z22" s="6"/>
      <c r="AA22" s="6"/>
      <c r="AB22" s="6" t="s">
        <v>75</v>
      </c>
    </row>
    <row r="23" spans="1:28" x14ac:dyDescent="0.3">
      <c r="A23" s="6" t="s">
        <v>114</v>
      </c>
      <c r="B23" s="6" t="s">
        <v>81</v>
      </c>
      <c r="C23" s="6" t="s">
        <v>9</v>
      </c>
      <c r="D23" s="6" t="s">
        <v>32</v>
      </c>
      <c r="E23" s="6" t="s">
        <v>86</v>
      </c>
      <c r="F23" s="6" t="s">
        <v>9</v>
      </c>
      <c r="G23" s="6" t="s">
        <v>84</v>
      </c>
      <c r="H23" s="6" t="s">
        <v>74</v>
      </c>
      <c r="I23" s="6" t="s">
        <v>9</v>
      </c>
      <c r="J23" s="6" t="s">
        <v>9</v>
      </c>
      <c r="K23" s="6" t="s">
        <v>9</v>
      </c>
      <c r="L23" s="6" t="b">
        <v>0</v>
      </c>
      <c r="M23" s="6" t="s">
        <v>92</v>
      </c>
      <c r="N23" s="6">
        <f t="shared" si="0"/>
        <v>8</v>
      </c>
      <c r="O23" s="6" t="s">
        <v>80</v>
      </c>
      <c r="P23" s="6" t="s">
        <v>58</v>
      </c>
      <c r="Q23" s="6"/>
      <c r="R23" s="6"/>
      <c r="S23" s="6"/>
      <c r="T23" s="6"/>
      <c r="U23" s="6"/>
      <c r="V23" s="6"/>
      <c r="W23" s="6" t="s">
        <v>40</v>
      </c>
      <c r="X23" s="6" t="s">
        <v>116</v>
      </c>
      <c r="Y23" s="6" t="s">
        <v>45</v>
      </c>
      <c r="Z23" s="6"/>
      <c r="AA23" s="6"/>
      <c r="AB23" s="6" t="s">
        <v>75</v>
      </c>
    </row>
    <row r="24" spans="1:28" x14ac:dyDescent="0.3">
      <c r="A24" s="6" t="s">
        <v>115</v>
      </c>
      <c r="B24" s="6" t="s">
        <v>81</v>
      </c>
      <c r="C24" s="6" t="s">
        <v>9</v>
      </c>
      <c r="D24" s="6" t="s">
        <v>32</v>
      </c>
      <c r="E24" s="6" t="s">
        <v>87</v>
      </c>
      <c r="F24" s="6" t="s">
        <v>9</v>
      </c>
      <c r="G24" s="6" t="s">
        <v>84</v>
      </c>
      <c r="H24" s="6" t="s">
        <v>83</v>
      </c>
      <c r="I24" s="6" t="s">
        <v>9</v>
      </c>
      <c r="J24" s="6" t="s">
        <v>9</v>
      </c>
      <c r="K24" s="6" t="s">
        <v>9</v>
      </c>
      <c r="L24" s="6" t="b">
        <v>0</v>
      </c>
      <c r="M24" s="6" t="s">
        <v>92</v>
      </c>
      <c r="N24" s="6">
        <f t="shared" si="0"/>
        <v>8</v>
      </c>
      <c r="O24" s="6" t="s">
        <v>80</v>
      </c>
      <c r="P24" s="6" t="s">
        <v>80</v>
      </c>
      <c r="Q24" s="6"/>
      <c r="R24" s="6"/>
      <c r="S24" s="6"/>
      <c r="T24" s="6"/>
      <c r="U24" s="6"/>
      <c r="V24" s="6"/>
      <c r="W24" s="6" t="s">
        <v>40</v>
      </c>
      <c r="X24" s="6" t="s">
        <v>116</v>
      </c>
      <c r="Y24" s="6" t="s">
        <v>45</v>
      </c>
      <c r="Z24" s="6"/>
      <c r="AA24" s="6"/>
      <c r="AB24" s="6" t="s">
        <v>75</v>
      </c>
    </row>
    <row r="25" spans="1:28" x14ac:dyDescent="0.3">
      <c r="A25" s="6" t="s">
        <v>145</v>
      </c>
      <c r="B25" s="6" t="s">
        <v>6</v>
      </c>
      <c r="C25" s="6" t="s">
        <v>77</v>
      </c>
      <c r="D25" s="6" t="s">
        <v>54</v>
      </c>
      <c r="E25" s="6" t="s">
        <v>78</v>
      </c>
      <c r="F25" s="6" t="s">
        <v>9</v>
      </c>
      <c r="G25" s="6" t="s">
        <v>9</v>
      </c>
      <c r="H25" s="6" t="s">
        <v>9</v>
      </c>
      <c r="I25" s="6" t="s">
        <v>9</v>
      </c>
      <c r="J25" s="6" t="s">
        <v>34</v>
      </c>
      <c r="K25" s="6" t="s">
        <v>9</v>
      </c>
      <c r="L25" s="6" t="b">
        <v>0</v>
      </c>
      <c r="M25" s="6"/>
      <c r="N25" s="6">
        <f>IF(TRIM(P24)=TRIM(O24), N24+1, N24)</f>
        <v>9</v>
      </c>
      <c r="O25" s="6" t="s">
        <v>149</v>
      </c>
      <c r="P25" s="6" t="s">
        <v>18</v>
      </c>
      <c r="Q25" s="6"/>
      <c r="R25" s="6" t="s">
        <v>142</v>
      </c>
      <c r="S25" s="6"/>
      <c r="T25" s="6"/>
      <c r="U25" s="6"/>
      <c r="V25" s="6"/>
      <c r="W25" s="6"/>
      <c r="X25" s="6"/>
      <c r="Y25" s="6"/>
      <c r="Z25" s="6"/>
      <c r="AA25" s="6"/>
      <c r="AB25" s="6" t="s">
        <v>76</v>
      </c>
    </row>
    <row r="26" spans="1:28" x14ac:dyDescent="0.3">
      <c r="A26" s="6" t="s">
        <v>151</v>
      </c>
      <c r="B26" s="6" t="s">
        <v>6</v>
      </c>
      <c r="C26" s="6" t="s">
        <v>77</v>
      </c>
      <c r="D26" s="6" t="s">
        <v>54</v>
      </c>
      <c r="E26" s="6" t="s">
        <v>144</v>
      </c>
      <c r="F26" s="6" t="s">
        <v>9</v>
      </c>
      <c r="G26" s="6" t="s">
        <v>9</v>
      </c>
      <c r="H26" s="6" t="s">
        <v>9</v>
      </c>
      <c r="I26" s="6" t="s">
        <v>9</v>
      </c>
      <c r="J26" s="6" t="s">
        <v>34</v>
      </c>
      <c r="K26" s="6" t="s">
        <v>9</v>
      </c>
      <c r="L26" s="6" t="b">
        <v>0</v>
      </c>
      <c r="M26" s="6"/>
      <c r="N26" s="6">
        <f t="shared" ref="N26:N42" si="1">IF(TRIM(P25)=TRIM(O25), N25+1, N25)</f>
        <v>9</v>
      </c>
      <c r="O26" s="6" t="s">
        <v>149</v>
      </c>
      <c r="P26" s="6" t="s">
        <v>58</v>
      </c>
      <c r="Q26" s="6"/>
      <c r="R26" s="6" t="s">
        <v>142</v>
      </c>
      <c r="S26" s="6"/>
      <c r="T26" s="6"/>
      <c r="U26" s="6"/>
      <c r="V26" s="6"/>
      <c r="W26" s="6"/>
      <c r="X26" s="6"/>
      <c r="Y26" s="6"/>
      <c r="Z26" s="6"/>
      <c r="AA26" s="6"/>
      <c r="AB26" s="6" t="s">
        <v>76</v>
      </c>
    </row>
    <row r="27" spans="1:28" x14ac:dyDescent="0.3">
      <c r="A27" s="6" t="s">
        <v>150</v>
      </c>
      <c r="B27" s="6" t="s">
        <v>6</v>
      </c>
      <c r="C27" s="6" t="s">
        <v>77</v>
      </c>
      <c r="D27" s="6" t="s">
        <v>54</v>
      </c>
      <c r="E27" s="6" t="s">
        <v>146</v>
      </c>
      <c r="F27" s="6" t="s">
        <v>9</v>
      </c>
      <c r="G27" s="6" t="s">
        <v>9</v>
      </c>
      <c r="H27" s="6" t="s">
        <v>9</v>
      </c>
      <c r="I27" s="6" t="s">
        <v>9</v>
      </c>
      <c r="J27" s="6" t="s">
        <v>34</v>
      </c>
      <c r="K27" s="6" t="s">
        <v>9</v>
      </c>
      <c r="L27" s="6" t="b">
        <v>0</v>
      </c>
      <c r="M27" s="6"/>
      <c r="N27" s="6">
        <f t="shared" si="1"/>
        <v>9</v>
      </c>
      <c r="O27" s="6" t="s">
        <v>149</v>
      </c>
      <c r="P27" s="6" t="s">
        <v>80</v>
      </c>
      <c r="Q27" s="6"/>
      <c r="R27" s="6" t="s">
        <v>142</v>
      </c>
      <c r="S27" s="6"/>
      <c r="T27" s="6"/>
      <c r="U27" s="6"/>
      <c r="V27" s="6"/>
      <c r="W27" s="6"/>
      <c r="X27" s="6"/>
      <c r="Y27" s="6"/>
      <c r="Z27" s="6"/>
      <c r="AA27" s="6"/>
      <c r="AB27" s="6" t="s">
        <v>76</v>
      </c>
    </row>
    <row r="28" spans="1:28" x14ac:dyDescent="0.3">
      <c r="A28" s="6" t="s">
        <v>147</v>
      </c>
      <c r="B28" s="6" t="s">
        <v>6</v>
      </c>
      <c r="C28" s="6" t="s">
        <v>77</v>
      </c>
      <c r="D28" s="6" t="s">
        <v>54</v>
      </c>
      <c r="E28" s="6" t="s">
        <v>148</v>
      </c>
      <c r="F28" s="6" t="s">
        <v>9</v>
      </c>
      <c r="G28" s="6" t="s">
        <v>9</v>
      </c>
      <c r="H28" s="6" t="s">
        <v>9</v>
      </c>
      <c r="I28" s="6" t="s">
        <v>9</v>
      </c>
      <c r="J28" s="6" t="s">
        <v>34</v>
      </c>
      <c r="K28" s="6" t="s">
        <v>9</v>
      </c>
      <c r="L28" s="6" t="b">
        <v>0</v>
      </c>
      <c r="M28" s="6"/>
      <c r="N28" s="6">
        <f t="shared" si="1"/>
        <v>9</v>
      </c>
      <c r="O28" s="6" t="s">
        <v>149</v>
      </c>
      <c r="P28" s="6" t="s">
        <v>149</v>
      </c>
      <c r="Q28" s="6"/>
      <c r="R28" s="6" t="s">
        <v>142</v>
      </c>
      <c r="S28" s="6"/>
      <c r="T28" s="6"/>
      <c r="U28" s="6"/>
      <c r="V28" s="6"/>
      <c r="W28" s="6"/>
      <c r="X28" s="6"/>
      <c r="Y28" s="6"/>
      <c r="Z28" s="6"/>
      <c r="AA28" s="6"/>
      <c r="AB28" s="6" t="s">
        <v>76</v>
      </c>
    </row>
    <row r="29" spans="1:28" x14ac:dyDescent="0.3">
      <c r="A29" s="10" t="s">
        <v>108</v>
      </c>
      <c r="B29" s="10" t="s">
        <v>6</v>
      </c>
      <c r="C29" s="10" t="s">
        <v>77</v>
      </c>
      <c r="D29" s="10" t="s">
        <v>51</v>
      </c>
      <c r="E29" s="10" t="s">
        <v>78</v>
      </c>
      <c r="F29" s="10" t="s">
        <v>9</v>
      </c>
      <c r="G29" s="10" t="s">
        <v>9</v>
      </c>
      <c r="H29" s="10" t="s">
        <v>9</v>
      </c>
      <c r="I29" s="10" t="s">
        <v>9</v>
      </c>
      <c r="J29" s="10" t="s">
        <v>34</v>
      </c>
      <c r="K29" s="10" t="s">
        <v>9</v>
      </c>
      <c r="L29" s="10" t="b">
        <v>0</v>
      </c>
      <c r="M29" s="10"/>
      <c r="N29" s="10">
        <f t="shared" si="1"/>
        <v>10</v>
      </c>
      <c r="O29" s="10" t="s">
        <v>18</v>
      </c>
      <c r="P29" s="10" t="s">
        <v>18</v>
      </c>
      <c r="Q29" s="10" t="s">
        <v>143</v>
      </c>
      <c r="R29" s="10" t="s">
        <v>142</v>
      </c>
      <c r="S29" s="10"/>
      <c r="T29" s="10"/>
      <c r="U29" s="10"/>
      <c r="V29" s="10"/>
      <c r="W29" s="10"/>
      <c r="X29" s="10"/>
      <c r="Y29" s="10"/>
      <c r="Z29" s="10"/>
      <c r="AA29" s="10"/>
      <c r="AB29" s="10" t="s">
        <v>79</v>
      </c>
    </row>
    <row r="30" spans="1:28" x14ac:dyDescent="0.3">
      <c r="A30" s="5" t="s">
        <v>95</v>
      </c>
      <c r="B30" s="5" t="s">
        <v>93</v>
      </c>
      <c r="C30" s="5" t="s">
        <v>9</v>
      </c>
      <c r="D30" s="5" t="s">
        <v>89</v>
      </c>
      <c r="E30" s="5" t="s">
        <v>90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34</v>
      </c>
      <c r="K30" s="5" t="s">
        <v>9</v>
      </c>
      <c r="L30" s="5" t="b">
        <v>0</v>
      </c>
      <c r="M30" s="5"/>
      <c r="N30" s="5">
        <f t="shared" si="1"/>
        <v>11</v>
      </c>
      <c r="O30" s="5" t="s">
        <v>18</v>
      </c>
      <c r="P30" s="5" t="s">
        <v>18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 t="s">
        <v>91</v>
      </c>
    </row>
    <row r="31" spans="1:28" x14ac:dyDescent="0.3">
      <c r="A31" s="6" t="s">
        <v>94</v>
      </c>
      <c r="B31" s="6" t="s">
        <v>93</v>
      </c>
      <c r="C31" s="6" t="s">
        <v>9</v>
      </c>
      <c r="D31" s="6" t="s">
        <v>32</v>
      </c>
      <c r="E31" s="6" t="s">
        <v>88</v>
      </c>
      <c r="F31" s="6" t="s">
        <v>9</v>
      </c>
      <c r="G31" s="6" t="s">
        <v>9</v>
      </c>
      <c r="H31" s="6" t="s">
        <v>9</v>
      </c>
      <c r="I31" s="6" t="s">
        <v>9</v>
      </c>
      <c r="J31" s="6" t="s">
        <v>34</v>
      </c>
      <c r="K31" s="6" t="s">
        <v>9</v>
      </c>
      <c r="L31" s="6" t="b">
        <v>0</v>
      </c>
      <c r="M31" s="6"/>
      <c r="N31" s="6">
        <f t="shared" si="1"/>
        <v>12</v>
      </c>
      <c r="O31" s="6" t="s">
        <v>18</v>
      </c>
      <c r="P31" s="6" t="s">
        <v>18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 t="s">
        <v>91</v>
      </c>
    </row>
    <row r="32" spans="1:28" x14ac:dyDescent="0.3">
      <c r="A32" s="11" t="s">
        <v>102</v>
      </c>
      <c r="B32" s="11" t="s">
        <v>6</v>
      </c>
      <c r="C32" s="11" t="s">
        <v>19</v>
      </c>
      <c r="D32" s="11" t="s">
        <v>65</v>
      </c>
      <c r="E32" s="11" t="s">
        <v>96</v>
      </c>
      <c r="F32" s="11" t="s">
        <v>9</v>
      </c>
      <c r="G32" s="11" t="s">
        <v>9</v>
      </c>
      <c r="H32" s="11" t="s">
        <v>9</v>
      </c>
      <c r="I32" s="11" t="s">
        <v>9</v>
      </c>
      <c r="J32" s="11" t="s">
        <v>34</v>
      </c>
      <c r="K32" s="11" t="s">
        <v>9</v>
      </c>
      <c r="L32" s="11" t="b">
        <v>0</v>
      </c>
      <c r="M32" s="11"/>
      <c r="N32" s="11">
        <f t="shared" si="1"/>
        <v>13</v>
      </c>
      <c r="O32" s="11" t="s">
        <v>80</v>
      </c>
      <c r="P32" s="11" t="s">
        <v>18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 t="s">
        <v>97</v>
      </c>
    </row>
    <row r="33" spans="1:28" x14ac:dyDescent="0.3">
      <c r="A33" s="11" t="s">
        <v>100</v>
      </c>
      <c r="B33" s="11" t="s">
        <v>6</v>
      </c>
      <c r="C33" s="11" t="s">
        <v>19</v>
      </c>
      <c r="D33" s="11" t="s">
        <v>65</v>
      </c>
      <c r="E33" s="11" t="s">
        <v>98</v>
      </c>
      <c r="F33" s="11" t="s">
        <v>9</v>
      </c>
      <c r="G33" s="11" t="s">
        <v>9</v>
      </c>
      <c r="H33" s="11" t="s">
        <v>9</v>
      </c>
      <c r="I33" s="11" t="s">
        <v>9</v>
      </c>
      <c r="J33" s="11" t="s">
        <v>34</v>
      </c>
      <c r="K33" s="11" t="s">
        <v>9</v>
      </c>
      <c r="L33" s="11" t="b">
        <v>0</v>
      </c>
      <c r="M33" s="11"/>
      <c r="N33" s="11">
        <f t="shared" si="1"/>
        <v>13</v>
      </c>
      <c r="O33" s="11" t="s">
        <v>80</v>
      </c>
      <c r="P33" s="11" t="s">
        <v>58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 t="s">
        <v>97</v>
      </c>
    </row>
    <row r="34" spans="1:28" x14ac:dyDescent="0.3">
      <c r="A34" s="11" t="s">
        <v>101</v>
      </c>
      <c r="B34" s="11" t="s">
        <v>6</v>
      </c>
      <c r="C34" s="11" t="s">
        <v>19</v>
      </c>
      <c r="D34" s="11" t="s">
        <v>65</v>
      </c>
      <c r="E34" s="11" t="s">
        <v>99</v>
      </c>
      <c r="F34" s="11" t="s">
        <v>9</v>
      </c>
      <c r="G34" s="11" t="s">
        <v>9</v>
      </c>
      <c r="H34" s="11" t="s">
        <v>9</v>
      </c>
      <c r="I34" s="11" t="s">
        <v>9</v>
      </c>
      <c r="J34" s="11" t="s">
        <v>34</v>
      </c>
      <c r="K34" s="11" t="s">
        <v>9</v>
      </c>
      <c r="L34" s="11" t="b">
        <v>0</v>
      </c>
      <c r="M34" s="11"/>
      <c r="N34" s="11">
        <f t="shared" si="1"/>
        <v>13</v>
      </c>
      <c r="O34" s="11" t="s">
        <v>80</v>
      </c>
      <c r="P34" s="11" t="s">
        <v>80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 t="s">
        <v>97</v>
      </c>
    </row>
    <row r="35" spans="1:28" x14ac:dyDescent="0.3">
      <c r="A35" s="9" t="s">
        <v>103</v>
      </c>
      <c r="B35" s="9" t="s">
        <v>6</v>
      </c>
      <c r="C35" s="9" t="s">
        <v>19</v>
      </c>
      <c r="D35" s="9" t="s">
        <v>65</v>
      </c>
      <c r="E35" s="9" t="s">
        <v>51</v>
      </c>
      <c r="F35" s="9" t="s">
        <v>9</v>
      </c>
      <c r="G35" s="9" t="s">
        <v>9</v>
      </c>
      <c r="H35" s="9" t="s">
        <v>9</v>
      </c>
      <c r="I35" s="9" t="s">
        <v>9</v>
      </c>
      <c r="J35" s="9" t="s">
        <v>34</v>
      </c>
      <c r="K35" s="9" t="s">
        <v>9</v>
      </c>
      <c r="L35" s="9" t="b">
        <v>0</v>
      </c>
      <c r="M35" s="9"/>
      <c r="N35" s="9">
        <f t="shared" si="1"/>
        <v>14</v>
      </c>
      <c r="O35" s="9" t="s">
        <v>58</v>
      </c>
      <c r="P35" s="9" t="s">
        <v>18</v>
      </c>
      <c r="Q35" s="9" t="s">
        <v>49</v>
      </c>
      <c r="R35" s="9" t="s">
        <v>61</v>
      </c>
      <c r="S35" s="9"/>
      <c r="T35" s="9"/>
      <c r="U35" s="9"/>
      <c r="V35" s="9"/>
      <c r="W35" s="9"/>
      <c r="X35" s="9"/>
      <c r="Y35" s="9"/>
      <c r="Z35" s="9"/>
      <c r="AA35" s="9"/>
      <c r="AB35" s="9" t="s">
        <v>68</v>
      </c>
    </row>
    <row r="36" spans="1:28" x14ac:dyDescent="0.3">
      <c r="A36" s="9" t="s">
        <v>103</v>
      </c>
      <c r="B36" s="9" t="s">
        <v>6</v>
      </c>
      <c r="C36" s="9" t="s">
        <v>19</v>
      </c>
      <c r="D36" s="9" t="s">
        <v>67</v>
      </c>
      <c r="E36" s="9" t="s">
        <v>51</v>
      </c>
      <c r="F36" s="9" t="s">
        <v>9</v>
      </c>
      <c r="G36" s="9" t="s">
        <v>9</v>
      </c>
      <c r="H36" s="9" t="s">
        <v>9</v>
      </c>
      <c r="I36" s="9" t="s">
        <v>9</v>
      </c>
      <c r="J36" s="9" t="s">
        <v>34</v>
      </c>
      <c r="K36" s="9" t="s">
        <v>9</v>
      </c>
      <c r="L36" s="9" t="b">
        <v>0</v>
      </c>
      <c r="M36" s="9"/>
      <c r="N36" s="9">
        <f t="shared" si="1"/>
        <v>14</v>
      </c>
      <c r="O36" s="9" t="s">
        <v>58</v>
      </c>
      <c r="P36" s="9" t="s">
        <v>58</v>
      </c>
      <c r="Q36" s="9" t="s">
        <v>49</v>
      </c>
      <c r="R36" s="9" t="s">
        <v>61</v>
      </c>
      <c r="S36" s="9"/>
      <c r="T36" s="9"/>
      <c r="U36" s="9"/>
      <c r="V36" s="9"/>
      <c r="W36" s="9"/>
      <c r="X36" s="9"/>
      <c r="Y36" s="9"/>
      <c r="Z36" s="9"/>
      <c r="AA36" s="9"/>
      <c r="AB36" s="9" t="s">
        <v>68</v>
      </c>
    </row>
    <row r="37" spans="1:28" x14ac:dyDescent="0.3">
      <c r="A37" s="7" t="s">
        <v>107</v>
      </c>
      <c r="B37" s="7" t="s">
        <v>93</v>
      </c>
      <c r="C37" s="7" t="s">
        <v>9</v>
      </c>
      <c r="D37" s="7" t="s">
        <v>38</v>
      </c>
      <c r="E37" s="7" t="s">
        <v>104</v>
      </c>
      <c r="F37" s="7" t="str">
        <f>IF(ISBLANK($A37), "", F$2)</f>
        <v>none</v>
      </c>
      <c r="G37" s="7" t="str">
        <f t="shared" ref="G37:AB38" si="2">IF(ISBLANK($A37), "", G$2)</f>
        <v>none</v>
      </c>
      <c r="H37" s="7" t="str">
        <f t="shared" si="2"/>
        <v>none</v>
      </c>
      <c r="I37" s="7" t="str">
        <f t="shared" si="2"/>
        <v>none</v>
      </c>
      <c r="J37" s="7" t="s">
        <v>34</v>
      </c>
      <c r="K37" s="7" t="str">
        <f t="shared" si="2"/>
        <v>none</v>
      </c>
      <c r="L37" s="7" t="b">
        <f t="shared" si="2"/>
        <v>0</v>
      </c>
      <c r="M37" s="7"/>
      <c r="N37" s="7">
        <f t="shared" si="1"/>
        <v>15</v>
      </c>
      <c r="O37" s="7" t="s">
        <v>58</v>
      </c>
      <c r="P37" s="7" t="s">
        <v>18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 t="str">
        <f t="shared" si="2"/>
        <v>Three Ford Fastest Lap Compare</v>
      </c>
    </row>
    <row r="38" spans="1:28" x14ac:dyDescent="0.3">
      <c r="A38" s="7" t="s">
        <v>107</v>
      </c>
      <c r="B38" s="7" t="s">
        <v>93</v>
      </c>
      <c r="C38" s="7" t="s">
        <v>9</v>
      </c>
      <c r="D38" s="7" t="s">
        <v>38</v>
      </c>
      <c r="E38" s="7" t="s">
        <v>105</v>
      </c>
      <c r="F38" s="7" t="str">
        <f>IF(ISBLANK($A38), "", F$2)</f>
        <v>none</v>
      </c>
      <c r="G38" s="7" t="str">
        <f t="shared" si="2"/>
        <v>none</v>
      </c>
      <c r="H38" s="7" t="str">
        <f t="shared" si="2"/>
        <v>none</v>
      </c>
      <c r="I38" s="7" t="str">
        <f t="shared" si="2"/>
        <v>none</v>
      </c>
      <c r="J38" s="7" t="s">
        <v>34</v>
      </c>
      <c r="K38" s="7" t="str">
        <f t="shared" si="2"/>
        <v>none</v>
      </c>
      <c r="L38" s="7" t="b">
        <f t="shared" si="2"/>
        <v>0</v>
      </c>
      <c r="M38" s="7"/>
      <c r="N38" s="7">
        <f t="shared" si="1"/>
        <v>15</v>
      </c>
      <c r="O38" s="7" t="s">
        <v>58</v>
      </c>
      <c r="P38" s="7" t="s">
        <v>58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 t="str">
        <f t="shared" si="2"/>
        <v>Three Ford Fastest Lap Compare</v>
      </c>
    </row>
    <row r="39" spans="1:28" x14ac:dyDescent="0.3">
      <c r="A39" s="12" t="s">
        <v>117</v>
      </c>
      <c r="B39" s="6" t="s">
        <v>118</v>
      </c>
      <c r="C39" s="12" t="s">
        <v>53</v>
      </c>
      <c r="D39" s="6" t="s">
        <v>119</v>
      </c>
      <c r="E39" s="6" t="s">
        <v>120</v>
      </c>
      <c r="F39" s="12" t="s">
        <v>9</v>
      </c>
      <c r="G39" s="12" t="s">
        <v>9</v>
      </c>
      <c r="H39" s="12" t="s">
        <v>9</v>
      </c>
      <c r="I39" s="12" t="s">
        <v>9</v>
      </c>
      <c r="J39" s="12" t="s">
        <v>34</v>
      </c>
      <c r="K39" s="12" t="s">
        <v>9</v>
      </c>
      <c r="L39" s="12" t="b">
        <v>0</v>
      </c>
      <c r="M39" s="6" t="s">
        <v>135</v>
      </c>
      <c r="N39" s="6">
        <f t="shared" si="1"/>
        <v>16</v>
      </c>
      <c r="O39" s="6" t="s">
        <v>121</v>
      </c>
      <c r="P39" s="6" t="s">
        <v>18</v>
      </c>
      <c r="Q39" s="6"/>
      <c r="R39" s="6" t="s">
        <v>49</v>
      </c>
      <c r="S39" s="6" t="b">
        <v>1</v>
      </c>
      <c r="T39" s="6" t="s">
        <v>122</v>
      </c>
      <c r="U39" s="6">
        <v>4</v>
      </c>
      <c r="V39" s="6" t="s">
        <v>123</v>
      </c>
      <c r="W39" s="6"/>
      <c r="X39" s="6"/>
      <c r="Y39" s="6"/>
      <c r="Z39" s="6"/>
      <c r="AA39" s="6"/>
      <c r="AB39" s="6" t="s">
        <v>124</v>
      </c>
    </row>
    <row r="40" spans="1:28" x14ac:dyDescent="0.3">
      <c r="A40" s="12" t="s">
        <v>125</v>
      </c>
      <c r="B40" s="6" t="s">
        <v>118</v>
      </c>
      <c r="C40" s="12" t="s">
        <v>53</v>
      </c>
      <c r="D40" s="6" t="s">
        <v>126</v>
      </c>
      <c r="E40" s="6" t="s">
        <v>127</v>
      </c>
      <c r="F40" s="12" t="s">
        <v>9</v>
      </c>
      <c r="G40" s="12" t="s">
        <v>9</v>
      </c>
      <c r="H40" s="12" t="s">
        <v>9</v>
      </c>
      <c r="I40" s="12" t="s">
        <v>9</v>
      </c>
      <c r="J40" s="12" t="s">
        <v>34</v>
      </c>
      <c r="K40" s="12" t="s">
        <v>9</v>
      </c>
      <c r="L40" s="12" t="b">
        <v>0</v>
      </c>
      <c r="M40" s="6" t="s">
        <v>135</v>
      </c>
      <c r="N40" s="6">
        <f t="shared" si="1"/>
        <v>16</v>
      </c>
      <c r="O40" s="6" t="s">
        <v>128</v>
      </c>
      <c r="P40" s="6" t="s">
        <v>58</v>
      </c>
      <c r="Q40" s="6"/>
      <c r="R40" s="6" t="s">
        <v>49</v>
      </c>
      <c r="S40" s="6" t="b">
        <v>1</v>
      </c>
      <c r="T40" s="6" t="s">
        <v>122</v>
      </c>
      <c r="U40" s="6">
        <v>4</v>
      </c>
      <c r="V40" s="6" t="s">
        <v>123</v>
      </c>
      <c r="W40" s="6"/>
      <c r="X40" s="6"/>
      <c r="Y40" s="6"/>
      <c r="Z40" s="6"/>
      <c r="AA40" s="6"/>
      <c r="AB40" s="6" t="str">
        <f t="shared" ref="AB40:AB42" si="3">AB39</f>
        <v>Tyre IGL</v>
      </c>
    </row>
    <row r="41" spans="1:28" x14ac:dyDescent="0.3">
      <c r="A41" s="12" t="s">
        <v>129</v>
      </c>
      <c r="B41" s="6" t="s">
        <v>118</v>
      </c>
      <c r="C41" s="12" t="s">
        <v>53</v>
      </c>
      <c r="D41" s="6" t="s">
        <v>130</v>
      </c>
      <c r="E41" s="6" t="s">
        <v>131</v>
      </c>
      <c r="F41" s="12" t="s">
        <v>9</v>
      </c>
      <c r="G41" s="12" t="s">
        <v>9</v>
      </c>
      <c r="H41" s="12" t="s">
        <v>9</v>
      </c>
      <c r="I41" s="12" t="s">
        <v>9</v>
      </c>
      <c r="J41" s="12" t="s">
        <v>34</v>
      </c>
      <c r="K41" s="12" t="s">
        <v>9</v>
      </c>
      <c r="L41" s="12" t="b">
        <v>0</v>
      </c>
      <c r="M41" s="6" t="s">
        <v>135</v>
      </c>
      <c r="N41" s="6">
        <f t="shared" si="1"/>
        <v>16</v>
      </c>
      <c r="O41" s="6" t="s">
        <v>121</v>
      </c>
      <c r="P41" s="6" t="s">
        <v>43</v>
      </c>
      <c r="Q41" s="6"/>
      <c r="R41" s="6" t="s">
        <v>49</v>
      </c>
      <c r="S41" s="6" t="b">
        <v>1</v>
      </c>
      <c r="T41" s="6" t="s">
        <v>122</v>
      </c>
      <c r="U41" s="6">
        <v>4</v>
      </c>
      <c r="V41" s="6" t="s">
        <v>123</v>
      </c>
      <c r="W41" s="6"/>
      <c r="X41" s="6"/>
      <c r="Y41" s="6"/>
      <c r="Z41" s="6"/>
      <c r="AA41" s="6"/>
      <c r="AB41" s="6" t="str">
        <f t="shared" si="3"/>
        <v>Tyre IGL</v>
      </c>
    </row>
    <row r="42" spans="1:28" x14ac:dyDescent="0.3">
      <c r="A42" s="12" t="s">
        <v>132</v>
      </c>
      <c r="B42" s="6" t="s">
        <v>118</v>
      </c>
      <c r="C42" s="12" t="s">
        <v>53</v>
      </c>
      <c r="D42" s="6" t="s">
        <v>133</v>
      </c>
      <c r="E42" s="6" t="s">
        <v>134</v>
      </c>
      <c r="F42" s="12" t="s">
        <v>9</v>
      </c>
      <c r="G42" s="12" t="s">
        <v>9</v>
      </c>
      <c r="H42" s="12" t="s">
        <v>9</v>
      </c>
      <c r="I42" s="12" t="s">
        <v>9</v>
      </c>
      <c r="J42" s="12" t="s">
        <v>34</v>
      </c>
      <c r="K42" s="12" t="s">
        <v>9</v>
      </c>
      <c r="L42" s="12" t="b">
        <v>0</v>
      </c>
      <c r="M42" s="6" t="s">
        <v>135</v>
      </c>
      <c r="N42" s="6">
        <f t="shared" si="1"/>
        <v>16</v>
      </c>
      <c r="O42" s="6" t="s">
        <v>121</v>
      </c>
      <c r="P42" s="6" t="s">
        <v>121</v>
      </c>
      <c r="Q42" s="6"/>
      <c r="R42" s="6" t="s">
        <v>49</v>
      </c>
      <c r="S42" s="6" t="b">
        <v>1</v>
      </c>
      <c r="T42" s="6" t="s">
        <v>122</v>
      </c>
      <c r="U42" s="6">
        <v>4</v>
      </c>
      <c r="V42" s="6" t="s">
        <v>123</v>
      </c>
      <c r="W42" s="6"/>
      <c r="X42" s="6"/>
      <c r="Y42" s="6"/>
      <c r="Z42" s="6"/>
      <c r="AA42" s="6"/>
      <c r="AB42" s="6" t="str">
        <f t="shared" si="3"/>
        <v>Tyre IGL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RowHeight="14.4" x14ac:dyDescent="0.3"/>
  <sheetData>
    <row r="11" spans="7:7" x14ac:dyDescent="0.3">
      <c r="G11" s="6" t="s">
        <v>62</v>
      </c>
    </row>
    <row r="12" spans="7:7" x14ac:dyDescent="0.3">
      <c r="G12" s="6" t="s">
        <v>62</v>
      </c>
    </row>
    <row r="13" spans="7:7" x14ac:dyDescent="0.3">
      <c r="G13" s="6" t="s">
        <v>62</v>
      </c>
    </row>
    <row r="14" spans="7:7" x14ac:dyDescent="0.3">
      <c r="G14" s="6" t="s">
        <v>62</v>
      </c>
    </row>
    <row r="15" spans="7:7" x14ac:dyDescent="0.3">
      <c r="G15" s="7" t="s">
        <v>63</v>
      </c>
    </row>
    <row r="16" spans="7:7" x14ac:dyDescent="0.3">
      <c r="G16" s="7" t="s">
        <v>63</v>
      </c>
    </row>
    <row r="17" spans="7:7" x14ac:dyDescent="0.3">
      <c r="G17" s="7" t="s">
        <v>63</v>
      </c>
    </row>
    <row r="18" spans="7:7" x14ac:dyDescent="0.3">
      <c r="G18" s="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2026-04-19T03:49:59Z</dcterms:modified>
</cp:coreProperties>
</file>