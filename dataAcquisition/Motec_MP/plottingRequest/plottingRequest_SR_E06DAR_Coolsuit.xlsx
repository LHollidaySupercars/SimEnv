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holliday/SimEnv/dataAcquisition/Motec_MP/plottingRequest/"/>
    </mc:Choice>
  </mc:AlternateContent>
  <xr:revisionPtr revIDLastSave="0" documentId="13_ncr:1_{420C4F53-CF58-6E41-82F0-F8A687C1FD44}" xr6:coauthVersionLast="47" xr6:coauthVersionMax="47" xr10:uidLastSave="{00000000-0000-0000-0000-000000000000}"/>
  <bookViews>
    <workbookView xWindow="0" yWindow="660" windowWidth="30240" windowHeight="17200" xr2:uid="{98CBB8D2-373D-4831-8E1A-176399598E12}"/>
  </bookViews>
  <sheets>
    <sheet name="plott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1" l="1"/>
  <c r="AC3" i="1"/>
  <c r="AC4" i="1" s="1"/>
  <c r="N3" i="1" l="1"/>
  <c r="N4" i="1" s="1"/>
</calcChain>
</file>

<file path=xl/sharedStrings.xml><?xml version="1.0" encoding="utf-8"?>
<sst xmlns="http://schemas.openxmlformats.org/spreadsheetml/2006/main" count="87" uniqueCount="48">
  <si>
    <t>mathFunction</t>
  </si>
  <si>
    <t>xAxis</t>
  </si>
  <si>
    <t>yAxis1</t>
  </si>
  <si>
    <t>yAxis2</t>
  </si>
  <si>
    <t>yAxis3</t>
  </si>
  <si>
    <t>yAxis4</t>
  </si>
  <si>
    <t>plotName</t>
  </si>
  <si>
    <t>Lap Number</t>
  </si>
  <si>
    <t>differentiator</t>
  </si>
  <si>
    <t>none</t>
  </si>
  <si>
    <t>plotType</t>
  </si>
  <si>
    <t>colours</t>
  </si>
  <si>
    <t>useSecondary</t>
  </si>
  <si>
    <t>plotFilter</t>
  </si>
  <si>
    <t>zAxis</t>
  </si>
  <si>
    <t>figure</t>
  </si>
  <si>
    <t>plotOrganization</t>
  </si>
  <si>
    <t>plotPos</t>
  </si>
  <si>
    <t>[1,3]</t>
  </si>
  <si>
    <t>[1, 1]</t>
  </si>
  <si>
    <t>mean</t>
  </si>
  <si>
    <t>[1, 2]</t>
  </si>
  <si>
    <t>[1, 3]</t>
  </si>
  <si>
    <t xml:space="preserve">C1_Cockpit Temp       </t>
  </si>
  <si>
    <t xml:space="preserve">C1_Driver Suit Temp   </t>
  </si>
  <si>
    <t xml:space="preserve">C1_Driver Helmet Temp               </t>
  </si>
  <si>
    <t>outlierThreshold</t>
  </si>
  <si>
    <t>outliers</t>
  </si>
  <si>
    <t>xLim</t>
  </si>
  <si>
    <t>yLim</t>
  </si>
  <si>
    <t>outlierMethod</t>
  </si>
  <si>
    <t>sessionlapwise</t>
  </si>
  <si>
    <t>notes</t>
  </si>
  <si>
    <t>alignWindow</t>
  </si>
  <si>
    <t>alignChannel</t>
  </si>
  <si>
    <t>alignMethod</t>
  </si>
  <si>
    <t>alightMaxOffset</t>
  </si>
  <si>
    <t>pptxTitle</t>
  </si>
  <si>
    <t>Driver Monitor</t>
  </si>
  <si>
    <t>[10, 60]</t>
  </si>
  <si>
    <t>[-60, 60]</t>
  </si>
  <si>
    <t>outlierScope</t>
  </si>
  <si>
    <t>Driver Suit Temperature Mean [°C]</t>
  </si>
  <si>
    <t>Driver Helmet Temperature Mean [°C]</t>
  </si>
  <si>
    <t>Cockpit Temperature Mean Mean [°C]</t>
  </si>
  <si>
    <t>lap_type_filter</t>
  </si>
  <si>
    <t>custom</t>
  </si>
  <si>
    <t>Driver Helmet Monitor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</si>
</sst>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2" fillId="0" borderId="0" xfId="0" applyFont="1"/>
    <xf numFmtId="0" fontId="0" fillId="2" borderId="0" xfId="0" applyFill="1"/>
    <xf numFmtId="0" fontId="0" fillId="2" borderId="0" xfId="0" applyFill="1" applyAlignment="1">
      <alignment wrapText="1"/>
    </xf>
    <xf numFmtId="0" fontId="0" fillId="3" borderId="0" xfId="0" applyFill="1"/>
    <xf numFmtId="0" fontId="0" fillId="3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B1EEC-F5CB-4522-AB96-C6BC3CAD72FB}">
  <dimension ref="A1:AC5"/>
  <sheetViews>
    <sheetView tabSelected="1" zoomScale="107" zoomScaleNormal="92" workbookViewId="0">
      <pane ySplit="1" topLeftCell="A2" activePane="bottomLeft" state="frozen"/>
      <selection activeCell="F1" sqref="F1"/>
      <selection pane="bottomLeft" activeCell="D10" sqref="D10"/>
    </sheetView>
  </sheetViews>
  <sheetFormatPr baseColWidth="10" defaultColWidth="8.83203125" defaultRowHeight="15" x14ac:dyDescent="0.2"/>
  <cols>
    <col min="1" max="1" width="37.5" bestFit="1" customWidth="1"/>
    <col min="2" max="2" width="16.1640625" bestFit="1" customWidth="1"/>
    <col min="3" max="3" width="13.1640625" customWidth="1"/>
    <col min="4" max="4" width="21.83203125" customWidth="1"/>
    <col min="5" max="5" width="28.83203125" customWidth="1"/>
    <col min="6" max="6" width="16.1640625" customWidth="1"/>
    <col min="7" max="8" width="6.33203125" customWidth="1"/>
    <col min="9" max="9" width="6.1640625" customWidth="1"/>
    <col min="10" max="10" width="13.5" customWidth="1"/>
    <col min="11" max="11" width="12.1640625" customWidth="1"/>
    <col min="12" max="12" width="12.83203125" customWidth="1"/>
    <col min="13" max="13" width="42.5" customWidth="1"/>
    <col min="14" max="14" width="5.83203125" customWidth="1"/>
    <col min="15" max="15" width="15" customWidth="1"/>
    <col min="16" max="16" width="7.33203125" customWidth="1"/>
    <col min="17" max="18" width="8.83203125" customWidth="1"/>
    <col min="19" max="19" width="13.33203125" customWidth="1"/>
    <col min="20" max="20" width="8.83203125" customWidth="1"/>
    <col min="21" max="21" width="13.5" customWidth="1"/>
    <col min="22" max="24" width="15.6640625" customWidth="1"/>
    <col min="25" max="26" width="8.83203125" customWidth="1"/>
    <col min="27" max="27" width="14.33203125" customWidth="1"/>
    <col min="28" max="28" width="76.83203125" bestFit="1" customWidth="1"/>
    <col min="29" max="29" width="11.1640625" bestFit="1" customWidth="1"/>
  </cols>
  <sheetData>
    <row r="1" spans="1:29" ht="16" x14ac:dyDescent="0.25">
      <c r="A1" s="1" t="s">
        <v>6</v>
      </c>
      <c r="B1" s="1" t="s">
        <v>10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14</v>
      </c>
      <c r="J1" s="1" t="s">
        <v>11</v>
      </c>
      <c r="K1" s="1" t="s">
        <v>8</v>
      </c>
      <c r="L1" s="1" t="s">
        <v>12</v>
      </c>
      <c r="M1" s="1" t="s">
        <v>13</v>
      </c>
      <c r="N1" s="2" t="s">
        <v>15</v>
      </c>
      <c r="O1" s="2" t="s">
        <v>16</v>
      </c>
      <c r="P1" s="2" t="s">
        <v>17</v>
      </c>
      <c r="Q1" s="2" t="s">
        <v>28</v>
      </c>
      <c r="R1" s="2" t="s">
        <v>29</v>
      </c>
      <c r="S1" s="3" t="s">
        <v>45</v>
      </c>
      <c r="T1" s="2" t="s">
        <v>27</v>
      </c>
      <c r="U1" s="2" t="s">
        <v>30</v>
      </c>
      <c r="V1" s="2" t="s">
        <v>26</v>
      </c>
      <c r="W1" s="2" t="s">
        <v>41</v>
      </c>
      <c r="X1" s="2" t="s">
        <v>34</v>
      </c>
      <c r="Y1" s="2" t="s">
        <v>33</v>
      </c>
      <c r="Z1" s="2" t="s">
        <v>35</v>
      </c>
      <c r="AA1" s="2" t="s">
        <v>36</v>
      </c>
      <c r="AB1" s="2" t="s">
        <v>32</v>
      </c>
      <c r="AC1" s="2" t="s">
        <v>37</v>
      </c>
    </row>
    <row r="2" spans="1:29" ht="16" x14ac:dyDescent="0.2">
      <c r="A2" s="6" t="s">
        <v>44</v>
      </c>
      <c r="B2" s="7" t="s">
        <v>31</v>
      </c>
      <c r="C2" s="7" t="s">
        <v>20</v>
      </c>
      <c r="D2" s="7" t="s">
        <v>7</v>
      </c>
      <c r="E2" s="7" t="s">
        <v>23</v>
      </c>
      <c r="F2" s="7" t="s">
        <v>9</v>
      </c>
      <c r="G2" s="7" t="s">
        <v>9</v>
      </c>
      <c r="H2" s="7" t="s">
        <v>9</v>
      </c>
      <c r="I2" s="7" t="s">
        <v>9</v>
      </c>
      <c r="J2" s="7" t="s">
        <v>46</v>
      </c>
      <c r="K2" s="7" t="s">
        <v>9</v>
      </c>
      <c r="L2" s="7" t="b">
        <v>0</v>
      </c>
      <c r="M2" s="7"/>
      <c r="N2" s="7">
        <v>1</v>
      </c>
      <c r="O2" s="7" t="s">
        <v>18</v>
      </c>
      <c r="P2" s="7" t="s">
        <v>19</v>
      </c>
      <c r="Q2" s="6"/>
      <c r="R2" s="6" t="s">
        <v>39</v>
      </c>
      <c r="S2" s="6"/>
      <c r="T2" s="6"/>
      <c r="U2" s="6"/>
      <c r="V2" s="6">
        <v>4</v>
      </c>
      <c r="W2" s="6"/>
      <c r="X2" s="6"/>
      <c r="Y2" s="6"/>
      <c r="Z2" s="6"/>
      <c r="AA2" s="6"/>
      <c r="AB2" s="6"/>
      <c r="AC2" s="6" t="s">
        <v>38</v>
      </c>
    </row>
    <row r="3" spans="1:29" ht="16" x14ac:dyDescent="0.2">
      <c r="A3" s="6" t="s">
        <v>42</v>
      </c>
      <c r="B3" s="7" t="s">
        <v>31</v>
      </c>
      <c r="C3" s="7" t="s">
        <v>20</v>
      </c>
      <c r="D3" s="7" t="s">
        <v>7</v>
      </c>
      <c r="E3" s="7" t="s">
        <v>24</v>
      </c>
      <c r="F3" s="7" t="s">
        <v>9</v>
      </c>
      <c r="G3" s="7" t="s">
        <v>9</v>
      </c>
      <c r="H3" s="7" t="s">
        <v>9</v>
      </c>
      <c r="I3" s="7" t="s">
        <v>9</v>
      </c>
      <c r="J3" s="7" t="s">
        <v>46</v>
      </c>
      <c r="K3" s="7" t="s">
        <v>9</v>
      </c>
      <c r="L3" s="7" t="b">
        <v>0</v>
      </c>
      <c r="M3" s="7"/>
      <c r="N3" s="7">
        <f>IF(TRIM(P2)=TRIM(O2), N2+1, N2)</f>
        <v>1</v>
      </c>
      <c r="O3" s="7" t="s">
        <v>18</v>
      </c>
      <c r="P3" s="7" t="s">
        <v>21</v>
      </c>
      <c r="Q3" s="6"/>
      <c r="R3" s="6" t="s">
        <v>40</v>
      </c>
      <c r="S3" s="6"/>
      <c r="T3" s="6"/>
      <c r="U3" s="6"/>
      <c r="V3" s="6">
        <v>4</v>
      </c>
      <c r="W3" s="6"/>
      <c r="X3" s="6"/>
      <c r="Y3" s="6"/>
      <c r="Z3" s="6"/>
      <c r="AA3" s="6"/>
      <c r="AB3" s="6"/>
      <c r="AC3" s="6" t="str">
        <f t="shared" ref="AC3:AC5" si="0">AC2</f>
        <v>Driver Monitor</v>
      </c>
    </row>
    <row r="4" spans="1:29" ht="16" x14ac:dyDescent="0.2">
      <c r="A4" s="6" t="s">
        <v>43</v>
      </c>
      <c r="B4" s="7" t="s">
        <v>31</v>
      </c>
      <c r="C4" s="7" t="s">
        <v>20</v>
      </c>
      <c r="D4" s="7" t="s">
        <v>7</v>
      </c>
      <c r="E4" s="7" t="s">
        <v>25</v>
      </c>
      <c r="F4" s="7" t="s">
        <v>9</v>
      </c>
      <c r="G4" s="7" t="s">
        <v>9</v>
      </c>
      <c r="H4" s="7" t="s">
        <v>9</v>
      </c>
      <c r="I4" s="7" t="s">
        <v>9</v>
      </c>
      <c r="J4" s="7" t="s">
        <v>46</v>
      </c>
      <c r="K4" s="7" t="s">
        <v>9</v>
      </c>
      <c r="L4" s="7" t="b">
        <v>0</v>
      </c>
      <c r="M4" s="7"/>
      <c r="N4" s="7">
        <f>IF(TRIM(P3)=TRIM(O3), N3+1, N3)</f>
        <v>1</v>
      </c>
      <c r="O4" s="7" t="s">
        <v>22</v>
      </c>
      <c r="P4" s="7" t="s">
        <v>22</v>
      </c>
      <c r="Q4" s="6"/>
      <c r="R4" s="6" t="s">
        <v>40</v>
      </c>
      <c r="S4" s="6"/>
      <c r="T4" s="6"/>
      <c r="U4" s="6"/>
      <c r="V4" s="6">
        <v>4</v>
      </c>
      <c r="W4" s="6"/>
      <c r="X4" s="6"/>
      <c r="Y4" s="6"/>
      <c r="Z4" s="6"/>
      <c r="AA4" s="6"/>
      <c r="AB4" s="6"/>
      <c r="AC4" s="6" t="str">
        <f t="shared" si="0"/>
        <v>Driver Monitor</v>
      </c>
    </row>
    <row r="5" spans="1:29" ht="16" x14ac:dyDescent="0.2">
      <c r="A5" s="4" t="s">
        <v>43</v>
      </c>
      <c r="B5" s="5" t="s">
        <v>31</v>
      </c>
      <c r="C5" s="5" t="s">
        <v>20</v>
      </c>
      <c r="D5" s="5" t="s">
        <v>7</v>
      </c>
      <c r="E5" s="5" t="s">
        <v>25</v>
      </c>
      <c r="F5" s="5" t="s">
        <v>9</v>
      </c>
      <c r="G5" s="5" t="s">
        <v>9</v>
      </c>
      <c r="H5" s="5" t="s">
        <v>9</v>
      </c>
      <c r="I5" s="5" t="s">
        <v>9</v>
      </c>
      <c r="J5" s="5" t="s">
        <v>46</v>
      </c>
      <c r="K5" s="5" t="s">
        <v>9</v>
      </c>
      <c r="L5" s="5" t="b">
        <v>0</v>
      </c>
      <c r="M5" s="5"/>
      <c r="N5" s="5">
        <f>IF(TRIM(P4)=TRIM(O4), N4+1, N4)</f>
        <v>2</v>
      </c>
      <c r="O5" s="5" t="s">
        <v>19</v>
      </c>
      <c r="P5" s="5" t="s">
        <v>19</v>
      </c>
      <c r="Q5" s="4"/>
      <c r="R5" s="4" t="s">
        <v>40</v>
      </c>
      <c r="S5" s="4"/>
      <c r="T5" s="4"/>
      <c r="U5" s="4"/>
      <c r="V5" s="4">
        <v>4</v>
      </c>
      <c r="W5" s="4"/>
      <c r="X5" s="4"/>
      <c r="Y5" s="4"/>
      <c r="Z5" s="4"/>
      <c r="AA5" s="4"/>
      <c r="AB5" s="4"/>
      <c r="AC5" s="4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plotting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Lachlan Holliday</dc:creator>
  <cp:lastModifiedBy>Lachlan Holliday</cp:lastModifiedBy>
  <dcterms:created xsi:type="dcterms:W3CDTF">2026-02-24T06:36:44Z</dcterms:created>
  <dcterms:modified xsi:type="dcterms:W3CDTF">2026-06-24T02:06:35Z</dcterms:modified>
</cp:coreProperties>
</file>