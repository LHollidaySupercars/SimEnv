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mEnv\dataAcquisition\Motec_MP\"/>
    </mc:Choice>
  </mc:AlternateContent>
  <xr:revisionPtr revIDLastSave="0" documentId="13_ncr:1_{FE2EB979-147E-483A-9449-E227E7EF5F08}" xr6:coauthVersionLast="47" xr6:coauthVersionMax="47" xr10:uidLastSave="{00000000-0000-0000-0000-000000000000}"/>
  <bookViews>
    <workbookView xWindow="0" yWindow="360" windowWidth="23256" windowHeight="13896" xr2:uid="{98CBB8D2-373D-4831-8E1A-176399598E12}"/>
  </bookViews>
  <sheets>
    <sheet name="plott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 s="1"/>
  <c r="N5" i="1" s="1"/>
  <c r="N6" i="1" s="1"/>
  <c r="N7" i="1" s="1"/>
  <c r="N8" i="1" s="1"/>
  <c r="N9" i="1" s="1"/>
  <c r="N10" i="1" s="1"/>
  <c r="N11" i="1" s="1"/>
  <c r="N12" i="1" s="1"/>
  <c r="N13" i="1" s="1"/>
  <c r="N14" i="1" s="1"/>
  <c r="A4" i="1"/>
  <c r="A5" i="1"/>
  <c r="A6" i="1"/>
  <c r="A7" i="1"/>
  <c r="A8" i="1"/>
  <c r="A9" i="1"/>
  <c r="A10" i="1"/>
  <c r="A11" i="1"/>
  <c r="A12" i="1"/>
  <c r="A13" i="1"/>
  <c r="A14" i="1"/>
  <c r="A3" i="1"/>
</calcChain>
</file>

<file path=xl/sharedStrings.xml><?xml version="1.0" encoding="utf-8"?>
<sst xmlns="http://schemas.openxmlformats.org/spreadsheetml/2006/main" count="188" uniqueCount="51">
  <si>
    <t>mathFunction</t>
  </si>
  <si>
    <t>xAxis</t>
  </si>
  <si>
    <t>yAxis1</t>
  </si>
  <si>
    <t>yAxis2</t>
  </si>
  <si>
    <t>yAxis3</t>
  </si>
  <si>
    <t>yAxis4</t>
  </si>
  <si>
    <t>scatter</t>
  </si>
  <si>
    <t>max</t>
  </si>
  <si>
    <t>plotName</t>
  </si>
  <si>
    <t>Lap Number</t>
  </si>
  <si>
    <t>differentiator</t>
  </si>
  <si>
    <t>none</t>
  </si>
  <si>
    <t>plotType</t>
  </si>
  <si>
    <t>colours</t>
  </si>
  <si>
    <t>useSecondary</t>
  </si>
  <si>
    <t>plotFilter</t>
  </si>
  <si>
    <t>zAxis</t>
  </si>
  <si>
    <t>figure</t>
  </si>
  <si>
    <t>plotOrganization</t>
  </si>
  <si>
    <t>plotPos</t>
  </si>
  <si>
    <t>[1, 1]</t>
  </si>
  <si>
    <t>Drivers</t>
  </si>
  <si>
    <t>WIP braking gate</t>
  </si>
  <si>
    <t>brakingGateVCH</t>
  </si>
  <si>
    <t>entryGateVCH</t>
  </si>
  <si>
    <t>midCrnGateVCH</t>
  </si>
  <si>
    <t>exitGateVCH</t>
  </si>
  <si>
    <t>straightGateVCH</t>
  </si>
  <si>
    <t>brakeBiasVCH</t>
  </si>
  <si>
    <t>flagOnJacksWSVCH</t>
  </si>
  <si>
    <t>RL_SlipVCH</t>
  </si>
  <si>
    <t>RR_SlipVCH</t>
  </si>
  <si>
    <t>avgCRNVCH</t>
  </si>
  <si>
    <t>FL_LockTimerVCH</t>
  </si>
  <si>
    <t>FR_LockTimerVCH</t>
  </si>
  <si>
    <t>RL_LockTimerVCH</t>
  </si>
  <si>
    <t>mean non zero</t>
  </si>
  <si>
    <t>xLim</t>
  </si>
  <si>
    <t>yLim</t>
  </si>
  <si>
    <t>outliers</t>
  </si>
  <si>
    <t>outlierMethod</t>
  </si>
  <si>
    <t>outlierThreshold</t>
  </si>
  <si>
    <t>alignChannel</t>
  </si>
  <si>
    <t>alignWindow</t>
  </si>
  <si>
    <t>alignMethod</t>
  </si>
  <si>
    <t>alightMaxOffset</t>
  </si>
  <si>
    <t>notes</t>
  </si>
  <si>
    <t>PSD Analysis, PSD vs LT</t>
  </si>
  <si>
    <t>gated to low body movement</t>
  </si>
  <si>
    <t>rear slip vs acceleration</t>
  </si>
  <si>
    <t xml:space="preserve">tyre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</si>
</sst>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B1EEC-F5CB-4522-AB96-C6BC3CAD72FB}">
  <dimension ref="A1:Z17"/>
  <sheetViews>
    <sheetView tabSelected="1" zoomScale="55" zoomScaleNormal="55" workbookViewId="0">
      <selection activeCell="A18" sqref="A18"/>
    </sheetView>
  </sheetViews>
  <sheetFormatPr defaultRowHeight="14.4" x14ac:dyDescent="0.3"/>
  <cols>
    <col min="1" max="1" width="33.21875" customWidth="1"/>
    <col min="2" max="2" width="11.5546875" bestFit="1" customWidth="1"/>
    <col min="3" max="3" width="21.109375" customWidth="1"/>
    <col min="4" max="4" width="18" bestFit="1" customWidth="1"/>
    <col min="5" max="5" width="27.21875" bestFit="1" customWidth="1"/>
    <col min="10" max="10" width="17.21875" customWidth="1"/>
    <col min="11" max="11" width="18.21875" customWidth="1"/>
    <col min="12" max="12" width="20.21875" customWidth="1"/>
    <col min="13" max="13" width="13.5546875" customWidth="1"/>
    <col min="15" max="15" width="15.5546875" bestFit="1" customWidth="1"/>
    <col min="19" max="19" width="10" bestFit="1" customWidth="1"/>
    <col min="20" max="20" width="17.33203125" bestFit="1" customWidth="1"/>
    <col min="21" max="21" width="20.109375" bestFit="1" customWidth="1"/>
    <col min="22" max="22" width="16.6640625" bestFit="1" customWidth="1"/>
    <col min="23" max="23" width="15.6640625" bestFit="1" customWidth="1"/>
    <col min="24" max="24" width="15.44140625" bestFit="1" customWidth="1"/>
    <col min="25" max="25" width="19.5546875" bestFit="1" customWidth="1"/>
    <col min="26" max="26" width="28.21875" bestFit="1" customWidth="1"/>
  </cols>
  <sheetData>
    <row r="1" spans="1:26" s="5" customFormat="1" x14ac:dyDescent="0.3">
      <c r="A1" s="3" t="s">
        <v>8</v>
      </c>
      <c r="B1" s="3" t="s">
        <v>12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16</v>
      </c>
      <c r="J1" s="3" t="s">
        <v>13</v>
      </c>
      <c r="K1" s="3" t="s">
        <v>10</v>
      </c>
      <c r="L1" s="3" t="s">
        <v>14</v>
      </c>
      <c r="M1" s="3" t="s">
        <v>15</v>
      </c>
      <c r="N1" s="4" t="s">
        <v>17</v>
      </c>
      <c r="O1" s="4" t="s">
        <v>18</v>
      </c>
      <c r="P1" s="4" t="s">
        <v>19</v>
      </c>
      <c r="Q1" s="4" t="s">
        <v>37</v>
      </c>
      <c r="R1" s="4" t="s">
        <v>38</v>
      </c>
      <c r="S1" s="4" t="s">
        <v>39</v>
      </c>
      <c r="T1" s="4" t="s">
        <v>40</v>
      </c>
      <c r="U1" s="4" t="s">
        <v>41</v>
      </c>
      <c r="V1" s="4" t="s">
        <v>42</v>
      </c>
      <c r="W1" s="4" t="s">
        <v>43</v>
      </c>
      <c r="X1" s="4" t="s">
        <v>44</v>
      </c>
      <c r="Y1" s="4" t="s">
        <v>45</v>
      </c>
      <c r="Z1" s="4" t="s">
        <v>46</v>
      </c>
    </row>
    <row r="2" spans="1:26" x14ac:dyDescent="0.3">
      <c r="A2" s="1" t="s">
        <v>22</v>
      </c>
      <c r="B2" s="1" t="s">
        <v>6</v>
      </c>
      <c r="C2" s="1" t="s">
        <v>36</v>
      </c>
      <c r="D2" s="1" t="s">
        <v>9</v>
      </c>
      <c r="E2" s="1" t="s">
        <v>23</v>
      </c>
      <c r="F2" s="1" t="s">
        <v>11</v>
      </c>
      <c r="G2" s="1" t="s">
        <v>11</v>
      </c>
      <c r="H2" s="1" t="s">
        <v>11</v>
      </c>
      <c r="I2" s="1" t="s">
        <v>11</v>
      </c>
      <c r="J2" s="1" t="s">
        <v>21</v>
      </c>
      <c r="K2" s="1" t="s">
        <v>11</v>
      </c>
      <c r="L2" s="1" t="b">
        <v>0</v>
      </c>
      <c r="M2" s="1"/>
      <c r="N2" s="1">
        <v>1</v>
      </c>
      <c r="O2" s="1" t="s">
        <v>20</v>
      </c>
      <c r="P2" s="1" t="s">
        <v>20</v>
      </c>
    </row>
    <row r="3" spans="1:26" x14ac:dyDescent="0.3">
      <c r="A3" s="1" t="str">
        <f>_xlfn.CONCAT("WIP ", E3)</f>
        <v>WIP entryGateVCH</v>
      </c>
      <c r="B3" s="1" t="s">
        <v>6</v>
      </c>
      <c r="C3" s="1" t="s">
        <v>36</v>
      </c>
      <c r="D3" s="1" t="s">
        <v>9</v>
      </c>
      <c r="E3" s="1" t="s">
        <v>24</v>
      </c>
      <c r="F3" s="1" t="s">
        <v>11</v>
      </c>
      <c r="G3" s="1" t="s">
        <v>11</v>
      </c>
      <c r="H3" s="1" t="s">
        <v>11</v>
      </c>
      <c r="I3" s="1" t="s">
        <v>11</v>
      </c>
      <c r="J3" s="1" t="s">
        <v>21</v>
      </c>
      <c r="K3" s="1" t="s">
        <v>11</v>
      </c>
      <c r="L3" s="1" t="b">
        <v>0</v>
      </c>
      <c r="M3" s="1"/>
      <c r="N3" s="1">
        <f t="shared" ref="N3:N14" si="0">IF(TRIM(P2)=TRIM(O2), N2+1, N2)</f>
        <v>2</v>
      </c>
      <c r="O3" s="1" t="s">
        <v>20</v>
      </c>
      <c r="P3" s="1" t="s">
        <v>20</v>
      </c>
    </row>
    <row r="4" spans="1:26" x14ac:dyDescent="0.3">
      <c r="A4" s="1" t="str">
        <f t="shared" ref="A4:A14" si="1">_xlfn.CONCAT("WIP ", E4)</f>
        <v>WIP midCrnGateVCH</v>
      </c>
      <c r="B4" s="1" t="s">
        <v>6</v>
      </c>
      <c r="C4" s="1" t="s">
        <v>36</v>
      </c>
      <c r="D4" s="1" t="s">
        <v>9</v>
      </c>
      <c r="E4" s="1" t="s">
        <v>25</v>
      </c>
      <c r="F4" s="1" t="s">
        <v>11</v>
      </c>
      <c r="G4" s="1" t="s">
        <v>11</v>
      </c>
      <c r="H4" s="1" t="s">
        <v>11</v>
      </c>
      <c r="I4" s="1" t="s">
        <v>11</v>
      </c>
      <c r="J4" s="1" t="s">
        <v>21</v>
      </c>
      <c r="K4" s="1" t="s">
        <v>11</v>
      </c>
      <c r="L4" s="1" t="b">
        <v>0</v>
      </c>
      <c r="M4" s="1"/>
      <c r="N4" s="1">
        <f t="shared" si="0"/>
        <v>3</v>
      </c>
      <c r="O4" s="1" t="s">
        <v>20</v>
      </c>
      <c r="P4" s="1" t="s">
        <v>20</v>
      </c>
    </row>
    <row r="5" spans="1:26" x14ac:dyDescent="0.3">
      <c r="A5" s="1" t="str">
        <f t="shared" si="1"/>
        <v>WIP exitGateVCH</v>
      </c>
      <c r="B5" s="1" t="s">
        <v>6</v>
      </c>
      <c r="C5" s="1" t="s">
        <v>36</v>
      </c>
      <c r="D5" s="1" t="s">
        <v>9</v>
      </c>
      <c r="E5" s="1" t="s">
        <v>26</v>
      </c>
      <c r="F5" s="1" t="s">
        <v>11</v>
      </c>
      <c r="G5" s="1" t="s">
        <v>11</v>
      </c>
      <c r="H5" s="1" t="s">
        <v>11</v>
      </c>
      <c r="I5" s="1" t="s">
        <v>11</v>
      </c>
      <c r="J5" s="1" t="s">
        <v>21</v>
      </c>
      <c r="K5" s="1" t="s">
        <v>11</v>
      </c>
      <c r="L5" s="1" t="b">
        <v>0</v>
      </c>
      <c r="M5" s="1"/>
      <c r="N5" s="1">
        <f t="shared" si="0"/>
        <v>4</v>
      </c>
      <c r="O5" s="1" t="s">
        <v>20</v>
      </c>
      <c r="P5" s="1" t="s">
        <v>20</v>
      </c>
    </row>
    <row r="6" spans="1:26" x14ac:dyDescent="0.3">
      <c r="A6" s="1" t="str">
        <f t="shared" si="1"/>
        <v>WIP straightGateVCH</v>
      </c>
      <c r="B6" s="1" t="s">
        <v>6</v>
      </c>
      <c r="C6" s="1" t="s">
        <v>36</v>
      </c>
      <c r="D6" s="1" t="s">
        <v>9</v>
      </c>
      <c r="E6" s="1" t="s">
        <v>27</v>
      </c>
      <c r="F6" s="1" t="s">
        <v>11</v>
      </c>
      <c r="G6" s="1" t="s">
        <v>11</v>
      </c>
      <c r="H6" s="1" t="s">
        <v>11</v>
      </c>
      <c r="I6" s="1" t="s">
        <v>11</v>
      </c>
      <c r="J6" s="1" t="s">
        <v>21</v>
      </c>
      <c r="K6" s="1" t="s">
        <v>11</v>
      </c>
      <c r="L6" s="1" t="b">
        <v>0</v>
      </c>
      <c r="M6" s="1"/>
      <c r="N6" s="1">
        <f t="shared" si="0"/>
        <v>5</v>
      </c>
      <c r="O6" s="1" t="s">
        <v>20</v>
      </c>
      <c r="P6" s="1" t="s">
        <v>20</v>
      </c>
    </row>
    <row r="7" spans="1:26" x14ac:dyDescent="0.3">
      <c r="A7" s="1" t="str">
        <f t="shared" si="1"/>
        <v>WIP brakeBiasVCH</v>
      </c>
      <c r="B7" s="1" t="s">
        <v>6</v>
      </c>
      <c r="C7" s="1" t="s">
        <v>36</v>
      </c>
      <c r="D7" s="1" t="s">
        <v>9</v>
      </c>
      <c r="E7" s="1" t="s">
        <v>28</v>
      </c>
      <c r="F7" s="1" t="s">
        <v>11</v>
      </c>
      <c r="G7" s="1" t="s">
        <v>11</v>
      </c>
      <c r="H7" s="1" t="s">
        <v>11</v>
      </c>
      <c r="I7" s="1" t="s">
        <v>11</v>
      </c>
      <c r="J7" s="1" t="s">
        <v>21</v>
      </c>
      <c r="K7" s="1" t="s">
        <v>11</v>
      </c>
      <c r="L7" s="1" t="b">
        <v>0</v>
      </c>
      <c r="M7" s="1"/>
      <c r="N7" s="1">
        <f t="shared" si="0"/>
        <v>6</v>
      </c>
      <c r="O7" s="1" t="s">
        <v>20</v>
      </c>
      <c r="P7" s="1" t="s">
        <v>20</v>
      </c>
    </row>
    <row r="8" spans="1:26" x14ac:dyDescent="0.3">
      <c r="A8" s="1" t="str">
        <f t="shared" si="1"/>
        <v>WIP flagOnJacksWSVCH</v>
      </c>
      <c r="B8" s="1" t="s">
        <v>6</v>
      </c>
      <c r="C8" s="1" t="s">
        <v>36</v>
      </c>
      <c r="D8" s="1" t="s">
        <v>9</v>
      </c>
      <c r="E8" s="1" t="s">
        <v>29</v>
      </c>
      <c r="F8" s="1" t="s">
        <v>11</v>
      </c>
      <c r="G8" s="1" t="s">
        <v>11</v>
      </c>
      <c r="H8" s="1" t="s">
        <v>11</v>
      </c>
      <c r="I8" s="1" t="s">
        <v>11</v>
      </c>
      <c r="J8" s="1" t="s">
        <v>21</v>
      </c>
      <c r="K8" s="1" t="s">
        <v>11</v>
      </c>
      <c r="L8" s="1" t="b">
        <v>0</v>
      </c>
      <c r="M8" s="1"/>
      <c r="N8" s="1">
        <f t="shared" si="0"/>
        <v>7</v>
      </c>
      <c r="O8" s="1" t="s">
        <v>20</v>
      </c>
      <c r="P8" s="1" t="s">
        <v>20</v>
      </c>
    </row>
    <row r="9" spans="1:26" x14ac:dyDescent="0.3">
      <c r="A9" s="1" t="str">
        <f t="shared" si="1"/>
        <v>WIP RL_SlipVCH</v>
      </c>
      <c r="B9" s="1" t="s">
        <v>6</v>
      </c>
      <c r="C9" s="1" t="s">
        <v>36</v>
      </c>
      <c r="D9" s="1" t="s">
        <v>9</v>
      </c>
      <c r="E9" s="1" t="s">
        <v>30</v>
      </c>
      <c r="F9" s="1" t="s">
        <v>11</v>
      </c>
      <c r="G9" s="1" t="s">
        <v>11</v>
      </c>
      <c r="H9" s="1" t="s">
        <v>11</v>
      </c>
      <c r="I9" s="1" t="s">
        <v>11</v>
      </c>
      <c r="J9" s="1" t="s">
        <v>21</v>
      </c>
      <c r="K9" s="1" t="s">
        <v>11</v>
      </c>
      <c r="L9" s="1" t="b">
        <v>0</v>
      </c>
      <c r="M9" s="1"/>
      <c r="N9" s="1">
        <f t="shared" si="0"/>
        <v>8</v>
      </c>
      <c r="O9" s="1" t="s">
        <v>20</v>
      </c>
      <c r="P9" s="1" t="s">
        <v>20</v>
      </c>
    </row>
    <row r="10" spans="1:26" x14ac:dyDescent="0.3">
      <c r="A10" s="1" t="str">
        <f t="shared" si="1"/>
        <v>WIP RR_SlipVCH</v>
      </c>
      <c r="B10" s="1" t="s">
        <v>6</v>
      </c>
      <c r="C10" s="1" t="s">
        <v>36</v>
      </c>
      <c r="D10" s="1" t="s">
        <v>9</v>
      </c>
      <c r="E10" s="1" t="s">
        <v>31</v>
      </c>
      <c r="F10" s="1" t="s">
        <v>11</v>
      </c>
      <c r="G10" s="1" t="s">
        <v>11</v>
      </c>
      <c r="H10" s="1" t="s">
        <v>11</v>
      </c>
      <c r="I10" s="1" t="s">
        <v>11</v>
      </c>
      <c r="J10" s="1" t="s">
        <v>21</v>
      </c>
      <c r="K10" s="1" t="s">
        <v>11</v>
      </c>
      <c r="L10" s="1" t="b">
        <v>0</v>
      </c>
      <c r="M10" s="1"/>
      <c r="N10" s="1">
        <f t="shared" si="0"/>
        <v>9</v>
      </c>
      <c r="O10" s="1" t="s">
        <v>20</v>
      </c>
      <c r="P10" s="1" t="s">
        <v>20</v>
      </c>
    </row>
    <row r="11" spans="1:26" x14ac:dyDescent="0.3">
      <c r="A11" s="1" t="str">
        <f t="shared" si="1"/>
        <v>WIP avgCRNVCH</v>
      </c>
      <c r="B11" s="1" t="s">
        <v>6</v>
      </c>
      <c r="C11" s="1" t="s">
        <v>36</v>
      </c>
      <c r="D11" s="1" t="s">
        <v>9</v>
      </c>
      <c r="E11" s="1" t="s">
        <v>32</v>
      </c>
      <c r="F11" s="1" t="s">
        <v>11</v>
      </c>
      <c r="G11" s="1" t="s">
        <v>11</v>
      </c>
      <c r="H11" s="1" t="s">
        <v>11</v>
      </c>
      <c r="I11" s="1" t="s">
        <v>11</v>
      </c>
      <c r="J11" s="1" t="s">
        <v>21</v>
      </c>
      <c r="K11" s="1" t="s">
        <v>11</v>
      </c>
      <c r="L11" s="1" t="b">
        <v>0</v>
      </c>
      <c r="M11" s="1"/>
      <c r="N11" s="1">
        <f t="shared" si="0"/>
        <v>10</v>
      </c>
      <c r="O11" s="1" t="s">
        <v>20</v>
      </c>
      <c r="P11" s="1" t="s">
        <v>20</v>
      </c>
    </row>
    <row r="12" spans="1:26" x14ac:dyDescent="0.3">
      <c r="A12" s="1" t="str">
        <f t="shared" si="1"/>
        <v>WIP FL_LockTimerVCH</v>
      </c>
      <c r="B12" s="1" t="s">
        <v>6</v>
      </c>
      <c r="C12" s="1" t="s">
        <v>7</v>
      </c>
      <c r="D12" s="1" t="s">
        <v>9</v>
      </c>
      <c r="E12" s="1" t="s">
        <v>33</v>
      </c>
      <c r="F12" s="1" t="s">
        <v>11</v>
      </c>
      <c r="G12" s="1" t="s">
        <v>11</v>
      </c>
      <c r="H12" s="1" t="s">
        <v>11</v>
      </c>
      <c r="I12" s="1" t="s">
        <v>11</v>
      </c>
      <c r="J12" s="1" t="s">
        <v>21</v>
      </c>
      <c r="K12" s="1" t="s">
        <v>11</v>
      </c>
      <c r="L12" s="1" t="b">
        <v>0</v>
      </c>
      <c r="M12" s="1"/>
      <c r="N12" s="1">
        <f t="shared" si="0"/>
        <v>11</v>
      </c>
      <c r="O12" s="1" t="s">
        <v>20</v>
      </c>
      <c r="P12" s="1" t="s">
        <v>20</v>
      </c>
    </row>
    <row r="13" spans="1:26" x14ac:dyDescent="0.3">
      <c r="A13" s="1" t="str">
        <f t="shared" si="1"/>
        <v>WIP FR_LockTimerVCH</v>
      </c>
      <c r="B13" s="1" t="s">
        <v>6</v>
      </c>
      <c r="C13" s="1" t="s">
        <v>7</v>
      </c>
      <c r="D13" s="1" t="s">
        <v>9</v>
      </c>
      <c r="E13" s="1" t="s">
        <v>34</v>
      </c>
      <c r="F13" s="1" t="s">
        <v>11</v>
      </c>
      <c r="G13" s="1" t="s">
        <v>11</v>
      </c>
      <c r="H13" s="1" t="s">
        <v>11</v>
      </c>
      <c r="I13" s="1" t="s">
        <v>11</v>
      </c>
      <c r="J13" s="1" t="s">
        <v>21</v>
      </c>
      <c r="K13" s="1" t="s">
        <v>11</v>
      </c>
      <c r="L13" s="1" t="b">
        <v>0</v>
      </c>
      <c r="M13" s="1"/>
      <c r="N13" s="1">
        <f t="shared" si="0"/>
        <v>12</v>
      </c>
      <c r="O13" s="1" t="s">
        <v>20</v>
      </c>
      <c r="P13" s="1" t="s">
        <v>20</v>
      </c>
    </row>
    <row r="14" spans="1:26" x14ac:dyDescent="0.3">
      <c r="A14" s="1" t="str">
        <f t="shared" si="1"/>
        <v>WIP RL_LockTimerVCH</v>
      </c>
      <c r="B14" s="1" t="s">
        <v>6</v>
      </c>
      <c r="C14" s="1" t="s">
        <v>7</v>
      </c>
      <c r="D14" s="1" t="s">
        <v>9</v>
      </c>
      <c r="E14" s="1" t="s">
        <v>35</v>
      </c>
      <c r="F14" s="1" t="s">
        <v>11</v>
      </c>
      <c r="G14" s="1" t="s">
        <v>11</v>
      </c>
      <c r="H14" s="1" t="s">
        <v>11</v>
      </c>
      <c r="I14" s="1" t="s">
        <v>11</v>
      </c>
      <c r="J14" s="1" t="s">
        <v>21</v>
      </c>
      <c r="K14" s="1" t="s">
        <v>11</v>
      </c>
      <c r="L14" s="1" t="b">
        <v>0</v>
      </c>
      <c r="M14" s="1"/>
      <c r="N14" s="1">
        <f t="shared" si="0"/>
        <v>13</v>
      </c>
      <c r="O14" s="1" t="s">
        <v>20</v>
      </c>
      <c r="P14" s="1" t="s">
        <v>20</v>
      </c>
    </row>
    <row r="15" spans="1:26" x14ac:dyDescent="0.3">
      <c r="A15" t="s">
        <v>47</v>
      </c>
      <c r="B15" s="1" t="s">
        <v>6</v>
      </c>
      <c r="Z15" t="s">
        <v>48</v>
      </c>
    </row>
    <row r="16" spans="1:26" x14ac:dyDescent="0.3">
      <c r="A16" t="s">
        <v>49</v>
      </c>
    </row>
    <row r="17" spans="1:2" x14ac:dyDescent="0.3">
      <c r="A17" t="s">
        <v>50</v>
      </c>
      <c r="B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 Holliday</dc:creator>
  <cp:lastModifiedBy>Lachlan Holliday</cp:lastModifiedBy>
  <dcterms:created xsi:type="dcterms:W3CDTF">2026-02-24T06:36:44Z</dcterms:created>
  <dcterms:modified xsi:type="dcterms:W3CDTF">2026-03-09T02:25:48Z</dcterms:modified>
</cp:coreProperties>
</file>