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alias\"/>
    </mc:Choice>
  </mc:AlternateContent>
  <xr:revisionPtr revIDLastSave="0" documentId="13_ncr:1_{235D4B47-CDF5-4FC2-B925-F7B025E3DB7F}" xr6:coauthVersionLast="47" xr6:coauthVersionMax="47" xr10:uidLastSave="{00000000-0000-0000-0000-000000000000}"/>
  <bookViews>
    <workbookView xWindow="57480" yWindow="660" windowWidth="29040" windowHeight="15720" xr2:uid="{F4E9EF79-5CED-499A-8721-7FE03FA878BA}"/>
  </bookViews>
  <sheets>
    <sheet name="driverAlias" sheetId="1" r:id="rId1"/>
    <sheet name="teamLooku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E43" i="1" s="1"/>
  <c r="I16" i="1"/>
  <c r="I17" i="1"/>
  <c r="E45" i="1" s="1"/>
  <c r="I18" i="1"/>
  <c r="E46" i="1" s="1"/>
  <c r="I19" i="1"/>
  <c r="E47" i="1" s="1"/>
  <c r="I20" i="1"/>
  <c r="E48" i="1" s="1"/>
  <c r="I21" i="1"/>
  <c r="E49" i="1" s="1"/>
  <c r="I22" i="1"/>
  <c r="E50" i="1" s="1"/>
  <c r="I23" i="1"/>
  <c r="E51" i="1" s="1"/>
  <c r="I24" i="1"/>
  <c r="E52" i="1" s="1"/>
  <c r="I25" i="1"/>
  <c r="E53" i="1" s="1"/>
  <c r="I2" i="1"/>
  <c r="E56" i="1"/>
  <c r="E44" i="1"/>
  <c r="E54" i="1"/>
  <c r="E55" i="1"/>
  <c r="E57" i="1"/>
</calcChain>
</file>

<file path=xl/sharedStrings.xml><?xml version="1.0" encoding="utf-8"?>
<sst xmlns="http://schemas.openxmlformats.org/spreadsheetml/2006/main" count="934" uniqueCount="250">
  <si>
    <t>Unique Drivers IDs</t>
  </si>
  <si>
    <t>NUM</t>
  </si>
  <si>
    <t>DRV</t>
  </si>
  <si>
    <t>SPN_TM</t>
  </si>
  <si>
    <t>TM</t>
  </si>
  <si>
    <t>TM_TLA</t>
  </si>
  <si>
    <t>MAN</t>
  </si>
  <si>
    <t>38-RG, GEN3 Ford</t>
  </si>
  <si>
    <t>Chaz Mostert</t>
  </si>
  <si>
    <t>Mobile 1 Optus Racing</t>
  </si>
  <si>
    <t>Ford</t>
  </si>
  <si>
    <t>FRD</t>
  </si>
  <si>
    <t>6-CW, GEN3 Ford</t>
  </si>
  <si>
    <t>Ryan Wood</t>
  </si>
  <si>
    <t>Mobile 1 Truck Racing</t>
  </si>
  <si>
    <t>96-MJ, GEN3 Toyota</t>
  </si>
  <si>
    <t>Aaron Cameron</t>
  </si>
  <si>
    <t>Liqui Moly BHLAST Racing</t>
  </si>
  <si>
    <t>Blanchard Racing Team</t>
  </si>
  <si>
    <t>BRT</t>
  </si>
  <si>
    <t>Toyota</t>
  </si>
  <si>
    <t>TOY</t>
  </si>
  <si>
    <t>17-BK, GEN3 Ford</t>
  </si>
  <si>
    <t>Jack Le Brocq</t>
  </si>
  <si>
    <t>Sherrin Rentals Racing</t>
  </si>
  <si>
    <t>Matt Stone Racing</t>
  </si>
  <si>
    <t>MSR</t>
  </si>
  <si>
    <t>55-TR, GEN3 Ford</t>
  </si>
  <si>
    <t>Cameron Waters</t>
  </si>
  <si>
    <t>Monster Energy Racing</t>
  </si>
  <si>
    <t>Tickford Racing</t>
  </si>
  <si>
    <t>8-AH, GEN3 Toyota</t>
  </si>
  <si>
    <t>James Golding</t>
  </si>
  <si>
    <t>Cooldrive Dacing</t>
  </si>
  <si>
    <t>9-JS, GEN3 GM</t>
  </si>
  <si>
    <t>Andre Heimgartner</t>
  </si>
  <si>
    <t>R&amp;J Batteries Racing</t>
  </si>
  <si>
    <t>Brad Jones Racing</t>
  </si>
  <si>
    <t>BJR</t>
  </si>
  <si>
    <t>18-ADP, GEN3 GM</t>
  </si>
  <si>
    <t>Jobe Stewart</t>
  </si>
  <si>
    <t>Erebus Motorsport</t>
  </si>
  <si>
    <t>26-KA, GEN3 Ford</t>
  </si>
  <si>
    <t>Zach Bates</t>
  </si>
  <si>
    <t>Bendix Racing</t>
  </si>
  <si>
    <t>99-CM, GEN3 GM</t>
  </si>
  <si>
    <t>Jackson Walls</t>
  </si>
  <si>
    <t>Objective Racing</t>
  </si>
  <si>
    <t>4-JLB, GEN3 GM</t>
  </si>
  <si>
    <t>Cameron Hill</t>
  </si>
  <si>
    <t>Dare Iced Coffee Racing</t>
  </si>
  <si>
    <t>10-ZB, GEN3 GM</t>
  </si>
  <si>
    <t>Brodie Kostecki</t>
  </si>
  <si>
    <t>Shell V-Power Racing Team</t>
  </si>
  <si>
    <t>Dick Johnson Racing</t>
  </si>
  <si>
    <t>DJR</t>
  </si>
  <si>
    <t>20-DR, GEN3 GM</t>
  </si>
  <si>
    <t xml:space="preserve">Anton De Pasquale </t>
  </si>
  <si>
    <t>DeWalt Racing</t>
  </si>
  <si>
    <t>Team 18</t>
  </si>
  <si>
    <t>T18</t>
  </si>
  <si>
    <t>1-CM, GEN3 Toyota</t>
  </si>
  <si>
    <t>Matthew Payne</t>
  </si>
  <si>
    <t>Penrite Racing</t>
  </si>
  <si>
    <t>Grove Racing</t>
  </si>
  <si>
    <t>2-RW, GEN3 Toyota</t>
  </si>
  <si>
    <t>David Reynolds</t>
  </si>
  <si>
    <t>Snowy River Caravans Racing</t>
  </si>
  <si>
    <t>3-AC, GEN3 Ford</t>
  </si>
  <si>
    <t>Kai Allen</t>
  </si>
  <si>
    <t>19-MP, GEN3 Ford</t>
  </si>
  <si>
    <t>Jayden Ojeda</t>
  </si>
  <si>
    <t>Premiair Nulon Racing</t>
  </si>
  <si>
    <t>PAR</t>
  </si>
  <si>
    <t>14-CH, GEN3 Toyota</t>
  </si>
  <si>
    <t>Rylan Gray</t>
  </si>
  <si>
    <t>31-JO, GEN3 GM</t>
  </si>
  <si>
    <t>Thomas Randle</t>
  </si>
  <si>
    <t>Castrol Racing</t>
  </si>
  <si>
    <t>777-DF, GEN3 GM</t>
  </si>
  <si>
    <t>Broc Feeney</t>
  </si>
  <si>
    <t>Red Bull Ampol Racing</t>
  </si>
  <si>
    <t>T8R</t>
  </si>
  <si>
    <t>88-BF, GEN3 Ford</t>
  </si>
  <si>
    <t>Macauley Jones</t>
  </si>
  <si>
    <t>Alphetheta Racing</t>
  </si>
  <si>
    <t>7-JG, GEN3 Ford</t>
  </si>
  <si>
    <t>Cooper Murray</t>
  </si>
  <si>
    <t>TotalEnergies Racing</t>
  </si>
  <si>
    <t>11-JW, GEN3 Ford</t>
  </si>
  <si>
    <t>Declan Fraser</t>
  </si>
  <si>
    <t>888-WB, GEN3 Ford</t>
  </si>
  <si>
    <t>Will Brown</t>
  </si>
  <si>
    <t>Number</t>
  </si>
  <si>
    <t>MAN_TLA</t>
  </si>
  <si>
    <t>Alias1</t>
  </si>
  <si>
    <t>DRV_TLA</t>
  </si>
  <si>
    <t>Alias2</t>
  </si>
  <si>
    <t>Alias3</t>
  </si>
  <si>
    <t>Alias4</t>
  </si>
  <si>
    <t>Alias5</t>
  </si>
  <si>
    <t>Alias6</t>
  </si>
  <si>
    <t>Alias7</t>
  </si>
  <si>
    <t>Alias8</t>
  </si>
  <si>
    <t>Alias9</t>
  </si>
  <si>
    <t>Alias10</t>
  </si>
  <si>
    <t>Alias11</t>
  </si>
  <si>
    <t>Alias12</t>
  </si>
  <si>
    <t>Alias13</t>
  </si>
  <si>
    <t>Alias14</t>
  </si>
  <si>
    <t>Alias15</t>
  </si>
  <si>
    <t>Alias16</t>
  </si>
  <si>
    <t>Alias17</t>
  </si>
  <si>
    <t>Alias18</t>
  </si>
  <si>
    <t>Alias19</t>
  </si>
  <si>
    <t>Alias20</t>
  </si>
  <si>
    <t>Andre Heimgartner, BJR019</t>
  </si>
  <si>
    <t>temp</t>
  </si>
  <si>
    <t>Cam Waters, TR28</t>
  </si>
  <si>
    <t>Thomas Randle, TR26</t>
  </si>
  <si>
    <t>Chaz Mostert, WR-032</t>
  </si>
  <si>
    <t>Ryan Wood, WR-030</t>
  </si>
  <si>
    <t>Jayden Ojeda, 888A-064</t>
  </si>
  <si>
    <t>Will Brown, 888A-073</t>
  </si>
  <si>
    <t>Jackson Walls, 888A-074</t>
  </si>
  <si>
    <t>Broc Feeney, 888A-072</t>
  </si>
  <si>
    <t>Cooper Murray, EM06</t>
  </si>
  <si>
    <t>Rylan Gray, DJRS08-MR</t>
  </si>
  <si>
    <t>Zach Bates, MSR-006</t>
  </si>
  <si>
    <t>Jobe Stewart, EM07</t>
  </si>
  <si>
    <t>Cameron Hill, BJR020</t>
  </si>
  <si>
    <t>Declan Fraser, 888A-062</t>
  </si>
  <si>
    <t>Jack Le Brocq, MSR-005</t>
  </si>
  <si>
    <t>Brodie Kostecki, DJRS09-MR</t>
  </si>
  <si>
    <t>Macauley Jones, BJR018</t>
  </si>
  <si>
    <t>Anton De Pasquale, T18-004</t>
  </si>
  <si>
    <t>David Reynolds, T18-003</t>
  </si>
  <si>
    <t>Kai Allen, GR-03</t>
  </si>
  <si>
    <t>Aaron Cameron, BRT-001</t>
  </si>
  <si>
    <t>James Golding, BRT-002</t>
  </si>
  <si>
    <t>Matt Payne, GR02</t>
  </si>
  <si>
    <t>CLR</t>
  </si>
  <si>
    <t>[166, 174, 234]</t>
  </si>
  <si>
    <t>[102, 104, 107]</t>
  </si>
  <si>
    <t>[140, 216, 154]</t>
  </si>
  <si>
    <t>[193, 175, 122]</t>
  </si>
  <si>
    <t>[173, 152, 164]</t>
  </si>
  <si>
    <t>[249, 237, 189]</t>
  </si>
  <si>
    <t>[244, 202, 124]</t>
  </si>
  <si>
    <t>[158, 102, 122]</t>
  </si>
  <si>
    <t>[152, 109, 191]</t>
  </si>
  <si>
    <t>Chevrolet</t>
  </si>
  <si>
    <t>Cam Hill</t>
  </si>
  <si>
    <t>Cam Waters</t>
  </si>
  <si>
    <t>Jacko</t>
  </si>
  <si>
    <t>Jamie</t>
  </si>
  <si>
    <t>Matt Payne</t>
  </si>
  <si>
    <t>Chaz_Mostert</t>
  </si>
  <si>
    <t>Ryan_Wood</t>
  </si>
  <si>
    <t>Aaron_Cameron</t>
  </si>
  <si>
    <t>Cameron_Waters</t>
  </si>
  <si>
    <t>James_Golding</t>
  </si>
  <si>
    <t>Andre_Heimgartner</t>
  </si>
  <si>
    <t>Jobe_Stewart</t>
  </si>
  <si>
    <t>Zach_Bates</t>
  </si>
  <si>
    <t>Jackson_Walls</t>
  </si>
  <si>
    <t>Cameron_Hill</t>
  </si>
  <si>
    <t>Brodie_Kostecki</t>
  </si>
  <si>
    <t xml:space="preserve">Anton_De_Pasquale </t>
  </si>
  <si>
    <t>Matthew_Payne</t>
  </si>
  <si>
    <t>David_Reynolds</t>
  </si>
  <si>
    <t>Kai_Allen</t>
  </si>
  <si>
    <t>Jayden_Ojeda</t>
  </si>
  <si>
    <t>Rylan_Gray</t>
  </si>
  <si>
    <t>Thomas_Randle</t>
  </si>
  <si>
    <t>Broc_Feeney</t>
  </si>
  <si>
    <t>Macauley_Jones</t>
  </si>
  <si>
    <t>Cooper_Murray</t>
  </si>
  <si>
    <t>Declan_Fraser</t>
  </si>
  <si>
    <t>Will_Brown</t>
  </si>
  <si>
    <t>CHV</t>
  </si>
  <si>
    <t>MOS</t>
  </si>
  <si>
    <t>CAM</t>
  </si>
  <si>
    <t>BRO</t>
  </si>
  <si>
    <t>WAT</t>
  </si>
  <si>
    <t>GOL</t>
  </si>
  <si>
    <t>HEI</t>
  </si>
  <si>
    <t>STE</t>
  </si>
  <si>
    <t>BAT</t>
  </si>
  <si>
    <t>WAL</t>
  </si>
  <si>
    <t>HIL</t>
  </si>
  <si>
    <t>KOS</t>
  </si>
  <si>
    <t>REY</t>
  </si>
  <si>
    <t>OJE</t>
  </si>
  <si>
    <t>GRA</t>
  </si>
  <si>
    <t>RAN</t>
  </si>
  <si>
    <t>JON</t>
  </si>
  <si>
    <t>MUR</t>
  </si>
  <si>
    <t>FRA</t>
  </si>
  <si>
    <t>[255, 088, 155]</t>
  </si>
  <si>
    <t>[096, 099, 083]</t>
  </si>
  <si>
    <t>[017, 007, 056]</t>
  </si>
  <si>
    <t>[053, 030, 003]</t>
  </si>
  <si>
    <t>[073, 019, 055]</t>
  </si>
  <si>
    <t>[037, 040, 038]</t>
  </si>
  <si>
    <t>[020, 013, 022]</t>
  </si>
  <si>
    <t>[028, 018, 015]</t>
  </si>
  <si>
    <t>[085, 204, 200]</t>
  </si>
  <si>
    <t>[097, 109, 112]</t>
  </si>
  <si>
    <t>[020, 104, 168]</t>
  </si>
  <si>
    <t>[114, 102, 010]</t>
  </si>
  <si>
    <t>[107, 046, 140]</t>
  </si>
  <si>
    <t>[101, 046, 178]</t>
  </si>
  <si>
    <t>[021, 073, 018]</t>
  </si>
  <si>
    <t>TLA</t>
  </si>
  <si>
    <t>WTR</t>
  </si>
  <si>
    <t>PremiAir Racing</t>
  </si>
  <si>
    <t>GRV</t>
  </si>
  <si>
    <t>TCK</t>
  </si>
  <si>
    <t>Triple Eight Race Engineering</t>
  </si>
  <si>
    <t>Walkinshaw TWG Racing</t>
  </si>
  <si>
    <t>SCT Motorsport</t>
  </si>
  <si>
    <t>SCT</t>
  </si>
  <si>
    <t>Brad Jones Racing (96)</t>
  </si>
  <si>
    <t>B96</t>
  </si>
  <si>
    <t>Team Name</t>
  </si>
  <si>
    <t>ERE</t>
  </si>
  <si>
    <t>WOO</t>
  </si>
  <si>
    <t>LEB</t>
  </si>
  <si>
    <t>DEP</t>
  </si>
  <si>
    <t>PAY</t>
  </si>
  <si>
    <t>ALL</t>
  </si>
  <si>
    <t>FEE</t>
  </si>
  <si>
    <t>Bryce Fullwood</t>
  </si>
  <si>
    <t>Harri Jones</t>
  </si>
  <si>
    <t>James Courtney</t>
  </si>
  <si>
    <t>Jaxon Evans</t>
  </si>
  <si>
    <t>Nick Percat</t>
  </si>
  <si>
    <t>Richie Stanaway</t>
  </si>
  <si>
    <t>Will Davison</t>
  </si>
  <si>
    <t xml:space="preserve">Unknown </t>
  </si>
  <si>
    <t>FUL</t>
  </si>
  <si>
    <t>COU</t>
  </si>
  <si>
    <t>EVA</t>
  </si>
  <si>
    <t>PER</t>
  </si>
  <si>
    <t>STA</t>
  </si>
  <si>
    <t>DAV</t>
  </si>
  <si>
    <t>unknown</t>
  </si>
  <si>
    <t>UKN</t>
  </si>
  <si>
    <t>18-ADP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</si>
</sst>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11" xfId="0" applyFill="1" applyBorder="1"/>
    <xf numFmtId="0" fontId="0" fillId="33" borderId="12" xfId="0" applyFill="1" applyBorder="1"/>
    <xf numFmtId="0" fontId="0" fillId="33" borderId="13" xfId="0" applyFill="1" applyBorder="1"/>
    <xf numFmtId="0" fontId="0" fillId="34" borderId="15" xfId="0" applyFill="1" applyBorder="1"/>
    <xf numFmtId="0" fontId="0" fillId="34" borderId="16" xfId="0" applyFill="1" applyBorder="1"/>
    <xf numFmtId="0" fontId="0" fillId="34" borderId="17" xfId="0" applyFill="1" applyBorder="1"/>
    <xf numFmtId="0" fontId="16" fillId="35" borderId="14" xfId="0" applyFont="1" applyFill="1" applyBorder="1"/>
    <xf numFmtId="0" fontId="16" fillId="35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EEEBE-4255-4441-9504-67F8E8541610}">
  <dimension ref="A1:AE57"/>
  <sheetViews>
    <sheetView tabSelected="1" workbookViewId="0">
      <selection activeCell="N14" sqref="N14"/>
    </sheetView>
  </sheetViews>
  <sheetFormatPr defaultRowHeight="14.4" x14ac:dyDescent="0.3"/>
  <cols>
    <col min="2" max="2" width="17.5546875" bestFit="1" customWidth="1"/>
    <col min="4" max="4" width="12.88671875" bestFit="1" customWidth="1"/>
    <col min="5" max="5" width="16.44140625" bestFit="1" customWidth="1"/>
    <col min="6" max="6" width="16.44140625" customWidth="1"/>
    <col min="7" max="7" width="24.44140625" customWidth="1"/>
    <col min="8" max="8" width="21.6640625" customWidth="1"/>
    <col min="9" max="11" width="8.88671875" customWidth="1"/>
    <col min="12" max="12" width="25.109375" bestFit="1" customWidth="1"/>
    <col min="13" max="13" width="23.33203125" bestFit="1" customWidth="1"/>
    <col min="15" max="15" width="17.77734375" bestFit="1" customWidth="1"/>
  </cols>
  <sheetData>
    <row r="1" spans="1:31" x14ac:dyDescent="0.3">
      <c r="A1" t="s">
        <v>93</v>
      </c>
      <c r="B1" t="s">
        <v>0</v>
      </c>
      <c r="C1" t="s">
        <v>1</v>
      </c>
      <c r="D1" t="s">
        <v>141</v>
      </c>
      <c r="E1" t="s">
        <v>2</v>
      </c>
      <c r="F1" t="s">
        <v>96</v>
      </c>
      <c r="G1" t="s">
        <v>3</v>
      </c>
      <c r="H1" t="s">
        <v>4</v>
      </c>
      <c r="I1" t="s">
        <v>5</v>
      </c>
      <c r="J1" t="s">
        <v>6</v>
      </c>
      <c r="K1" t="s">
        <v>94</v>
      </c>
      <c r="L1" t="s">
        <v>95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105</v>
      </c>
      <c r="V1" t="s">
        <v>106</v>
      </c>
      <c r="W1" t="s">
        <v>107</v>
      </c>
      <c r="X1" t="s">
        <v>108</v>
      </c>
      <c r="Y1" t="s">
        <v>109</v>
      </c>
      <c r="Z1" t="s">
        <v>110</v>
      </c>
      <c r="AA1" t="s">
        <v>111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3">
      <c r="A2">
        <v>1</v>
      </c>
      <c r="B2" t="s">
        <v>7</v>
      </c>
      <c r="C2">
        <v>1</v>
      </c>
      <c r="D2" t="s">
        <v>199</v>
      </c>
      <c r="E2" t="s">
        <v>8</v>
      </c>
      <c r="F2" t="s">
        <v>181</v>
      </c>
      <c r="G2" t="s">
        <v>9</v>
      </c>
      <c r="H2" t="s">
        <v>220</v>
      </c>
      <c r="I2" t="str">
        <f>VLOOKUP(H2, teamLookup!A:B, 2, FALSE)</f>
        <v>WTR</v>
      </c>
      <c r="J2" t="s">
        <v>20</v>
      </c>
      <c r="K2" t="s">
        <v>21</v>
      </c>
      <c r="L2" t="s">
        <v>120</v>
      </c>
      <c r="M2" t="s">
        <v>157</v>
      </c>
      <c r="N2" t="s">
        <v>117</v>
      </c>
      <c r="O2" t="s">
        <v>117</v>
      </c>
      <c r="P2" t="s">
        <v>117</v>
      </c>
      <c r="Q2" t="s">
        <v>117</v>
      </c>
      <c r="R2" t="s">
        <v>117</v>
      </c>
      <c r="S2" t="s">
        <v>117</v>
      </c>
      <c r="T2" t="s">
        <v>117</v>
      </c>
      <c r="U2" t="s">
        <v>117</v>
      </c>
      <c r="V2" t="s">
        <v>117</v>
      </c>
      <c r="W2" t="s">
        <v>117</v>
      </c>
      <c r="X2" t="s">
        <v>117</v>
      </c>
      <c r="Y2" t="s">
        <v>117</v>
      </c>
      <c r="Z2" t="s">
        <v>117</v>
      </c>
      <c r="AA2" t="s">
        <v>117</v>
      </c>
      <c r="AB2" t="s">
        <v>117</v>
      </c>
      <c r="AC2" t="s">
        <v>117</v>
      </c>
      <c r="AD2" t="s">
        <v>117</v>
      </c>
      <c r="AE2" t="s">
        <v>117</v>
      </c>
    </row>
    <row r="3" spans="1:31" x14ac:dyDescent="0.3">
      <c r="A3">
        <v>2</v>
      </c>
      <c r="B3" t="s">
        <v>12</v>
      </c>
      <c r="C3">
        <v>2</v>
      </c>
      <c r="D3" t="s">
        <v>200</v>
      </c>
      <c r="E3" t="s">
        <v>13</v>
      </c>
      <c r="F3" t="s">
        <v>227</v>
      </c>
      <c r="G3" t="s">
        <v>14</v>
      </c>
      <c r="H3" t="s">
        <v>220</v>
      </c>
      <c r="I3" t="str">
        <f>VLOOKUP(H3, teamLookup!A:B, 2, FALSE)</f>
        <v>WTR</v>
      </c>
      <c r="J3" t="s">
        <v>20</v>
      </c>
      <c r="K3" t="s">
        <v>21</v>
      </c>
      <c r="L3" t="s">
        <v>121</v>
      </c>
      <c r="M3" t="s">
        <v>158</v>
      </c>
      <c r="N3" t="s">
        <v>117</v>
      </c>
      <c r="O3" t="s">
        <v>117</v>
      </c>
      <c r="P3" t="s">
        <v>117</v>
      </c>
      <c r="Q3" t="s">
        <v>117</v>
      </c>
      <c r="R3" t="s">
        <v>117</v>
      </c>
      <c r="S3" t="s">
        <v>117</v>
      </c>
      <c r="T3" t="s">
        <v>117</v>
      </c>
      <c r="U3" t="s">
        <v>117</v>
      </c>
      <c r="V3" t="s">
        <v>117</v>
      </c>
      <c r="W3" t="s">
        <v>117</v>
      </c>
      <c r="X3" t="s">
        <v>117</v>
      </c>
      <c r="Y3" t="s">
        <v>117</v>
      </c>
      <c r="Z3" t="s">
        <v>117</v>
      </c>
      <c r="AA3" t="s">
        <v>117</v>
      </c>
      <c r="AB3" t="s">
        <v>117</v>
      </c>
      <c r="AC3" t="s">
        <v>117</v>
      </c>
      <c r="AD3" t="s">
        <v>117</v>
      </c>
      <c r="AE3" t="s">
        <v>117</v>
      </c>
    </row>
    <row r="4" spans="1:31" x14ac:dyDescent="0.3">
      <c r="A4">
        <v>3</v>
      </c>
      <c r="B4" t="s">
        <v>15</v>
      </c>
      <c r="C4">
        <v>3</v>
      </c>
      <c r="D4" t="s">
        <v>142</v>
      </c>
      <c r="E4" t="s">
        <v>16</v>
      </c>
      <c r="F4" t="s">
        <v>182</v>
      </c>
      <c r="G4" t="s">
        <v>17</v>
      </c>
      <c r="H4" t="s">
        <v>18</v>
      </c>
      <c r="I4" t="str">
        <f>VLOOKUP(H4, teamLookup!A:B, 2, FALSE)</f>
        <v>BRT</v>
      </c>
      <c r="J4" t="s">
        <v>10</v>
      </c>
      <c r="K4" t="s">
        <v>11</v>
      </c>
      <c r="L4" t="s">
        <v>138</v>
      </c>
      <c r="M4" t="s">
        <v>159</v>
      </c>
      <c r="N4" t="s">
        <v>117</v>
      </c>
      <c r="O4" t="s">
        <v>117</v>
      </c>
      <c r="P4" t="s">
        <v>117</v>
      </c>
      <c r="Q4" t="s">
        <v>117</v>
      </c>
      <c r="R4" t="s">
        <v>117</v>
      </c>
      <c r="S4" t="s">
        <v>117</v>
      </c>
      <c r="T4" t="s">
        <v>117</v>
      </c>
      <c r="U4" t="s">
        <v>117</v>
      </c>
      <c r="V4" t="s">
        <v>117</v>
      </c>
      <c r="W4" t="s">
        <v>117</v>
      </c>
      <c r="X4" t="s">
        <v>117</v>
      </c>
      <c r="Y4" t="s">
        <v>117</v>
      </c>
      <c r="Z4" t="s">
        <v>117</v>
      </c>
      <c r="AA4" t="s">
        <v>117</v>
      </c>
      <c r="AB4" t="s">
        <v>117</v>
      </c>
      <c r="AC4" t="s">
        <v>117</v>
      </c>
      <c r="AD4" t="s">
        <v>117</v>
      </c>
      <c r="AE4" t="s">
        <v>117</v>
      </c>
    </row>
    <row r="5" spans="1:31" x14ac:dyDescent="0.3">
      <c r="A5">
        <v>4</v>
      </c>
      <c r="B5" t="s">
        <v>22</v>
      </c>
      <c r="C5">
        <v>4</v>
      </c>
      <c r="D5" t="s">
        <v>201</v>
      </c>
      <c r="E5" t="s">
        <v>23</v>
      </c>
      <c r="F5" t="s">
        <v>228</v>
      </c>
      <c r="G5" t="s">
        <v>24</v>
      </c>
      <c r="H5" t="s">
        <v>25</v>
      </c>
      <c r="I5" t="str">
        <f>VLOOKUP(H5, teamLookup!A:B, 2, FALSE)</f>
        <v>MSR</v>
      </c>
      <c r="J5" t="s">
        <v>151</v>
      </c>
      <c r="K5" t="s">
        <v>180</v>
      </c>
      <c r="L5" t="s">
        <v>132</v>
      </c>
      <c r="M5" t="s">
        <v>23</v>
      </c>
      <c r="N5" t="s">
        <v>117</v>
      </c>
      <c r="O5" t="s">
        <v>117</v>
      </c>
      <c r="P5" t="s">
        <v>117</v>
      </c>
      <c r="Q5" t="s">
        <v>117</v>
      </c>
      <c r="R5" t="s">
        <v>117</v>
      </c>
      <c r="S5" t="s">
        <v>117</v>
      </c>
      <c r="T5" t="s">
        <v>117</v>
      </c>
      <c r="U5" t="s">
        <v>117</v>
      </c>
      <c r="V5" t="s">
        <v>117</v>
      </c>
      <c r="W5" t="s">
        <v>117</v>
      </c>
      <c r="X5" t="s">
        <v>117</v>
      </c>
      <c r="Y5" t="s">
        <v>117</v>
      </c>
      <c r="Z5" t="s">
        <v>117</v>
      </c>
      <c r="AA5" t="s">
        <v>117</v>
      </c>
      <c r="AB5" t="s">
        <v>117</v>
      </c>
      <c r="AC5" t="s">
        <v>117</v>
      </c>
      <c r="AD5" t="s">
        <v>117</v>
      </c>
      <c r="AE5" t="s">
        <v>117</v>
      </c>
    </row>
    <row r="6" spans="1:31" x14ac:dyDescent="0.3">
      <c r="A6">
        <v>5</v>
      </c>
      <c r="B6" t="s">
        <v>27</v>
      </c>
      <c r="C6">
        <v>6</v>
      </c>
      <c r="D6" t="s">
        <v>143</v>
      </c>
      <c r="E6" t="s">
        <v>28</v>
      </c>
      <c r="F6" t="s">
        <v>184</v>
      </c>
      <c r="G6" t="s">
        <v>29</v>
      </c>
      <c r="H6" t="s">
        <v>30</v>
      </c>
      <c r="I6" t="str">
        <f>VLOOKUP(H6, teamLookup!A:B, 2, FALSE)</f>
        <v>TCK</v>
      </c>
      <c r="J6" t="s">
        <v>10</v>
      </c>
      <c r="K6" t="s">
        <v>11</v>
      </c>
      <c r="L6" t="s">
        <v>118</v>
      </c>
      <c r="M6" t="s">
        <v>153</v>
      </c>
      <c r="N6" t="s">
        <v>117</v>
      </c>
      <c r="O6" t="s">
        <v>160</v>
      </c>
      <c r="P6" t="s">
        <v>117</v>
      </c>
      <c r="Q6" t="s">
        <v>117</v>
      </c>
      <c r="R6" t="s">
        <v>117</v>
      </c>
      <c r="S6" t="s">
        <v>117</v>
      </c>
      <c r="T6" t="s">
        <v>117</v>
      </c>
      <c r="U6" t="s">
        <v>117</v>
      </c>
      <c r="V6" t="s">
        <v>117</v>
      </c>
      <c r="W6" t="s">
        <v>117</v>
      </c>
      <c r="X6" t="s">
        <v>117</v>
      </c>
      <c r="Y6" t="s">
        <v>117</v>
      </c>
      <c r="Z6" t="s">
        <v>117</v>
      </c>
      <c r="AA6" t="s">
        <v>117</v>
      </c>
      <c r="AB6" t="s">
        <v>117</v>
      </c>
      <c r="AC6" t="s">
        <v>117</v>
      </c>
      <c r="AD6" t="s">
        <v>117</v>
      </c>
      <c r="AE6" t="s">
        <v>117</v>
      </c>
    </row>
    <row r="7" spans="1:31" x14ac:dyDescent="0.3">
      <c r="A7">
        <v>6</v>
      </c>
      <c r="B7" t="s">
        <v>31</v>
      </c>
      <c r="C7">
        <v>7</v>
      </c>
      <c r="D7" t="s">
        <v>202</v>
      </c>
      <c r="E7" t="s">
        <v>32</v>
      </c>
      <c r="F7" t="s">
        <v>185</v>
      </c>
      <c r="G7" t="s">
        <v>33</v>
      </c>
      <c r="H7" t="s">
        <v>18</v>
      </c>
      <c r="I7" t="str">
        <f>VLOOKUP(H7, teamLookup!A:B, 2, FALSE)</f>
        <v>BRT</v>
      </c>
      <c r="J7" t="s">
        <v>10</v>
      </c>
      <c r="K7" t="s">
        <v>11</v>
      </c>
      <c r="L7" t="s">
        <v>139</v>
      </c>
      <c r="M7" t="s">
        <v>117</v>
      </c>
      <c r="N7" t="s">
        <v>117</v>
      </c>
      <c r="O7" t="s">
        <v>161</v>
      </c>
      <c r="P7" t="s">
        <v>117</v>
      </c>
      <c r="Q7" t="s">
        <v>117</v>
      </c>
      <c r="R7" t="s">
        <v>117</v>
      </c>
      <c r="S7" t="s">
        <v>117</v>
      </c>
      <c r="T7" t="s">
        <v>117</v>
      </c>
      <c r="U7" t="s">
        <v>117</v>
      </c>
      <c r="V7" t="s">
        <v>117</v>
      </c>
      <c r="W7" t="s">
        <v>117</v>
      </c>
      <c r="X7" t="s">
        <v>117</v>
      </c>
      <c r="Y7" t="s">
        <v>117</v>
      </c>
      <c r="Z7" t="s">
        <v>117</v>
      </c>
      <c r="AA7" t="s">
        <v>117</v>
      </c>
      <c r="AB7" t="s">
        <v>117</v>
      </c>
      <c r="AC7" t="s">
        <v>117</v>
      </c>
      <c r="AD7" t="s">
        <v>117</v>
      </c>
      <c r="AE7" t="s">
        <v>117</v>
      </c>
    </row>
    <row r="8" spans="1:31" x14ac:dyDescent="0.3">
      <c r="A8">
        <v>7</v>
      </c>
      <c r="B8" t="s">
        <v>34</v>
      </c>
      <c r="C8">
        <v>8</v>
      </c>
      <c r="D8" t="s">
        <v>203</v>
      </c>
      <c r="E8" t="s">
        <v>35</v>
      </c>
      <c r="F8" t="s">
        <v>186</v>
      </c>
      <c r="G8" t="s">
        <v>36</v>
      </c>
      <c r="H8" t="s">
        <v>37</v>
      </c>
      <c r="I8" t="str">
        <f>VLOOKUP(H8, teamLookup!A:B, 2, FALSE)</f>
        <v>BJR</v>
      </c>
      <c r="J8" t="s">
        <v>20</v>
      </c>
      <c r="K8" t="s">
        <v>21</v>
      </c>
      <c r="L8" t="s">
        <v>116</v>
      </c>
      <c r="M8" t="s">
        <v>116</v>
      </c>
      <c r="N8" t="s">
        <v>117</v>
      </c>
      <c r="O8" t="s">
        <v>162</v>
      </c>
      <c r="P8" t="s">
        <v>117</v>
      </c>
      <c r="Q8" t="s">
        <v>117</v>
      </c>
      <c r="R8" t="s">
        <v>117</v>
      </c>
      <c r="S8" t="s">
        <v>117</v>
      </c>
      <c r="T8" t="s">
        <v>117</v>
      </c>
      <c r="U8" t="s">
        <v>117</v>
      </c>
      <c r="V8" t="s">
        <v>117</v>
      </c>
      <c r="W8" t="s">
        <v>117</v>
      </c>
      <c r="X8" t="s">
        <v>117</v>
      </c>
      <c r="Y8" t="s">
        <v>117</v>
      </c>
      <c r="Z8" t="s">
        <v>117</v>
      </c>
      <c r="AA8" t="s">
        <v>117</v>
      </c>
      <c r="AB8" t="s">
        <v>117</v>
      </c>
      <c r="AC8" t="s">
        <v>117</v>
      </c>
      <c r="AD8" t="s">
        <v>117</v>
      </c>
      <c r="AE8" t="s">
        <v>117</v>
      </c>
    </row>
    <row r="9" spans="1:31" x14ac:dyDescent="0.3">
      <c r="A9">
        <v>8</v>
      </c>
      <c r="B9" t="s">
        <v>39</v>
      </c>
      <c r="C9">
        <v>9</v>
      </c>
      <c r="D9" t="s">
        <v>144</v>
      </c>
      <c r="E9" t="s">
        <v>40</v>
      </c>
      <c r="F9" t="s">
        <v>187</v>
      </c>
      <c r="G9" t="s">
        <v>41</v>
      </c>
      <c r="H9" t="s">
        <v>41</v>
      </c>
      <c r="I9" t="str">
        <f>VLOOKUP(H9, teamLookup!A:B, 2, FALSE)</f>
        <v>ERE</v>
      </c>
      <c r="J9" t="s">
        <v>151</v>
      </c>
      <c r="K9" t="s">
        <v>180</v>
      </c>
      <c r="L9" t="s">
        <v>129</v>
      </c>
      <c r="M9" t="s">
        <v>117</v>
      </c>
      <c r="N9" t="s">
        <v>117</v>
      </c>
      <c r="O9" t="s">
        <v>163</v>
      </c>
      <c r="P9" t="s">
        <v>117</v>
      </c>
      <c r="Q9" t="s">
        <v>117</v>
      </c>
      <c r="R9" t="s">
        <v>117</v>
      </c>
      <c r="S9" t="s">
        <v>117</v>
      </c>
      <c r="T9" t="s">
        <v>117</v>
      </c>
      <c r="U9" t="s">
        <v>117</v>
      </c>
      <c r="V9" t="s">
        <v>117</v>
      </c>
      <c r="W9" t="s">
        <v>117</v>
      </c>
      <c r="X9" t="s">
        <v>117</v>
      </c>
      <c r="Y9" t="s">
        <v>117</v>
      </c>
      <c r="Z9" t="s">
        <v>117</v>
      </c>
      <c r="AA9" t="s">
        <v>117</v>
      </c>
      <c r="AB9" t="s">
        <v>117</v>
      </c>
      <c r="AC9" t="s">
        <v>117</v>
      </c>
      <c r="AD9" t="s">
        <v>117</v>
      </c>
      <c r="AE9" t="s">
        <v>117</v>
      </c>
    </row>
    <row r="10" spans="1:31" x14ac:dyDescent="0.3">
      <c r="A10">
        <v>9</v>
      </c>
      <c r="B10" t="s">
        <v>42</v>
      </c>
      <c r="C10">
        <v>10</v>
      </c>
      <c r="D10" t="s">
        <v>204</v>
      </c>
      <c r="E10" t="s">
        <v>43</v>
      </c>
      <c r="F10" t="s">
        <v>188</v>
      </c>
      <c r="G10" t="s">
        <v>44</v>
      </c>
      <c r="H10" t="s">
        <v>25</v>
      </c>
      <c r="I10" t="str">
        <f>VLOOKUP(H10, teamLookup!A:B, 2, FALSE)</f>
        <v>MSR</v>
      </c>
      <c r="J10" t="s">
        <v>151</v>
      </c>
      <c r="K10" t="s">
        <v>180</v>
      </c>
      <c r="L10" t="s">
        <v>128</v>
      </c>
      <c r="M10" t="s">
        <v>117</v>
      </c>
      <c r="N10" t="s">
        <v>117</v>
      </c>
      <c r="O10" t="s">
        <v>164</v>
      </c>
      <c r="P10" t="s">
        <v>117</v>
      </c>
      <c r="Q10" t="s">
        <v>117</v>
      </c>
      <c r="R10" t="s">
        <v>117</v>
      </c>
      <c r="S10" t="s">
        <v>117</v>
      </c>
      <c r="T10" t="s">
        <v>117</v>
      </c>
      <c r="U10" t="s">
        <v>117</v>
      </c>
      <c r="V10" t="s">
        <v>117</v>
      </c>
      <c r="W10" t="s">
        <v>117</v>
      </c>
      <c r="X10" t="s">
        <v>117</v>
      </c>
      <c r="Y10" t="s">
        <v>117</v>
      </c>
      <c r="Z10" t="s">
        <v>117</v>
      </c>
      <c r="AA10" t="s">
        <v>117</v>
      </c>
      <c r="AB10" t="s">
        <v>117</v>
      </c>
      <c r="AC10" t="s">
        <v>117</v>
      </c>
      <c r="AD10" t="s">
        <v>117</v>
      </c>
      <c r="AE10" t="s">
        <v>117</v>
      </c>
    </row>
    <row r="11" spans="1:31" x14ac:dyDescent="0.3">
      <c r="A11">
        <v>10</v>
      </c>
      <c r="B11" t="s">
        <v>45</v>
      </c>
      <c r="C11">
        <v>11</v>
      </c>
      <c r="D11" t="s">
        <v>205</v>
      </c>
      <c r="E11" t="s">
        <v>46</v>
      </c>
      <c r="F11" t="s">
        <v>189</v>
      </c>
      <c r="G11" t="s">
        <v>47</v>
      </c>
      <c r="H11" t="s">
        <v>221</v>
      </c>
      <c r="I11" t="str">
        <f>VLOOKUP(H11, teamLookup!A:B, 2, FALSE)</f>
        <v>SCT</v>
      </c>
      <c r="J11" t="s">
        <v>10</v>
      </c>
      <c r="K11" t="s">
        <v>11</v>
      </c>
      <c r="L11" t="s">
        <v>124</v>
      </c>
      <c r="M11" t="s">
        <v>117</v>
      </c>
      <c r="N11" t="s">
        <v>117</v>
      </c>
      <c r="O11" t="s">
        <v>165</v>
      </c>
      <c r="P11" t="s">
        <v>117</v>
      </c>
      <c r="Q11" t="s">
        <v>117</v>
      </c>
      <c r="R11" t="s">
        <v>117</v>
      </c>
      <c r="S11" t="s">
        <v>117</v>
      </c>
      <c r="T11" t="s">
        <v>117</v>
      </c>
      <c r="U11" t="s">
        <v>117</v>
      </c>
      <c r="V11" t="s">
        <v>117</v>
      </c>
      <c r="W11" t="s">
        <v>117</v>
      </c>
      <c r="X11" t="s">
        <v>117</v>
      </c>
      <c r="Y11" t="s">
        <v>117</v>
      </c>
      <c r="Z11" t="s">
        <v>117</v>
      </c>
      <c r="AA11" t="s">
        <v>117</v>
      </c>
      <c r="AB11" t="s">
        <v>117</v>
      </c>
      <c r="AC11" t="s">
        <v>117</v>
      </c>
      <c r="AD11" t="s">
        <v>117</v>
      </c>
      <c r="AE11" t="s">
        <v>117</v>
      </c>
    </row>
    <row r="12" spans="1:31" x14ac:dyDescent="0.3">
      <c r="A12">
        <v>11</v>
      </c>
      <c r="B12" t="s">
        <v>48</v>
      </c>
      <c r="C12">
        <v>14</v>
      </c>
      <c r="D12" t="s">
        <v>206</v>
      </c>
      <c r="E12" t="s">
        <v>49</v>
      </c>
      <c r="F12" t="s">
        <v>190</v>
      </c>
      <c r="G12" t="s">
        <v>50</v>
      </c>
      <c r="H12" t="s">
        <v>37</v>
      </c>
      <c r="I12" t="str">
        <f>VLOOKUP(H12, teamLookup!A:B, 2, FALSE)</f>
        <v>BJR</v>
      </c>
      <c r="J12" t="s">
        <v>20</v>
      </c>
      <c r="K12" t="s">
        <v>21</v>
      </c>
      <c r="L12" t="s">
        <v>130</v>
      </c>
      <c r="M12" t="s">
        <v>152</v>
      </c>
      <c r="N12" t="s">
        <v>117</v>
      </c>
      <c r="O12" t="s">
        <v>166</v>
      </c>
      <c r="P12" t="s">
        <v>117</v>
      </c>
      <c r="Q12" t="s">
        <v>117</v>
      </c>
      <c r="R12" t="s">
        <v>117</v>
      </c>
      <c r="S12" t="s">
        <v>117</v>
      </c>
      <c r="T12" t="s">
        <v>117</v>
      </c>
      <c r="U12" t="s">
        <v>117</v>
      </c>
      <c r="V12" t="s">
        <v>117</v>
      </c>
      <c r="W12" t="s">
        <v>117</v>
      </c>
      <c r="X12" t="s">
        <v>117</v>
      </c>
      <c r="Y12" t="s">
        <v>117</v>
      </c>
      <c r="Z12" t="s">
        <v>117</v>
      </c>
      <c r="AA12" t="s">
        <v>117</v>
      </c>
      <c r="AB12" t="s">
        <v>117</v>
      </c>
      <c r="AC12" t="s">
        <v>117</v>
      </c>
      <c r="AD12" t="s">
        <v>117</v>
      </c>
      <c r="AE12" t="s">
        <v>117</v>
      </c>
    </row>
    <row r="13" spans="1:31" x14ac:dyDescent="0.3">
      <c r="A13">
        <v>12</v>
      </c>
      <c r="B13" t="s">
        <v>51</v>
      </c>
      <c r="C13">
        <v>17</v>
      </c>
      <c r="D13" t="s">
        <v>207</v>
      </c>
      <c r="E13" t="s">
        <v>52</v>
      </c>
      <c r="F13" t="s">
        <v>191</v>
      </c>
      <c r="G13" t="s">
        <v>53</v>
      </c>
      <c r="H13" t="s">
        <v>54</v>
      </c>
      <c r="I13" t="str">
        <f>VLOOKUP(H13, teamLookup!A:B, 2, FALSE)</f>
        <v>DJR</v>
      </c>
      <c r="J13" t="s">
        <v>10</v>
      </c>
      <c r="K13" t="s">
        <v>11</v>
      </c>
      <c r="L13" t="s">
        <v>133</v>
      </c>
      <c r="M13" t="s">
        <v>117</v>
      </c>
      <c r="N13" t="s">
        <v>117</v>
      </c>
      <c r="O13" t="s">
        <v>167</v>
      </c>
      <c r="P13" t="s">
        <v>117</v>
      </c>
      <c r="Q13" t="s">
        <v>117</v>
      </c>
      <c r="R13" t="s">
        <v>117</v>
      </c>
      <c r="S13" t="s">
        <v>117</v>
      </c>
      <c r="T13" t="s">
        <v>117</v>
      </c>
      <c r="U13" t="s">
        <v>117</v>
      </c>
      <c r="V13" t="s">
        <v>117</v>
      </c>
      <c r="W13" t="s">
        <v>117</v>
      </c>
      <c r="X13" t="s">
        <v>117</v>
      </c>
      <c r="Y13" t="s">
        <v>117</v>
      </c>
      <c r="Z13" t="s">
        <v>117</v>
      </c>
      <c r="AA13" t="s">
        <v>117</v>
      </c>
      <c r="AB13" t="s">
        <v>117</v>
      </c>
      <c r="AC13" t="s">
        <v>117</v>
      </c>
      <c r="AD13" t="s">
        <v>117</v>
      </c>
      <c r="AE13" t="s">
        <v>117</v>
      </c>
    </row>
    <row r="14" spans="1:31" x14ac:dyDescent="0.3">
      <c r="A14">
        <v>13</v>
      </c>
      <c r="B14" t="s">
        <v>56</v>
      </c>
      <c r="C14">
        <v>18</v>
      </c>
      <c r="D14" t="s">
        <v>208</v>
      </c>
      <c r="E14" t="s">
        <v>57</v>
      </c>
      <c r="F14" t="s">
        <v>229</v>
      </c>
      <c r="G14" t="s">
        <v>58</v>
      </c>
      <c r="H14" t="s">
        <v>59</v>
      </c>
      <c r="I14" t="str">
        <f>VLOOKUP(H14, teamLookup!A:B, 2, FALSE)</f>
        <v>T18</v>
      </c>
      <c r="J14" t="s">
        <v>151</v>
      </c>
      <c r="K14" t="s">
        <v>180</v>
      </c>
      <c r="L14" t="s">
        <v>135</v>
      </c>
      <c r="M14" t="s">
        <v>154</v>
      </c>
      <c r="N14" t="s">
        <v>249</v>
      </c>
      <c r="O14" t="s">
        <v>168</v>
      </c>
      <c r="P14" t="s">
        <v>117</v>
      </c>
      <c r="Q14" t="s">
        <v>117</v>
      </c>
      <c r="R14" t="s">
        <v>117</v>
      </c>
      <c r="S14" t="s">
        <v>117</v>
      </c>
      <c r="T14" t="s">
        <v>117</v>
      </c>
      <c r="U14" t="s">
        <v>117</v>
      </c>
      <c r="V14" t="s">
        <v>117</v>
      </c>
      <c r="W14" t="s">
        <v>117</v>
      </c>
      <c r="X14" t="s">
        <v>117</v>
      </c>
      <c r="Y14" t="s">
        <v>117</v>
      </c>
      <c r="Z14" t="s">
        <v>117</v>
      </c>
      <c r="AA14" t="s">
        <v>117</v>
      </c>
      <c r="AB14" t="s">
        <v>117</v>
      </c>
      <c r="AC14" t="s">
        <v>117</v>
      </c>
      <c r="AD14" t="s">
        <v>117</v>
      </c>
      <c r="AE14" t="s">
        <v>117</v>
      </c>
    </row>
    <row r="15" spans="1:31" x14ac:dyDescent="0.3">
      <c r="A15">
        <v>14</v>
      </c>
      <c r="B15" t="s">
        <v>61</v>
      </c>
      <c r="C15">
        <v>19</v>
      </c>
      <c r="D15" t="s">
        <v>209</v>
      </c>
      <c r="E15" t="s">
        <v>62</v>
      </c>
      <c r="F15" t="s">
        <v>230</v>
      </c>
      <c r="G15" t="s">
        <v>63</v>
      </c>
      <c r="H15" t="s">
        <v>64</v>
      </c>
      <c r="I15" t="str">
        <f>VLOOKUP(H15, teamLookup!A:B, 2, FALSE)</f>
        <v>GRV</v>
      </c>
      <c r="J15" t="s">
        <v>10</v>
      </c>
      <c r="K15" t="s">
        <v>11</v>
      </c>
      <c r="L15" t="s">
        <v>70</v>
      </c>
      <c r="M15" t="s">
        <v>140</v>
      </c>
      <c r="N15" t="s">
        <v>156</v>
      </c>
      <c r="O15" t="s">
        <v>169</v>
      </c>
      <c r="P15" t="s">
        <v>117</v>
      </c>
      <c r="Q15" t="s">
        <v>117</v>
      </c>
      <c r="R15" t="s">
        <v>117</v>
      </c>
      <c r="S15" t="s">
        <v>117</v>
      </c>
      <c r="T15" t="s">
        <v>117</v>
      </c>
      <c r="U15" t="s">
        <v>117</v>
      </c>
      <c r="V15" t="s">
        <v>117</v>
      </c>
      <c r="W15" t="s">
        <v>117</v>
      </c>
      <c r="X15" t="s">
        <v>117</v>
      </c>
      <c r="Y15" t="s">
        <v>117</v>
      </c>
      <c r="Z15" t="s">
        <v>117</v>
      </c>
      <c r="AA15" t="s">
        <v>117</v>
      </c>
      <c r="AB15" t="s">
        <v>117</v>
      </c>
      <c r="AC15" t="s">
        <v>117</v>
      </c>
      <c r="AD15" t="s">
        <v>117</v>
      </c>
      <c r="AE15" t="s">
        <v>117</v>
      </c>
    </row>
    <row r="16" spans="1:31" x14ac:dyDescent="0.3">
      <c r="A16">
        <v>15</v>
      </c>
      <c r="B16" t="s">
        <v>65</v>
      </c>
      <c r="C16">
        <v>20</v>
      </c>
      <c r="D16" t="s">
        <v>145</v>
      </c>
      <c r="E16" t="s">
        <v>66</v>
      </c>
      <c r="F16" t="s">
        <v>192</v>
      </c>
      <c r="G16" t="s">
        <v>67</v>
      </c>
      <c r="H16" t="s">
        <v>59</v>
      </c>
      <c r="I16" t="str">
        <f>VLOOKUP(H16, teamLookup!A:B, 2, FALSE)</f>
        <v>T18</v>
      </c>
      <c r="J16" t="s">
        <v>151</v>
      </c>
      <c r="K16" t="s">
        <v>180</v>
      </c>
      <c r="L16" t="s">
        <v>136</v>
      </c>
      <c r="M16" t="s">
        <v>155</v>
      </c>
      <c r="N16" t="s">
        <v>117</v>
      </c>
      <c r="O16" t="s">
        <v>170</v>
      </c>
      <c r="P16" t="s">
        <v>117</v>
      </c>
      <c r="Q16" t="s">
        <v>117</v>
      </c>
      <c r="R16" t="s">
        <v>117</v>
      </c>
      <c r="S16" t="s">
        <v>117</v>
      </c>
      <c r="T16" t="s">
        <v>117</v>
      </c>
      <c r="U16" t="s">
        <v>117</v>
      </c>
      <c r="V16" t="s">
        <v>117</v>
      </c>
      <c r="W16" t="s">
        <v>117</v>
      </c>
      <c r="X16" t="s">
        <v>117</v>
      </c>
      <c r="Y16" t="s">
        <v>117</v>
      </c>
      <c r="Z16" t="s">
        <v>117</v>
      </c>
      <c r="AA16" t="s">
        <v>117</v>
      </c>
      <c r="AB16" t="s">
        <v>117</v>
      </c>
      <c r="AC16" t="s">
        <v>117</v>
      </c>
      <c r="AD16" t="s">
        <v>117</v>
      </c>
      <c r="AE16" t="s">
        <v>117</v>
      </c>
    </row>
    <row r="17" spans="1:31" x14ac:dyDescent="0.3">
      <c r="A17">
        <v>16</v>
      </c>
      <c r="B17" t="s">
        <v>68</v>
      </c>
      <c r="C17">
        <v>26</v>
      </c>
      <c r="D17" t="s">
        <v>210</v>
      </c>
      <c r="E17" t="s">
        <v>69</v>
      </c>
      <c r="F17" t="s">
        <v>231</v>
      </c>
      <c r="G17" t="s">
        <v>63</v>
      </c>
      <c r="H17" t="s">
        <v>64</v>
      </c>
      <c r="I17" t="str">
        <f>VLOOKUP(H17, teamLookup!A:B, 2, FALSE)</f>
        <v>GRV</v>
      </c>
      <c r="J17" t="s">
        <v>10</v>
      </c>
      <c r="K17" t="s">
        <v>11</v>
      </c>
      <c r="L17" t="s">
        <v>137</v>
      </c>
      <c r="M17" t="s">
        <v>117</v>
      </c>
      <c r="N17" t="s">
        <v>117</v>
      </c>
      <c r="O17" t="s">
        <v>171</v>
      </c>
      <c r="P17" t="s">
        <v>117</v>
      </c>
      <c r="Q17" t="s">
        <v>117</v>
      </c>
      <c r="R17" t="s">
        <v>117</v>
      </c>
      <c r="S17" t="s">
        <v>117</v>
      </c>
      <c r="T17" t="s">
        <v>117</v>
      </c>
      <c r="U17" t="s">
        <v>117</v>
      </c>
      <c r="V17" t="s">
        <v>117</v>
      </c>
      <c r="W17" t="s">
        <v>117</v>
      </c>
      <c r="X17" t="s">
        <v>117</v>
      </c>
      <c r="Y17" t="s">
        <v>117</v>
      </c>
      <c r="Z17" t="s">
        <v>117</v>
      </c>
      <c r="AA17" t="s">
        <v>117</v>
      </c>
      <c r="AB17" t="s">
        <v>117</v>
      </c>
      <c r="AC17" t="s">
        <v>117</v>
      </c>
      <c r="AD17" t="s">
        <v>117</v>
      </c>
      <c r="AE17" t="s">
        <v>117</v>
      </c>
    </row>
    <row r="18" spans="1:31" x14ac:dyDescent="0.3">
      <c r="A18">
        <v>17</v>
      </c>
      <c r="B18" t="s">
        <v>70</v>
      </c>
      <c r="C18">
        <v>31</v>
      </c>
      <c r="D18" t="s">
        <v>146</v>
      </c>
      <c r="E18" t="s">
        <v>71</v>
      </c>
      <c r="F18" t="s">
        <v>193</v>
      </c>
      <c r="G18" t="s">
        <v>72</v>
      </c>
      <c r="H18" t="s">
        <v>216</v>
      </c>
      <c r="I18" t="str">
        <f>VLOOKUP(H18, teamLookup!A:B, 2, FALSE)</f>
        <v>PAR</v>
      </c>
      <c r="J18" t="s">
        <v>151</v>
      </c>
      <c r="K18" t="s">
        <v>180</v>
      </c>
      <c r="L18" t="s">
        <v>122</v>
      </c>
      <c r="M18" t="s">
        <v>117</v>
      </c>
      <c r="N18" t="s">
        <v>117</v>
      </c>
      <c r="O18" t="s">
        <v>172</v>
      </c>
      <c r="P18" t="s">
        <v>117</v>
      </c>
      <c r="Q18" t="s">
        <v>117</v>
      </c>
      <c r="R18" t="s">
        <v>117</v>
      </c>
      <c r="S18" t="s">
        <v>117</v>
      </c>
      <c r="T18" t="s">
        <v>117</v>
      </c>
      <c r="U18" t="s">
        <v>117</v>
      </c>
      <c r="V18" t="s">
        <v>117</v>
      </c>
      <c r="W18" t="s">
        <v>117</v>
      </c>
      <c r="X18" t="s">
        <v>117</v>
      </c>
      <c r="Y18" t="s">
        <v>117</v>
      </c>
      <c r="Z18" t="s">
        <v>117</v>
      </c>
      <c r="AA18" t="s">
        <v>117</v>
      </c>
      <c r="AB18" t="s">
        <v>117</v>
      </c>
      <c r="AC18" t="s">
        <v>117</v>
      </c>
      <c r="AD18" t="s">
        <v>117</v>
      </c>
      <c r="AE18" t="s">
        <v>117</v>
      </c>
    </row>
    <row r="19" spans="1:31" x14ac:dyDescent="0.3">
      <c r="A19">
        <v>18</v>
      </c>
      <c r="B19" t="s">
        <v>74</v>
      </c>
      <c r="C19">
        <v>38</v>
      </c>
      <c r="D19" t="s">
        <v>211</v>
      </c>
      <c r="E19" t="s">
        <v>75</v>
      </c>
      <c r="F19" t="s">
        <v>194</v>
      </c>
      <c r="G19" t="s">
        <v>53</v>
      </c>
      <c r="H19" t="s">
        <v>54</v>
      </c>
      <c r="I19" t="str">
        <f>VLOOKUP(H19, teamLookup!A:B, 2, FALSE)</f>
        <v>DJR</v>
      </c>
      <c r="J19" t="s">
        <v>10</v>
      </c>
      <c r="K19" t="s">
        <v>11</v>
      </c>
      <c r="L19" t="s">
        <v>127</v>
      </c>
      <c r="M19" t="s">
        <v>117</v>
      </c>
      <c r="N19" t="s">
        <v>117</v>
      </c>
      <c r="O19" t="s">
        <v>173</v>
      </c>
      <c r="P19" t="s">
        <v>117</v>
      </c>
      <c r="Q19" t="s">
        <v>117</v>
      </c>
      <c r="R19" t="s">
        <v>117</v>
      </c>
      <c r="S19" t="s">
        <v>117</v>
      </c>
      <c r="T19" t="s">
        <v>117</v>
      </c>
      <c r="U19" t="s">
        <v>117</v>
      </c>
      <c r="V19" t="s">
        <v>117</v>
      </c>
      <c r="W19" t="s">
        <v>117</v>
      </c>
      <c r="X19" t="s">
        <v>117</v>
      </c>
      <c r="Y19" t="s">
        <v>117</v>
      </c>
      <c r="Z19" t="s">
        <v>117</v>
      </c>
      <c r="AA19" t="s">
        <v>117</v>
      </c>
      <c r="AB19" t="s">
        <v>117</v>
      </c>
      <c r="AC19" t="s">
        <v>117</v>
      </c>
      <c r="AD19" t="s">
        <v>117</v>
      </c>
      <c r="AE19" t="s">
        <v>117</v>
      </c>
    </row>
    <row r="20" spans="1:31" x14ac:dyDescent="0.3">
      <c r="A20">
        <v>19</v>
      </c>
      <c r="B20" t="s">
        <v>76</v>
      </c>
      <c r="C20">
        <v>55</v>
      </c>
      <c r="D20" t="s">
        <v>147</v>
      </c>
      <c r="E20" t="s">
        <v>77</v>
      </c>
      <c r="F20" t="s">
        <v>195</v>
      </c>
      <c r="G20" t="s">
        <v>78</v>
      </c>
      <c r="H20" t="s">
        <v>30</v>
      </c>
      <c r="I20" t="str">
        <f>VLOOKUP(H20, teamLookup!A:B, 2, FALSE)</f>
        <v>TCK</v>
      </c>
      <c r="J20" t="s">
        <v>10</v>
      </c>
      <c r="K20" t="s">
        <v>11</v>
      </c>
      <c r="L20" t="s">
        <v>119</v>
      </c>
      <c r="M20" t="s">
        <v>117</v>
      </c>
      <c r="N20" t="s">
        <v>117</v>
      </c>
      <c r="O20" t="s">
        <v>174</v>
      </c>
      <c r="P20" t="s">
        <v>117</v>
      </c>
      <c r="Q20" t="s">
        <v>117</v>
      </c>
      <c r="R20" t="s">
        <v>117</v>
      </c>
      <c r="S20" t="s">
        <v>117</v>
      </c>
      <c r="T20" t="s">
        <v>117</v>
      </c>
      <c r="U20" t="s">
        <v>117</v>
      </c>
      <c r="V20" t="s">
        <v>117</v>
      </c>
      <c r="W20" t="s">
        <v>117</v>
      </c>
      <c r="X20" t="s">
        <v>117</v>
      </c>
      <c r="Y20" t="s">
        <v>117</v>
      </c>
      <c r="Z20" t="s">
        <v>117</v>
      </c>
      <c r="AA20" t="s">
        <v>117</v>
      </c>
      <c r="AB20" t="s">
        <v>117</v>
      </c>
      <c r="AC20" t="s">
        <v>117</v>
      </c>
      <c r="AD20" t="s">
        <v>117</v>
      </c>
      <c r="AE20" t="s">
        <v>117</v>
      </c>
    </row>
    <row r="21" spans="1:31" x14ac:dyDescent="0.3">
      <c r="A21">
        <v>20</v>
      </c>
      <c r="B21" t="s">
        <v>79</v>
      </c>
      <c r="C21">
        <v>88</v>
      </c>
      <c r="D21" t="s">
        <v>212</v>
      </c>
      <c r="E21" t="s">
        <v>80</v>
      </c>
      <c r="F21" t="s">
        <v>232</v>
      </c>
      <c r="G21" t="s">
        <v>81</v>
      </c>
      <c r="H21" t="s">
        <v>219</v>
      </c>
      <c r="I21" t="str">
        <f>VLOOKUP(H21, teamLookup!A:B, 2, FALSE)</f>
        <v>T8R</v>
      </c>
      <c r="J21" t="s">
        <v>10</v>
      </c>
      <c r="K21" t="s">
        <v>11</v>
      </c>
      <c r="L21" t="s">
        <v>125</v>
      </c>
      <c r="M21" t="s">
        <v>117</v>
      </c>
      <c r="N21" t="s">
        <v>117</v>
      </c>
      <c r="O21" t="s">
        <v>175</v>
      </c>
      <c r="P21" t="s">
        <v>117</v>
      </c>
      <c r="Q21" t="s">
        <v>117</v>
      </c>
      <c r="R21" t="s">
        <v>117</v>
      </c>
      <c r="S21" t="s">
        <v>117</v>
      </c>
      <c r="T21" t="s">
        <v>117</v>
      </c>
      <c r="U21" t="s">
        <v>117</v>
      </c>
      <c r="V21" t="s">
        <v>117</v>
      </c>
      <c r="W21" t="s">
        <v>117</v>
      </c>
      <c r="X21" t="s">
        <v>117</v>
      </c>
      <c r="Y21" t="s">
        <v>117</v>
      </c>
      <c r="Z21" t="s">
        <v>117</v>
      </c>
      <c r="AA21" t="s">
        <v>117</v>
      </c>
      <c r="AB21" t="s">
        <v>117</v>
      </c>
      <c r="AC21" t="s">
        <v>117</v>
      </c>
      <c r="AD21" t="s">
        <v>117</v>
      </c>
      <c r="AE21" t="s">
        <v>117</v>
      </c>
    </row>
    <row r="22" spans="1:31" x14ac:dyDescent="0.3">
      <c r="A22">
        <v>21</v>
      </c>
      <c r="B22" t="s">
        <v>83</v>
      </c>
      <c r="C22">
        <v>96</v>
      </c>
      <c r="D22" t="s">
        <v>148</v>
      </c>
      <c r="E22" t="s">
        <v>84</v>
      </c>
      <c r="F22" t="s">
        <v>196</v>
      </c>
      <c r="G22" t="s">
        <v>85</v>
      </c>
      <c r="H22" t="s">
        <v>223</v>
      </c>
      <c r="I22" t="str">
        <f>VLOOKUP(H22, teamLookup!A:B, 2, FALSE)</f>
        <v>B96</v>
      </c>
      <c r="J22" t="s">
        <v>20</v>
      </c>
      <c r="K22" t="s">
        <v>21</v>
      </c>
      <c r="L22" t="s">
        <v>134</v>
      </c>
      <c r="M22" t="s">
        <v>117</v>
      </c>
      <c r="N22" t="s">
        <v>117</v>
      </c>
      <c r="O22" t="s">
        <v>176</v>
      </c>
      <c r="P22" t="s">
        <v>117</v>
      </c>
      <c r="Q22" t="s">
        <v>117</v>
      </c>
      <c r="R22" t="s">
        <v>117</v>
      </c>
      <c r="S22" t="s">
        <v>117</v>
      </c>
      <c r="T22" t="s">
        <v>117</v>
      </c>
      <c r="U22" t="s">
        <v>117</v>
      </c>
      <c r="V22" t="s">
        <v>117</v>
      </c>
      <c r="W22" t="s">
        <v>117</v>
      </c>
      <c r="X22" t="s">
        <v>117</v>
      </c>
      <c r="Y22" t="s">
        <v>117</v>
      </c>
      <c r="Z22" t="s">
        <v>117</v>
      </c>
      <c r="AA22" t="s">
        <v>117</v>
      </c>
      <c r="AB22" t="s">
        <v>117</v>
      </c>
      <c r="AC22" t="s">
        <v>117</v>
      </c>
      <c r="AD22" t="s">
        <v>117</v>
      </c>
      <c r="AE22" t="s">
        <v>117</v>
      </c>
    </row>
    <row r="23" spans="1:31" x14ac:dyDescent="0.3">
      <c r="A23">
        <v>22</v>
      </c>
      <c r="B23" t="s">
        <v>86</v>
      </c>
      <c r="C23">
        <v>99</v>
      </c>
      <c r="D23" t="s">
        <v>149</v>
      </c>
      <c r="E23" t="s">
        <v>87</v>
      </c>
      <c r="F23" t="s">
        <v>197</v>
      </c>
      <c r="G23" t="s">
        <v>88</v>
      </c>
      <c r="H23" t="s">
        <v>41</v>
      </c>
      <c r="I23" t="str">
        <f>VLOOKUP(H23, teamLookup!A:B, 2, FALSE)</f>
        <v>ERE</v>
      </c>
      <c r="J23" t="s">
        <v>151</v>
      </c>
      <c r="K23" t="s">
        <v>180</v>
      </c>
      <c r="L23" t="s">
        <v>126</v>
      </c>
      <c r="M23" t="s">
        <v>117</v>
      </c>
      <c r="N23" t="s">
        <v>117</v>
      </c>
      <c r="O23" t="s">
        <v>177</v>
      </c>
      <c r="P23" t="s">
        <v>117</v>
      </c>
      <c r="Q23" t="s">
        <v>117</v>
      </c>
      <c r="R23" t="s">
        <v>117</v>
      </c>
      <c r="S23" t="s">
        <v>117</v>
      </c>
      <c r="T23" t="s">
        <v>117</v>
      </c>
      <c r="U23" t="s">
        <v>117</v>
      </c>
      <c r="V23" t="s">
        <v>117</v>
      </c>
      <c r="W23" t="s">
        <v>117</v>
      </c>
      <c r="X23" t="s">
        <v>117</v>
      </c>
      <c r="Y23" t="s">
        <v>117</v>
      </c>
      <c r="Z23" t="s">
        <v>117</v>
      </c>
      <c r="AA23" t="s">
        <v>117</v>
      </c>
      <c r="AB23" t="s">
        <v>117</v>
      </c>
      <c r="AC23" t="s">
        <v>117</v>
      </c>
      <c r="AD23" t="s">
        <v>117</v>
      </c>
      <c r="AE23" t="s">
        <v>117</v>
      </c>
    </row>
    <row r="24" spans="1:31" x14ac:dyDescent="0.3">
      <c r="A24">
        <v>23</v>
      </c>
      <c r="B24" t="s">
        <v>89</v>
      </c>
      <c r="C24">
        <v>777</v>
      </c>
      <c r="D24" t="s">
        <v>213</v>
      </c>
      <c r="E24" t="s">
        <v>90</v>
      </c>
      <c r="F24" t="s">
        <v>198</v>
      </c>
      <c r="G24" t="s">
        <v>72</v>
      </c>
      <c r="H24" t="s">
        <v>216</v>
      </c>
      <c r="I24" t="str">
        <f>VLOOKUP(H24, teamLookup!A:B, 2, FALSE)</f>
        <v>PAR</v>
      </c>
      <c r="J24" t="s">
        <v>151</v>
      </c>
      <c r="K24" t="s">
        <v>180</v>
      </c>
      <c r="L24" t="s">
        <v>131</v>
      </c>
      <c r="M24" t="s">
        <v>117</v>
      </c>
      <c r="N24" t="s">
        <v>117</v>
      </c>
      <c r="O24" t="s">
        <v>178</v>
      </c>
      <c r="P24" t="s">
        <v>117</v>
      </c>
      <c r="Q24" t="s">
        <v>117</v>
      </c>
      <c r="R24" t="s">
        <v>117</v>
      </c>
      <c r="S24" t="s">
        <v>117</v>
      </c>
      <c r="T24" t="s">
        <v>117</v>
      </c>
      <c r="U24" t="s">
        <v>117</v>
      </c>
      <c r="V24" t="s">
        <v>117</v>
      </c>
      <c r="W24" t="s">
        <v>117</v>
      </c>
      <c r="X24" t="s">
        <v>117</v>
      </c>
      <c r="Y24" t="s">
        <v>117</v>
      </c>
      <c r="Z24" t="s">
        <v>117</v>
      </c>
      <c r="AA24" t="s">
        <v>117</v>
      </c>
      <c r="AB24" t="s">
        <v>117</v>
      </c>
      <c r="AC24" t="s">
        <v>117</v>
      </c>
      <c r="AD24" t="s">
        <v>117</v>
      </c>
      <c r="AE24" t="s">
        <v>117</v>
      </c>
    </row>
    <row r="25" spans="1:31" x14ac:dyDescent="0.3">
      <c r="A25">
        <v>24</v>
      </c>
      <c r="B25" t="s">
        <v>91</v>
      </c>
      <c r="C25">
        <v>888</v>
      </c>
      <c r="D25" t="s">
        <v>150</v>
      </c>
      <c r="E25" t="s">
        <v>92</v>
      </c>
      <c r="F25" t="s">
        <v>183</v>
      </c>
      <c r="G25" t="s">
        <v>81</v>
      </c>
      <c r="H25" t="s">
        <v>219</v>
      </c>
      <c r="I25" t="str">
        <f>VLOOKUP(H25, teamLookup!A:B, 2, FALSE)</f>
        <v>T8R</v>
      </c>
      <c r="J25" t="s">
        <v>10</v>
      </c>
      <c r="K25" t="s">
        <v>11</v>
      </c>
      <c r="L25" t="s">
        <v>123</v>
      </c>
      <c r="M25" t="s">
        <v>117</v>
      </c>
      <c r="N25" t="s">
        <v>117</v>
      </c>
      <c r="O25" t="s">
        <v>179</v>
      </c>
      <c r="P25" t="s">
        <v>117</v>
      </c>
      <c r="Q25" t="s">
        <v>117</v>
      </c>
      <c r="R25" t="s">
        <v>117</v>
      </c>
      <c r="S25" t="s">
        <v>117</v>
      </c>
      <c r="T25" t="s">
        <v>117</v>
      </c>
      <c r="U25" t="s">
        <v>117</v>
      </c>
      <c r="V25" t="s">
        <v>117</v>
      </c>
      <c r="W25" t="s">
        <v>117</v>
      </c>
      <c r="X25" t="s">
        <v>117</v>
      </c>
      <c r="Y25" t="s">
        <v>117</v>
      </c>
      <c r="Z25" t="s">
        <v>117</v>
      </c>
      <c r="AA25" t="s">
        <v>117</v>
      </c>
      <c r="AB25" t="s">
        <v>117</v>
      </c>
      <c r="AC25" t="s">
        <v>117</v>
      </c>
      <c r="AD25" t="s">
        <v>117</v>
      </c>
      <c r="AE25" t="s">
        <v>117</v>
      </c>
    </row>
    <row r="26" spans="1:31" x14ac:dyDescent="0.3">
      <c r="A26">
        <v>25</v>
      </c>
      <c r="B26" t="s">
        <v>117</v>
      </c>
      <c r="C26">
        <v>14</v>
      </c>
      <c r="D26" t="s">
        <v>199</v>
      </c>
      <c r="E26" t="s">
        <v>233</v>
      </c>
      <c r="F26" t="s">
        <v>241</v>
      </c>
      <c r="G26" t="s">
        <v>240</v>
      </c>
      <c r="H26" t="s">
        <v>247</v>
      </c>
      <c r="I26" t="s">
        <v>248</v>
      </c>
      <c r="J26" t="s">
        <v>10</v>
      </c>
      <c r="K26" t="s">
        <v>11</v>
      </c>
      <c r="L26" t="s">
        <v>233</v>
      </c>
      <c r="M26" t="s">
        <v>117</v>
      </c>
      <c r="N26" t="s">
        <v>117</v>
      </c>
      <c r="O26" t="s">
        <v>117</v>
      </c>
      <c r="P26" t="s">
        <v>117</v>
      </c>
      <c r="Q26" t="s">
        <v>117</v>
      </c>
      <c r="R26" t="s">
        <v>117</v>
      </c>
      <c r="S26" t="s">
        <v>117</v>
      </c>
      <c r="T26" t="s">
        <v>117</v>
      </c>
      <c r="U26" t="s">
        <v>117</v>
      </c>
      <c r="V26" t="s">
        <v>117</v>
      </c>
      <c r="W26" t="s">
        <v>117</v>
      </c>
      <c r="X26" t="s">
        <v>117</v>
      </c>
      <c r="Y26" t="s">
        <v>117</v>
      </c>
      <c r="Z26" t="s">
        <v>117</v>
      </c>
      <c r="AA26" t="s">
        <v>117</v>
      </c>
      <c r="AB26" t="s">
        <v>117</v>
      </c>
      <c r="AC26" t="s">
        <v>117</v>
      </c>
      <c r="AD26" t="s">
        <v>117</v>
      </c>
      <c r="AE26" t="s">
        <v>117</v>
      </c>
    </row>
    <row r="27" spans="1:31" x14ac:dyDescent="0.3">
      <c r="A27">
        <v>26</v>
      </c>
      <c r="B27" t="s">
        <v>117</v>
      </c>
      <c r="C27">
        <v>118</v>
      </c>
      <c r="D27" t="s">
        <v>199</v>
      </c>
      <c r="E27" t="s">
        <v>234</v>
      </c>
      <c r="F27" t="s">
        <v>196</v>
      </c>
      <c r="G27" t="s">
        <v>240</v>
      </c>
      <c r="H27" t="s">
        <v>247</v>
      </c>
      <c r="I27" t="s">
        <v>248</v>
      </c>
      <c r="J27" t="s">
        <v>10</v>
      </c>
      <c r="K27" t="s">
        <v>11</v>
      </c>
      <c r="L27" t="s">
        <v>234</v>
      </c>
      <c r="M27" t="s">
        <v>117</v>
      </c>
      <c r="N27" t="s">
        <v>117</v>
      </c>
      <c r="O27" t="s">
        <v>117</v>
      </c>
      <c r="P27" t="s">
        <v>117</v>
      </c>
      <c r="Q27" t="s">
        <v>117</v>
      </c>
      <c r="R27" t="s">
        <v>117</v>
      </c>
      <c r="S27" t="s">
        <v>117</v>
      </c>
      <c r="T27" t="s">
        <v>117</v>
      </c>
      <c r="U27" t="s">
        <v>117</v>
      </c>
      <c r="V27" t="s">
        <v>117</v>
      </c>
      <c r="W27" t="s">
        <v>117</v>
      </c>
      <c r="X27" t="s">
        <v>117</v>
      </c>
      <c r="Y27" t="s">
        <v>117</v>
      </c>
      <c r="Z27" t="s">
        <v>117</v>
      </c>
      <c r="AA27" t="s">
        <v>117</v>
      </c>
      <c r="AB27" t="s">
        <v>117</v>
      </c>
      <c r="AC27" t="s">
        <v>117</v>
      </c>
      <c r="AD27" t="s">
        <v>117</v>
      </c>
      <c r="AE27" t="s">
        <v>117</v>
      </c>
    </row>
    <row r="28" spans="1:31" x14ac:dyDescent="0.3">
      <c r="A28">
        <v>27</v>
      </c>
      <c r="B28" t="s">
        <v>117</v>
      </c>
      <c r="C28">
        <v>70</v>
      </c>
      <c r="D28" t="s">
        <v>199</v>
      </c>
      <c r="E28" t="s">
        <v>235</v>
      </c>
      <c r="F28" t="s">
        <v>242</v>
      </c>
      <c r="G28" t="s">
        <v>240</v>
      </c>
      <c r="H28" t="s">
        <v>247</v>
      </c>
      <c r="I28" t="s">
        <v>248</v>
      </c>
      <c r="J28" t="s">
        <v>10</v>
      </c>
      <c r="K28" t="s">
        <v>11</v>
      </c>
      <c r="L28" t="s">
        <v>235</v>
      </c>
      <c r="M28" t="s">
        <v>117</v>
      </c>
      <c r="N28" t="s">
        <v>117</v>
      </c>
      <c r="O28" t="s">
        <v>117</v>
      </c>
      <c r="P28" t="s">
        <v>117</v>
      </c>
      <c r="Q28" t="s">
        <v>117</v>
      </c>
      <c r="R28" t="s">
        <v>117</v>
      </c>
      <c r="S28" t="s">
        <v>117</v>
      </c>
      <c r="T28" t="s">
        <v>117</v>
      </c>
      <c r="U28" t="s">
        <v>117</v>
      </c>
      <c r="V28" t="s">
        <v>117</v>
      </c>
      <c r="W28" t="s">
        <v>117</v>
      </c>
      <c r="X28" t="s">
        <v>117</v>
      </c>
      <c r="Y28" t="s">
        <v>117</v>
      </c>
      <c r="Z28" t="s">
        <v>117</v>
      </c>
      <c r="AA28" t="s">
        <v>117</v>
      </c>
      <c r="AB28" t="s">
        <v>117</v>
      </c>
      <c r="AC28" t="s">
        <v>117</v>
      </c>
      <c r="AD28" t="s">
        <v>117</v>
      </c>
      <c r="AE28" t="s">
        <v>117</v>
      </c>
    </row>
    <row r="29" spans="1:31" x14ac:dyDescent="0.3">
      <c r="A29">
        <v>28</v>
      </c>
      <c r="B29" t="s">
        <v>117</v>
      </c>
      <c r="C29">
        <v>12</v>
      </c>
      <c r="D29" t="s">
        <v>199</v>
      </c>
      <c r="E29" t="s">
        <v>236</v>
      </c>
      <c r="F29" t="s">
        <v>243</v>
      </c>
      <c r="G29" t="s">
        <v>240</v>
      </c>
      <c r="H29" t="s">
        <v>247</v>
      </c>
      <c r="I29" t="s">
        <v>248</v>
      </c>
      <c r="J29" t="s">
        <v>10</v>
      </c>
      <c r="K29" t="s">
        <v>11</v>
      </c>
      <c r="L29" t="s">
        <v>236</v>
      </c>
      <c r="M29" t="s">
        <v>117</v>
      </c>
      <c r="N29" t="s">
        <v>117</v>
      </c>
      <c r="O29" t="s">
        <v>117</v>
      </c>
      <c r="P29" t="s">
        <v>117</v>
      </c>
      <c r="Q29" t="s">
        <v>117</v>
      </c>
      <c r="R29" t="s">
        <v>117</v>
      </c>
      <c r="S29" t="s">
        <v>117</v>
      </c>
      <c r="T29" t="s">
        <v>117</v>
      </c>
      <c r="U29" t="s">
        <v>117</v>
      </c>
      <c r="V29" t="s">
        <v>117</v>
      </c>
      <c r="W29" t="s">
        <v>117</v>
      </c>
      <c r="X29" t="s">
        <v>117</v>
      </c>
      <c r="Y29" t="s">
        <v>117</v>
      </c>
      <c r="Z29" t="s">
        <v>117</v>
      </c>
      <c r="AA29" t="s">
        <v>117</v>
      </c>
      <c r="AB29" t="s">
        <v>117</v>
      </c>
      <c r="AC29" t="s">
        <v>117</v>
      </c>
      <c r="AD29" t="s">
        <v>117</v>
      </c>
      <c r="AE29" t="s">
        <v>117</v>
      </c>
    </row>
    <row r="30" spans="1:31" x14ac:dyDescent="0.3">
      <c r="A30">
        <v>29</v>
      </c>
      <c r="B30" t="s">
        <v>117</v>
      </c>
      <c r="C30">
        <v>222</v>
      </c>
      <c r="D30" t="s">
        <v>199</v>
      </c>
      <c r="E30" t="s">
        <v>237</v>
      </c>
      <c r="F30" t="s">
        <v>244</v>
      </c>
      <c r="G30" t="s">
        <v>240</v>
      </c>
      <c r="H30" t="s">
        <v>247</v>
      </c>
      <c r="I30" t="s">
        <v>248</v>
      </c>
      <c r="J30" t="s">
        <v>10</v>
      </c>
      <c r="K30" t="s">
        <v>11</v>
      </c>
      <c r="L30" t="s">
        <v>237</v>
      </c>
      <c r="M30" t="s">
        <v>117</v>
      </c>
      <c r="N30" t="s">
        <v>117</v>
      </c>
      <c r="O30" t="s">
        <v>117</v>
      </c>
      <c r="P30" t="s">
        <v>117</v>
      </c>
      <c r="Q30" t="s">
        <v>117</v>
      </c>
      <c r="R30" t="s">
        <v>117</v>
      </c>
      <c r="S30" t="s">
        <v>117</v>
      </c>
      <c r="T30" t="s">
        <v>117</v>
      </c>
      <c r="U30" t="s">
        <v>117</v>
      </c>
      <c r="V30" t="s">
        <v>117</v>
      </c>
      <c r="W30" t="s">
        <v>117</v>
      </c>
      <c r="X30" t="s">
        <v>117</v>
      </c>
      <c r="Y30" t="s">
        <v>117</v>
      </c>
      <c r="Z30" t="s">
        <v>117</v>
      </c>
      <c r="AA30" t="s">
        <v>117</v>
      </c>
      <c r="AB30" t="s">
        <v>117</v>
      </c>
      <c r="AC30" t="s">
        <v>117</v>
      </c>
      <c r="AD30" t="s">
        <v>117</v>
      </c>
      <c r="AE30" t="s">
        <v>117</v>
      </c>
    </row>
    <row r="31" spans="1:31" x14ac:dyDescent="0.3">
      <c r="A31">
        <v>30</v>
      </c>
      <c r="B31" t="s">
        <v>117</v>
      </c>
      <c r="C31">
        <v>62</v>
      </c>
      <c r="D31" t="s">
        <v>199</v>
      </c>
      <c r="E31" t="s">
        <v>238</v>
      </c>
      <c r="F31" t="s">
        <v>245</v>
      </c>
      <c r="G31" t="s">
        <v>240</v>
      </c>
      <c r="H31" t="s">
        <v>247</v>
      </c>
      <c r="I31" t="s">
        <v>248</v>
      </c>
      <c r="J31" t="s">
        <v>10</v>
      </c>
      <c r="K31" t="s">
        <v>11</v>
      </c>
      <c r="L31" t="s">
        <v>238</v>
      </c>
      <c r="M31" t="s">
        <v>117</v>
      </c>
      <c r="N31" t="s">
        <v>117</v>
      </c>
      <c r="O31" t="s">
        <v>117</v>
      </c>
      <c r="P31" t="s">
        <v>117</v>
      </c>
      <c r="Q31" t="s">
        <v>117</v>
      </c>
      <c r="R31" t="s">
        <v>117</v>
      </c>
      <c r="S31" t="s">
        <v>117</v>
      </c>
      <c r="T31" t="s">
        <v>117</v>
      </c>
      <c r="U31" t="s">
        <v>117</v>
      </c>
      <c r="V31" t="s">
        <v>117</v>
      </c>
      <c r="W31" t="s">
        <v>117</v>
      </c>
      <c r="X31" t="s">
        <v>117</v>
      </c>
      <c r="Y31" t="s">
        <v>117</v>
      </c>
      <c r="Z31" t="s">
        <v>117</v>
      </c>
      <c r="AA31" t="s">
        <v>117</v>
      </c>
      <c r="AB31" t="s">
        <v>117</v>
      </c>
      <c r="AC31" t="s">
        <v>117</v>
      </c>
      <c r="AD31" t="s">
        <v>117</v>
      </c>
      <c r="AE31" t="s">
        <v>117</v>
      </c>
    </row>
    <row r="32" spans="1:31" x14ac:dyDescent="0.3">
      <c r="A32">
        <v>31</v>
      </c>
      <c r="B32" t="s">
        <v>117</v>
      </c>
      <c r="C32">
        <v>17</v>
      </c>
      <c r="D32" t="s">
        <v>199</v>
      </c>
      <c r="E32" t="s">
        <v>239</v>
      </c>
      <c r="F32" t="s">
        <v>246</v>
      </c>
      <c r="G32" t="s">
        <v>240</v>
      </c>
      <c r="H32" t="s">
        <v>247</v>
      </c>
      <c r="I32" t="s">
        <v>248</v>
      </c>
      <c r="J32" t="s">
        <v>10</v>
      </c>
      <c r="K32" t="s">
        <v>11</v>
      </c>
      <c r="L32" t="s">
        <v>239</v>
      </c>
      <c r="M32" t="s">
        <v>117</v>
      </c>
      <c r="N32" t="s">
        <v>117</v>
      </c>
      <c r="O32" t="s">
        <v>117</v>
      </c>
      <c r="P32" t="s">
        <v>117</v>
      </c>
      <c r="Q32" t="s">
        <v>117</v>
      </c>
      <c r="R32" t="s">
        <v>117</v>
      </c>
      <c r="S32" t="s">
        <v>117</v>
      </c>
      <c r="T32" t="s">
        <v>117</v>
      </c>
      <c r="U32" t="s">
        <v>117</v>
      </c>
      <c r="V32" t="s">
        <v>117</v>
      </c>
      <c r="W32" t="s">
        <v>117</v>
      </c>
      <c r="X32" t="s">
        <v>117</v>
      </c>
      <c r="Y32" t="s">
        <v>117</v>
      </c>
      <c r="Z32" t="s">
        <v>117</v>
      </c>
      <c r="AA32" t="s">
        <v>117</v>
      </c>
      <c r="AB32" t="s">
        <v>117</v>
      </c>
      <c r="AC32" t="s">
        <v>117</v>
      </c>
      <c r="AD32" t="s">
        <v>117</v>
      </c>
      <c r="AE32" t="s">
        <v>117</v>
      </c>
    </row>
    <row r="43" spans="5:5" x14ac:dyDescent="0.3">
      <c r="E43" t="str">
        <f t="shared" ref="E43:E57" si="0">IF(COUNTIF($F:$F, I15)&gt;0, I15, "")</f>
        <v/>
      </c>
    </row>
    <row r="44" spans="5:5" x14ac:dyDescent="0.3">
      <c r="E44" t="str">
        <f t="shared" si="0"/>
        <v/>
      </c>
    </row>
    <row r="45" spans="5:5" x14ac:dyDescent="0.3">
      <c r="E45" t="str">
        <f t="shared" si="0"/>
        <v/>
      </c>
    </row>
    <row r="46" spans="5:5" x14ac:dyDescent="0.3">
      <c r="E46" t="str">
        <f t="shared" si="0"/>
        <v/>
      </c>
    </row>
    <row r="47" spans="5:5" x14ac:dyDescent="0.3">
      <c r="E47" t="str">
        <f t="shared" si="0"/>
        <v/>
      </c>
    </row>
    <row r="48" spans="5:5" x14ac:dyDescent="0.3">
      <c r="E48" t="str">
        <f t="shared" si="0"/>
        <v/>
      </c>
    </row>
    <row r="49" spans="5:5" x14ac:dyDescent="0.3">
      <c r="E49" t="str">
        <f t="shared" si="0"/>
        <v/>
      </c>
    </row>
    <row r="50" spans="5:5" x14ac:dyDescent="0.3">
      <c r="E50" t="str">
        <f t="shared" si="0"/>
        <v/>
      </c>
    </row>
    <row r="51" spans="5:5" x14ac:dyDescent="0.3">
      <c r="E51" t="str">
        <f t="shared" si="0"/>
        <v/>
      </c>
    </row>
    <row r="52" spans="5:5" x14ac:dyDescent="0.3">
      <c r="E52" t="str">
        <f t="shared" si="0"/>
        <v/>
      </c>
    </row>
    <row r="53" spans="5:5" x14ac:dyDescent="0.3">
      <c r="E53" t="str">
        <f t="shared" si="0"/>
        <v/>
      </c>
    </row>
    <row r="54" spans="5:5" x14ac:dyDescent="0.3">
      <c r="E54" t="str">
        <f t="shared" si="0"/>
        <v/>
      </c>
    </row>
    <row r="55" spans="5:5" x14ac:dyDescent="0.3">
      <c r="E55" t="str">
        <f t="shared" si="0"/>
        <v/>
      </c>
    </row>
    <row r="56" spans="5:5" x14ac:dyDescent="0.3">
      <c r="E56" t="str">
        <f t="shared" si="0"/>
        <v/>
      </c>
    </row>
    <row r="57" spans="5:5" x14ac:dyDescent="0.3">
      <c r="E57" t="str">
        <f t="shared" si="0"/>
        <v/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EA2-DFDA-4696-AC0A-856C797B1168}">
  <dimension ref="A1:B14"/>
  <sheetViews>
    <sheetView workbookViewId="0">
      <selection activeCell="B7" sqref="B7"/>
    </sheetView>
  </sheetViews>
  <sheetFormatPr defaultRowHeight="14.4" x14ac:dyDescent="0.3"/>
  <cols>
    <col min="1" max="1" width="24.109375" bestFit="1" customWidth="1"/>
  </cols>
  <sheetData>
    <row r="1" spans="1:2" ht="15" thickBot="1" x14ac:dyDescent="0.35">
      <c r="A1" s="7" t="s">
        <v>225</v>
      </c>
      <c r="B1" s="8" t="s">
        <v>214</v>
      </c>
    </row>
    <row r="2" spans="1:2" x14ac:dyDescent="0.3">
      <c r="A2" s="1" t="s">
        <v>220</v>
      </c>
      <c r="B2" s="4" t="s">
        <v>215</v>
      </c>
    </row>
    <row r="3" spans="1:2" x14ac:dyDescent="0.3">
      <c r="A3" s="2" t="s">
        <v>18</v>
      </c>
      <c r="B3" s="5" t="s">
        <v>19</v>
      </c>
    </row>
    <row r="4" spans="1:2" x14ac:dyDescent="0.3">
      <c r="A4" s="2" t="s">
        <v>25</v>
      </c>
      <c r="B4" s="5" t="s">
        <v>26</v>
      </c>
    </row>
    <row r="5" spans="1:2" x14ac:dyDescent="0.3">
      <c r="A5" s="2" t="s">
        <v>30</v>
      </c>
      <c r="B5" s="5" t="s">
        <v>218</v>
      </c>
    </row>
    <row r="6" spans="1:2" x14ac:dyDescent="0.3">
      <c r="A6" s="2" t="s">
        <v>37</v>
      </c>
      <c r="B6" s="5" t="s">
        <v>38</v>
      </c>
    </row>
    <row r="7" spans="1:2" x14ac:dyDescent="0.3">
      <c r="A7" s="2" t="s">
        <v>41</v>
      </c>
      <c r="B7" s="5" t="s">
        <v>226</v>
      </c>
    </row>
    <row r="8" spans="1:2" x14ac:dyDescent="0.3">
      <c r="A8" s="2" t="s">
        <v>221</v>
      </c>
      <c r="B8" s="5" t="s">
        <v>222</v>
      </c>
    </row>
    <row r="9" spans="1:2" x14ac:dyDescent="0.3">
      <c r="A9" s="2" t="s">
        <v>54</v>
      </c>
      <c r="B9" s="5" t="s">
        <v>55</v>
      </c>
    </row>
    <row r="10" spans="1:2" x14ac:dyDescent="0.3">
      <c r="A10" s="2" t="s">
        <v>59</v>
      </c>
      <c r="B10" s="5" t="s">
        <v>60</v>
      </c>
    </row>
    <row r="11" spans="1:2" x14ac:dyDescent="0.3">
      <c r="A11" s="2" t="s">
        <v>64</v>
      </c>
      <c r="B11" s="5" t="s">
        <v>217</v>
      </c>
    </row>
    <row r="12" spans="1:2" x14ac:dyDescent="0.3">
      <c r="A12" s="2" t="s">
        <v>216</v>
      </c>
      <c r="B12" s="5" t="s">
        <v>73</v>
      </c>
    </row>
    <row r="13" spans="1:2" x14ac:dyDescent="0.3">
      <c r="A13" s="2" t="s">
        <v>219</v>
      </c>
      <c r="B13" s="5" t="s">
        <v>82</v>
      </c>
    </row>
    <row r="14" spans="1:2" ht="15" thickBot="1" x14ac:dyDescent="0.35">
      <c r="A14" s="3" t="s">
        <v>223</v>
      </c>
      <c r="B14" s="6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driverAlias</vt:lpstr>
      <vt:lpstr>teamLookup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2026-02-21T07:15:17Z</dcterms:created>
  <dcterms:modified xsi:type="dcterms:W3CDTF">2026-05-19T02:59:52Z</dcterms:modified>
</cp:coreProperties>
</file>