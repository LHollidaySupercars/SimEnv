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Motec_MP\alias\"/>
    </mc:Choice>
  </mc:AlternateContent>
  <xr:revisionPtr revIDLastSave="0" documentId="13_ncr:1_{5FCBEF90-9AFA-4065-9DB5-7F3E7DBCF613}" xr6:coauthVersionLast="47" xr6:coauthVersionMax="47" xr10:uidLastSave="{00000000-0000-0000-0000-000000000000}"/>
  <bookViews>
    <workbookView xWindow="-28920" yWindow="-120" windowWidth="29040" windowHeight="15720" xr2:uid="{F4E9EF79-5CED-499A-8721-7FE03FA878BA}"/>
  </bookViews>
  <sheets>
    <sheet name="driverAlias" sheetId="1" r:id="rId1"/>
    <sheet name="teamLookup" sheetId="2" r:id="rId2"/>
  </sheets>
  <definedNames>
    <definedName name="_xlnm._FilterDatabase" localSheetId="0" hidden="1">driverAlias!$A$1:$AF$25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E36" i="1" s="1"/>
  <c r="J16" i="1"/>
  <c r="E37" i="1" s="1"/>
  <c r="J17" i="1"/>
  <c r="E38" i="1" s="1"/>
  <c r="J18" i="1"/>
  <c r="E39" i="1" s="1"/>
  <c r="J19" i="1"/>
  <c r="E40" i="1" s="1"/>
  <c r="J20" i="1"/>
  <c r="E41" i="1" s="1"/>
  <c r="J21" i="1"/>
  <c r="E42" i="1" s="1"/>
  <c r="J22" i="1"/>
  <c r="E43" i="1" s="1"/>
  <c r="J23" i="1"/>
  <c r="E44" i="1" s="1"/>
  <c r="J24" i="1"/>
  <c r="E45" i="1" s="1"/>
  <c r="J25" i="1"/>
  <c r="E46" i="1" s="1"/>
  <c r="J2" i="1"/>
  <c r="E49" i="1"/>
  <c r="E47" i="1"/>
  <c r="E48" i="1"/>
  <c r="E50" i="1"/>
</calcChain>
</file>

<file path=xl/sharedStrings.xml><?xml version="1.0" encoding="utf-8"?>
<sst xmlns="http://schemas.openxmlformats.org/spreadsheetml/2006/main" count="881" uniqueCount="284">
  <si>
    <t>Unique Drivers IDs</t>
  </si>
  <si>
    <t>NUM</t>
  </si>
  <si>
    <t>DRV</t>
  </si>
  <si>
    <t>SPN_TM</t>
  </si>
  <si>
    <t>TM</t>
  </si>
  <si>
    <t>TM_TLA</t>
  </si>
  <si>
    <t>MAN</t>
  </si>
  <si>
    <t>38-RG, GEN3 Ford</t>
  </si>
  <si>
    <t>Chaz Mostert</t>
  </si>
  <si>
    <t>Mobile 1 Optus Racing</t>
  </si>
  <si>
    <t>Ford</t>
  </si>
  <si>
    <t>FRD</t>
  </si>
  <si>
    <t>6-CW, GEN3 Ford</t>
  </si>
  <si>
    <t>Ryan Wood</t>
  </si>
  <si>
    <t>Mobile 1 Truck Racing</t>
  </si>
  <si>
    <t>96-MJ, GEN3 Toyota</t>
  </si>
  <si>
    <t>Aaron Cameron</t>
  </si>
  <si>
    <t>Liqui Moly BHLAST Racing</t>
  </si>
  <si>
    <t>Blanchard Racing Team</t>
  </si>
  <si>
    <t>BRT</t>
  </si>
  <si>
    <t>Toyota</t>
  </si>
  <si>
    <t>TOY</t>
  </si>
  <si>
    <t>17-BK, GEN3 Ford</t>
  </si>
  <si>
    <t>Jack Le Brocq</t>
  </si>
  <si>
    <t>Sherrin Rentals Racing</t>
  </si>
  <si>
    <t>Matt Stone Racing</t>
  </si>
  <si>
    <t>MSR</t>
  </si>
  <si>
    <t>55-TR, GEN3 Ford</t>
  </si>
  <si>
    <t>Cameron Waters</t>
  </si>
  <si>
    <t>Monster Energy Racing</t>
  </si>
  <si>
    <t>Tickford Racing</t>
  </si>
  <si>
    <t>8-AH, GEN3 Toyota</t>
  </si>
  <si>
    <t>James Golding</t>
  </si>
  <si>
    <t>Cooldrive Dacing</t>
  </si>
  <si>
    <t>9-JS, GEN3 GM</t>
  </si>
  <si>
    <t>Andre Heimgartner</t>
  </si>
  <si>
    <t>R&amp;J Batteries Racing</t>
  </si>
  <si>
    <t>Brad Jones Racing</t>
  </si>
  <si>
    <t>BJR</t>
  </si>
  <si>
    <t>18-ADP, GEN3 GM</t>
  </si>
  <si>
    <t>Jobe Stewart</t>
  </si>
  <si>
    <t>Erebus Motorsport</t>
  </si>
  <si>
    <t>26-KA, GEN3 Ford</t>
  </si>
  <si>
    <t>Zach Bates</t>
  </si>
  <si>
    <t>Bendix Racing</t>
  </si>
  <si>
    <t>99-CM, GEN3 GM</t>
  </si>
  <si>
    <t>Jackson Walls</t>
  </si>
  <si>
    <t>Objective Racing</t>
  </si>
  <si>
    <t>4-JLB, GEN3 GM</t>
  </si>
  <si>
    <t>Cameron Hill</t>
  </si>
  <si>
    <t>Dare Iced Coffee Racing</t>
  </si>
  <si>
    <t>10-ZB, GEN3 GM</t>
  </si>
  <si>
    <t>Brodie Kostecki</t>
  </si>
  <si>
    <t>Shell V-Power Racing Team</t>
  </si>
  <si>
    <t>Dick Johnson Racing</t>
  </si>
  <si>
    <t>DJR</t>
  </si>
  <si>
    <t>20-DR, GEN3 GM</t>
  </si>
  <si>
    <t xml:space="preserve">Anton De Pasquale </t>
  </si>
  <si>
    <t>DeWalt Racing</t>
  </si>
  <si>
    <t>Team 18</t>
  </si>
  <si>
    <t>T18</t>
  </si>
  <si>
    <t>1-CM, GEN3 Toyota</t>
  </si>
  <si>
    <t>Matthew Payne</t>
  </si>
  <si>
    <t>Penrite Racing</t>
  </si>
  <si>
    <t>Grove Racing</t>
  </si>
  <si>
    <t>2-RW, GEN3 Toyota</t>
  </si>
  <si>
    <t>David Reynolds</t>
  </si>
  <si>
    <t>Snowy River Caravans Racing</t>
  </si>
  <si>
    <t>3-AC, GEN3 Ford</t>
  </si>
  <si>
    <t>Kai Allen</t>
  </si>
  <si>
    <t>19-MP, GEN3 Ford</t>
  </si>
  <si>
    <t>Jayden Ojeda</t>
  </si>
  <si>
    <t>Premiair Nulon Racing</t>
  </si>
  <si>
    <t>PAR</t>
  </si>
  <si>
    <t>14-CH, GEN3 Toyota</t>
  </si>
  <si>
    <t>Rylan Gray</t>
  </si>
  <si>
    <t>31-JO, GEN3 GM</t>
  </si>
  <si>
    <t>Thomas Randle</t>
  </si>
  <si>
    <t>Castrol Racing</t>
  </si>
  <si>
    <t>777-DF, GEN3 GM</t>
  </si>
  <si>
    <t>Broc Feeney</t>
  </si>
  <si>
    <t>Red Bull Ampol Racing</t>
  </si>
  <si>
    <t>T8R</t>
  </si>
  <si>
    <t>88-BF, GEN3 Ford</t>
  </si>
  <si>
    <t>Macauley Jones</t>
  </si>
  <si>
    <t>Alphetheta Racing</t>
  </si>
  <si>
    <t>7-JG, GEN3 Ford</t>
  </si>
  <si>
    <t>Cooper Murray</t>
  </si>
  <si>
    <t>TotalEnergies Racing</t>
  </si>
  <si>
    <t>11-JW, GEN3 Ford</t>
  </si>
  <si>
    <t>Declan Fraser</t>
  </si>
  <si>
    <t>888-WB, GEN3 Ford</t>
  </si>
  <si>
    <t>Number</t>
  </si>
  <si>
    <t>MAN_TLA</t>
  </si>
  <si>
    <t>Alias1</t>
  </si>
  <si>
    <t>DRV_TLA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</si>
  <si>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</si>
  <si>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</si>
  <si>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</si>
  <si>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</si>
  <si>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</si>
  <si>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</si>
  <si>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</si>
  <si>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</si>
  <si>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</si>
  <si>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</si>
  <si>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</si>
  <si>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</si>
  <si>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</si>
  <si>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</si>
  <si>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</si>
  <si>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</si>
  <si>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</si>
  <si>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</si>
  <si>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</si>
  <si>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Andre Heimgartner, BJR019</t>
  </si>
  <si>
    <t>temp</t>
  </si>
  <si>
    <t>Cam Waters, TR28</t>
  </si>
  <si>
    <t>Thomas Randle, TR26</t>
  </si>
  <si>
    <t>Chaz Mostert, WR-032</t>
  </si>
  <si>
    <t>Ryan Wood, WR-030</t>
  </si>
  <si>
    <t>Jayden Ojeda, 888A-064</t>
  </si>
  <si>
    <t>Will Brown, 888A-073</t>
  </si>
  <si>
    <t>Jackson Walls, 888A-074</t>
  </si>
  <si>
    <t>Broc Feeney, 888A-072</t>
  </si>
  <si>
    <t>Cooper Murray, EM06</t>
  </si>
  <si>
    <t>Rylan Gray, DJRS08-MR</t>
  </si>
  <si>
    <t>Zach Bates, MSR-006</t>
  </si>
  <si>
    <t>Jobe Stewart, EM07</t>
  </si>
  <si>
    <t>Cameron Hill, BJR020</t>
  </si>
  <si>
    <t>Declan Fraser, 888A-062</t>
  </si>
  <si>
    <t>Jack Le Brocq, MSR-005</t>
  </si>
  <si>
    <t>Brodie Kostecki, DJRS09-MR</t>
  </si>
  <si>
    <t>Macauley Jones, BJR018</t>
  </si>
  <si>
    <t>Anton De Pasquale, T18-004</t>
  </si>
  <si>
    <t>David Reynolds, T18-003</t>
  </si>
  <si>
    <t>Kai Allen, GR-03</t>
  </si>
  <si>
    <t>Aaron Cameron, BRT-001</t>
  </si>
  <si>
    <t>James Golding, BRT-002</t>
  </si>
  <si>
    <t>Matt Payne, GR02</t>
  </si>
  <si>
    <t>CLR</t>
  </si>
  <si>
    <t>Chevrolet</t>
  </si>
  <si>
    <t>Cam Hill</t>
  </si>
  <si>
    <t>Cam Waters</t>
  </si>
  <si>
    <t>Jacko</t>
  </si>
  <si>
    <t>Jamie</t>
  </si>
  <si>
    <t>Chaz_Mostert</t>
  </si>
  <si>
    <t>Ryan_Wood</t>
  </si>
  <si>
    <t>Aaron_Cameron</t>
  </si>
  <si>
    <t>Cameron_Waters</t>
  </si>
  <si>
    <t>James_Golding</t>
  </si>
  <si>
    <t>Andre_Heimgartner</t>
  </si>
  <si>
    <t>Jobe_Stewart</t>
  </si>
  <si>
    <t>Zach_Bates</t>
  </si>
  <si>
    <t>Jackson_Walls</t>
  </si>
  <si>
    <t>Cameron_Hill</t>
  </si>
  <si>
    <t>Brodie_Kostecki</t>
  </si>
  <si>
    <t xml:space="preserve">Anton_De_Pasquale </t>
  </si>
  <si>
    <t>Matthew_Payne</t>
  </si>
  <si>
    <t>David_Reynolds</t>
  </si>
  <si>
    <t>Kai_Allen</t>
  </si>
  <si>
    <t>Jayden_Ojeda</t>
  </si>
  <si>
    <t>Rylan_Gray</t>
  </si>
  <si>
    <t>Thomas_Randle</t>
  </si>
  <si>
    <t>Broc_Feeney</t>
  </si>
  <si>
    <t>Macauley_Jones</t>
  </si>
  <si>
    <t>Cooper_Murray</t>
  </si>
  <si>
    <t>Declan_Fraser</t>
  </si>
  <si>
    <t>Will_Brown</t>
  </si>
  <si>
    <t>CHV</t>
  </si>
  <si>
    <t>MOS</t>
  </si>
  <si>
    <t>CAM</t>
  </si>
  <si>
    <t>BRO</t>
  </si>
  <si>
    <t>WAT</t>
  </si>
  <si>
    <t>GOL</t>
  </si>
  <si>
    <t>HEI</t>
  </si>
  <si>
    <t>STE</t>
  </si>
  <si>
    <t>BAT</t>
  </si>
  <si>
    <t>WAL</t>
  </si>
  <si>
    <t>HIL</t>
  </si>
  <si>
    <t>KOS</t>
  </si>
  <si>
    <t>REY</t>
  </si>
  <si>
    <t>OJE</t>
  </si>
  <si>
    <t>GRA</t>
  </si>
  <si>
    <t>RAN</t>
  </si>
  <si>
    <t>JON</t>
  </si>
  <si>
    <t>MUR</t>
  </si>
  <si>
    <t>FRA</t>
  </si>
  <si>
    <t>TLA</t>
  </si>
  <si>
    <t>WTR</t>
  </si>
  <si>
    <t>PremiAir Racing</t>
  </si>
  <si>
    <t>GRV</t>
  </si>
  <si>
    <t>TCK</t>
  </si>
  <si>
    <t>Triple Eight Race Engineering</t>
  </si>
  <si>
    <t>Walkinshaw TWG Racing</t>
  </si>
  <si>
    <t>SCT Motorsport</t>
  </si>
  <si>
    <t>SCT</t>
  </si>
  <si>
    <t>Brad Jones Racing (96)</t>
  </si>
  <si>
    <t>B96</t>
  </si>
  <si>
    <t>Team Name</t>
  </si>
  <si>
    <t>ERE</t>
  </si>
  <si>
    <t>WOO</t>
  </si>
  <si>
    <t>LEB</t>
  </si>
  <si>
    <t>DEP</t>
  </si>
  <si>
    <t>PAY</t>
  </si>
  <si>
    <t>ALL</t>
  </si>
  <si>
    <t>FEE</t>
  </si>
  <si>
    <t>William Brown</t>
  </si>
  <si>
    <t>Will Brown</t>
  </si>
  <si>
    <t>CM</t>
  </si>
  <si>
    <t>RW</t>
  </si>
  <si>
    <t>AC</t>
  </si>
  <si>
    <t>JLB</t>
  </si>
  <si>
    <t>CW</t>
  </si>
  <si>
    <t>JG</t>
  </si>
  <si>
    <t>AH</t>
  </si>
  <si>
    <t>JS</t>
  </si>
  <si>
    <t>ZB</t>
  </si>
  <si>
    <t>JW</t>
  </si>
  <si>
    <t>CH</t>
  </si>
  <si>
    <t>BK</t>
  </si>
  <si>
    <t>ADP</t>
  </si>
  <si>
    <t>MP</t>
  </si>
  <si>
    <t>DR</t>
  </si>
  <si>
    <t>KA</t>
  </si>
  <si>
    <t>JO</t>
  </si>
  <si>
    <t>RG</t>
  </si>
  <si>
    <t>TR</t>
  </si>
  <si>
    <t>BF</t>
  </si>
  <si>
    <t>MJ</t>
  </si>
  <si>
    <t>DF</t>
  </si>
  <si>
    <t>BR</t>
  </si>
  <si>
    <t>william_brown</t>
  </si>
  <si>
    <t>matt_payne</t>
  </si>
  <si>
    <t>jack_le_brocq</t>
  </si>
  <si>
    <t>matt payne</t>
  </si>
  <si>
    <t>888-WB</t>
  </si>
  <si>
    <t>18-ADP</t>
  </si>
  <si>
    <t>TM_sorting_TLA</t>
  </si>
  <si>
    <t>01_T8R</t>
  </si>
  <si>
    <t>02_TFR</t>
  </si>
  <si>
    <t>03_WTG</t>
  </si>
  <si>
    <t>04_GVR</t>
  </si>
  <si>
    <t>05_DJR</t>
  </si>
  <si>
    <t>06_ERE</t>
  </si>
  <si>
    <t>07_MSR</t>
  </si>
  <si>
    <t>08_PAR</t>
  </si>
  <si>
    <t>09_BJR</t>
  </si>
  <si>
    <t>10_T18</t>
  </si>
  <si>
    <t>11_BRT</t>
  </si>
  <si>
    <t>Mark Winterbottom</t>
  </si>
  <si>
    <t>Todd Hazelwood</t>
  </si>
  <si>
    <t>WIN</t>
  </si>
  <si>
    <t>HAZ</t>
  </si>
  <si>
    <t>Todd Hazelwood, DJRS09-MR</t>
  </si>
  <si>
    <t>Mark Winterbottom, TR26</t>
  </si>
  <si>
    <t>Mark_Winterbottom</t>
  </si>
  <si>
    <t>Todd_Hazelwood</t>
  </si>
  <si>
    <t>MW</t>
  </si>
  <si>
    <t>TH</t>
  </si>
  <si>
    <t>mark_winterbottom</t>
  </si>
  <si>
    <t>todd_hazelwood</t>
  </si>
  <si>
    <t>Reuben Goodall</t>
  </si>
  <si>
    <t>GOO</t>
  </si>
  <si>
    <t>TFR</t>
  </si>
  <si>
    <t>5-RG, GEN3 GM</t>
  </si>
  <si>
    <t>30-AS, GEN3 Ford</t>
  </si>
  <si>
    <t>Aaron Seton</t>
  </si>
  <si>
    <t>SET</t>
  </si>
  <si>
    <t xml:space="preserve">Chevrolet </t>
  </si>
  <si>
    <t>00-MCH</t>
  </si>
  <si>
    <t>[0,0,0]</t>
  </si>
  <si>
    <t>Mechanics R'Us</t>
  </si>
  <si>
    <t>RUS</t>
  </si>
  <si>
    <t>MCH</t>
  </si>
  <si>
    <t>Mechanics</t>
  </si>
  <si>
    <t>Bea</t>
  </si>
  <si>
    <t>Jack</t>
  </si>
  <si>
    <t>Aaron_Seton</t>
  </si>
  <si>
    <t>Reuben_Goodall</t>
  </si>
  <si>
    <t>reuben_goodall</t>
  </si>
  <si>
    <t>5-RG</t>
  </si>
  <si>
    <t>[255, 255, 255]</t>
  </si>
  <si>
    <t>[0, 255, 255]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</si>
</sst>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Menlo"/>
      <family val="2"/>
    </font>
    <font>
      <sz val="11"/>
      <color rgb="FF000000"/>
      <name val="Aptos Narrow"/>
      <family val="2"/>
      <scheme val="minor"/>
    </font>
    <font>
      <sz val="10"/>
      <color theme="1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16" fillId="35" borderId="14" xfId="0" applyFont="1" applyFill="1" applyBorder="1"/>
    <xf numFmtId="0" fontId="16" fillId="35" borderId="10" xfId="0" applyFont="1" applyFill="1" applyBorder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EEBE-4255-4441-9504-67F8E8541610}">
  <dimension ref="A1:AF50"/>
  <sheetViews>
    <sheetView tabSelected="1" workbookViewId="0">
      <selection activeCell="D16" sqref="D16"/>
    </sheetView>
  </sheetViews>
  <sheetFormatPr defaultColWidth="8.85546875" defaultRowHeight="15"/>
  <cols>
    <col min="2" max="2" width="17.42578125" bestFit="1" customWidth="1"/>
    <col min="4" max="4" width="12.85546875" bestFit="1" customWidth="1"/>
    <col min="5" max="5" width="16.42578125" bestFit="1" customWidth="1"/>
    <col min="6" max="6" width="16.42578125" customWidth="1"/>
    <col min="7" max="7" width="24.42578125" customWidth="1"/>
    <col min="8" max="8" width="21.7109375" customWidth="1"/>
    <col min="9" max="9" width="14.140625" customWidth="1"/>
    <col min="10" max="12" width="8.85546875" customWidth="1"/>
    <col min="13" max="13" width="25.140625" bestFit="1" customWidth="1"/>
    <col min="14" max="14" width="27.5703125" customWidth="1"/>
    <col min="16" max="16" width="17.85546875" bestFit="1" customWidth="1"/>
    <col min="18" max="18" width="12.42578125" bestFit="1" customWidth="1"/>
    <col min="19" max="19" width="10.140625" bestFit="1" customWidth="1"/>
  </cols>
  <sheetData>
    <row r="1" spans="1:32">
      <c r="A1" t="s">
        <v>92</v>
      </c>
      <c r="B1" t="s">
        <v>0</v>
      </c>
      <c r="C1" t="s">
        <v>1</v>
      </c>
      <c r="D1" t="s">
        <v>140</v>
      </c>
      <c r="E1" t="s">
        <v>2</v>
      </c>
      <c r="F1" t="s">
        <v>95</v>
      </c>
      <c r="G1" t="s">
        <v>3</v>
      </c>
      <c r="H1" t="s">
        <v>4</v>
      </c>
      <c r="I1" t="s">
        <v>238</v>
      </c>
      <c r="J1" t="s">
        <v>5</v>
      </c>
      <c r="K1" t="s">
        <v>6</v>
      </c>
      <c r="L1" t="s">
        <v>93</v>
      </c>
      <c r="M1" t="s">
        <v>94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</row>
    <row r="2" spans="1:32" ht="16.5">
      <c r="A2">
        <v>1</v>
      </c>
      <c r="B2" t="s">
        <v>7</v>
      </c>
      <c r="C2">
        <v>1</v>
      </c>
      <c r="D2" t="s">
        <v>282</v>
      </c>
      <c r="E2" t="s">
        <v>8</v>
      </c>
      <c r="F2" t="s">
        <v>170</v>
      </c>
      <c r="G2" t="s">
        <v>9</v>
      </c>
      <c r="H2" t="s">
        <v>194</v>
      </c>
      <c r="I2" t="s">
        <v>241</v>
      </c>
      <c r="J2" t="str">
        <f>VLOOKUP(H2, teamLookup!A:B, 2, FALSE)</f>
        <v>WTR</v>
      </c>
      <c r="K2" t="s">
        <v>20</v>
      </c>
      <c r="L2" t="s">
        <v>21</v>
      </c>
      <c r="M2" t="s">
        <v>119</v>
      </c>
      <c r="N2" t="s">
        <v>146</v>
      </c>
      <c r="O2" t="s">
        <v>209</v>
      </c>
      <c r="P2" t="s">
        <v>116</v>
      </c>
      <c r="Q2" t="str">
        <f>_xlfn.CONCAT(C2,"-",O2)</f>
        <v>1-CM</v>
      </c>
      <c r="R2" s="9" t="s">
        <v>8</v>
      </c>
      <c r="S2" t="s">
        <v>116</v>
      </c>
      <c r="T2" t="s">
        <v>116</v>
      </c>
      <c r="U2" t="s">
        <v>116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116</v>
      </c>
    </row>
    <row r="3" spans="1:32" ht="16.5">
      <c r="A3">
        <v>2</v>
      </c>
      <c r="B3" t="s">
        <v>12</v>
      </c>
      <c r="C3">
        <v>2</v>
      </c>
      <c r="D3" t="s">
        <v>282</v>
      </c>
      <c r="E3" t="s">
        <v>13</v>
      </c>
      <c r="F3" t="s">
        <v>201</v>
      </c>
      <c r="G3" t="s">
        <v>14</v>
      </c>
      <c r="H3" t="s">
        <v>194</v>
      </c>
      <c r="I3" t="s">
        <v>241</v>
      </c>
      <c r="J3" t="str">
        <f>VLOOKUP(H3, teamLookup!A:B, 2, FALSE)</f>
        <v>WTR</v>
      </c>
      <c r="K3" t="s">
        <v>20</v>
      </c>
      <c r="L3" t="s">
        <v>21</v>
      </c>
      <c r="M3" t="s">
        <v>120</v>
      </c>
      <c r="N3" t="s">
        <v>147</v>
      </c>
      <c r="O3" t="s">
        <v>210</v>
      </c>
      <c r="P3" t="s">
        <v>116</v>
      </c>
      <c r="Q3" t="str">
        <f t="shared" ref="Q3:Q25" si="0">_xlfn.CONCAT(C3,"-",O3)</f>
        <v>2-RW</v>
      </c>
      <c r="R3" s="9" t="s">
        <v>13</v>
      </c>
      <c r="S3" t="s">
        <v>116</v>
      </c>
      <c r="T3" t="s">
        <v>116</v>
      </c>
      <c r="U3" t="s">
        <v>116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116</v>
      </c>
    </row>
    <row r="4" spans="1:32">
      <c r="A4">
        <v>3</v>
      </c>
      <c r="B4" t="s">
        <v>15</v>
      </c>
      <c r="C4">
        <v>3</v>
      </c>
      <c r="D4" t="s">
        <v>282</v>
      </c>
      <c r="E4" t="s">
        <v>16</v>
      </c>
      <c r="F4" t="s">
        <v>171</v>
      </c>
      <c r="G4" t="s">
        <v>17</v>
      </c>
      <c r="H4" t="s">
        <v>18</v>
      </c>
      <c r="I4" t="s">
        <v>249</v>
      </c>
      <c r="J4" t="str">
        <f>VLOOKUP(H4, teamLookup!A:B, 2, FALSE)</f>
        <v>BRT</v>
      </c>
      <c r="K4" t="s">
        <v>10</v>
      </c>
      <c r="L4" t="s">
        <v>11</v>
      </c>
      <c r="M4" t="s">
        <v>137</v>
      </c>
      <c r="N4" t="s">
        <v>148</v>
      </c>
      <c r="O4" t="s">
        <v>211</v>
      </c>
      <c r="P4" t="s">
        <v>116</v>
      </c>
      <c r="Q4" t="str">
        <f t="shared" si="0"/>
        <v>3-AC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116</v>
      </c>
    </row>
    <row r="5" spans="1:32">
      <c r="A5">
        <v>4</v>
      </c>
      <c r="B5" t="s">
        <v>22</v>
      </c>
      <c r="C5">
        <v>4</v>
      </c>
      <c r="D5" t="s">
        <v>282</v>
      </c>
      <c r="E5" t="s">
        <v>23</v>
      </c>
      <c r="F5" t="s">
        <v>202</v>
      </c>
      <c r="G5" t="s">
        <v>24</v>
      </c>
      <c r="H5" t="s">
        <v>25</v>
      </c>
      <c r="I5" t="s">
        <v>245</v>
      </c>
      <c r="J5" t="str">
        <f>VLOOKUP(H5, teamLookup!A:B, 2, FALSE)</f>
        <v>MSR</v>
      </c>
      <c r="K5" t="s">
        <v>141</v>
      </c>
      <c r="L5" t="s">
        <v>169</v>
      </c>
      <c r="M5" t="s">
        <v>131</v>
      </c>
      <c r="N5" t="s">
        <v>23</v>
      </c>
      <c r="O5" t="s">
        <v>212</v>
      </c>
      <c r="P5" t="s">
        <v>116</v>
      </c>
      <c r="Q5" t="str">
        <f t="shared" si="0"/>
        <v>4-JLB</v>
      </c>
      <c r="R5" t="s">
        <v>234</v>
      </c>
      <c r="S5" t="s">
        <v>116</v>
      </c>
      <c r="T5" t="s">
        <v>116</v>
      </c>
      <c r="U5" t="s">
        <v>116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116</v>
      </c>
    </row>
    <row r="6" spans="1:32" ht="16.5">
      <c r="A6">
        <v>5</v>
      </c>
      <c r="B6" t="s">
        <v>27</v>
      </c>
      <c r="C6">
        <v>6</v>
      </c>
      <c r="D6" t="s">
        <v>282</v>
      </c>
      <c r="E6" t="s">
        <v>28</v>
      </c>
      <c r="F6" t="s">
        <v>173</v>
      </c>
      <c r="G6" t="s">
        <v>29</v>
      </c>
      <c r="H6" t="s">
        <v>30</v>
      </c>
      <c r="I6" t="s">
        <v>240</v>
      </c>
      <c r="J6" t="str">
        <f>VLOOKUP(H6, teamLookup!A:B, 2, FALSE)</f>
        <v>TCK</v>
      </c>
      <c r="K6" t="s">
        <v>10</v>
      </c>
      <c r="L6" t="s">
        <v>11</v>
      </c>
      <c r="M6" t="s">
        <v>117</v>
      </c>
      <c r="N6" t="s">
        <v>143</v>
      </c>
      <c r="O6" t="s">
        <v>213</v>
      </c>
      <c r="P6" t="s">
        <v>149</v>
      </c>
      <c r="Q6" t="str">
        <f t="shared" si="0"/>
        <v>6-CW</v>
      </c>
      <c r="R6" s="9" t="s">
        <v>143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</row>
    <row r="7" spans="1:32">
      <c r="A7">
        <v>6</v>
      </c>
      <c r="B7" t="s">
        <v>31</v>
      </c>
      <c r="C7">
        <v>7</v>
      </c>
      <c r="D7" t="s">
        <v>282</v>
      </c>
      <c r="E7" t="s">
        <v>32</v>
      </c>
      <c r="F7" t="s">
        <v>174</v>
      </c>
      <c r="G7" t="s">
        <v>33</v>
      </c>
      <c r="H7" t="s">
        <v>18</v>
      </c>
      <c r="I7" t="s">
        <v>249</v>
      </c>
      <c r="J7" t="str">
        <f>VLOOKUP(H7, teamLookup!A:B, 2, FALSE)</f>
        <v>BRT</v>
      </c>
      <c r="K7" t="s">
        <v>10</v>
      </c>
      <c r="L7" t="s">
        <v>11</v>
      </c>
      <c r="M7" t="s">
        <v>138</v>
      </c>
      <c r="N7" t="s">
        <v>116</v>
      </c>
      <c r="O7" t="s">
        <v>214</v>
      </c>
      <c r="P7" t="s">
        <v>150</v>
      </c>
      <c r="Q7" t="str">
        <f t="shared" si="0"/>
        <v>7-JG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</row>
    <row r="8" spans="1:32">
      <c r="A8">
        <v>7</v>
      </c>
      <c r="B8" t="s">
        <v>34</v>
      </c>
      <c r="C8">
        <v>8</v>
      </c>
      <c r="D8" t="s">
        <v>282</v>
      </c>
      <c r="E8" t="s">
        <v>35</v>
      </c>
      <c r="F8" t="s">
        <v>175</v>
      </c>
      <c r="G8" t="s">
        <v>36</v>
      </c>
      <c r="H8" t="s">
        <v>37</v>
      </c>
      <c r="I8" t="s">
        <v>247</v>
      </c>
      <c r="J8" t="str">
        <f>VLOOKUP(H8, teamLookup!A:B, 2, FALSE)</f>
        <v>BJR</v>
      </c>
      <c r="K8" t="s">
        <v>20</v>
      </c>
      <c r="L8" t="s">
        <v>21</v>
      </c>
      <c r="M8" t="s">
        <v>115</v>
      </c>
      <c r="N8" t="s">
        <v>115</v>
      </c>
      <c r="O8" t="s">
        <v>215</v>
      </c>
      <c r="P8" t="s">
        <v>151</v>
      </c>
      <c r="Q8" t="str">
        <f t="shared" si="0"/>
        <v>8-AH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</row>
    <row r="9" spans="1:32">
      <c r="A9">
        <v>8</v>
      </c>
      <c r="B9" t="s">
        <v>39</v>
      </c>
      <c r="C9">
        <v>9</v>
      </c>
      <c r="D9" t="s">
        <v>282</v>
      </c>
      <c r="E9" t="s">
        <v>40</v>
      </c>
      <c r="F9" t="s">
        <v>176</v>
      </c>
      <c r="G9" t="s">
        <v>41</v>
      </c>
      <c r="H9" t="s">
        <v>41</v>
      </c>
      <c r="I9" t="s">
        <v>244</v>
      </c>
      <c r="J9" t="str">
        <f>VLOOKUP(H9, teamLookup!A:B, 2, FALSE)</f>
        <v>ERE</v>
      </c>
      <c r="K9" t="s">
        <v>141</v>
      </c>
      <c r="L9" t="s">
        <v>169</v>
      </c>
      <c r="M9" t="s">
        <v>128</v>
      </c>
      <c r="N9" t="s">
        <v>116</v>
      </c>
      <c r="O9" t="s">
        <v>216</v>
      </c>
      <c r="P9" t="s">
        <v>152</v>
      </c>
      <c r="Q9" t="str">
        <f t="shared" si="0"/>
        <v>9-JS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</row>
    <row r="10" spans="1:32">
      <c r="A10">
        <v>9</v>
      </c>
      <c r="B10" t="s">
        <v>42</v>
      </c>
      <c r="C10">
        <v>10</v>
      </c>
      <c r="D10" t="s">
        <v>282</v>
      </c>
      <c r="E10" t="s">
        <v>43</v>
      </c>
      <c r="F10" t="s">
        <v>177</v>
      </c>
      <c r="G10" t="s">
        <v>44</v>
      </c>
      <c r="H10" t="s">
        <v>25</v>
      </c>
      <c r="I10" t="s">
        <v>245</v>
      </c>
      <c r="J10" t="str">
        <f>VLOOKUP(H10, teamLookup!A:B, 2, FALSE)</f>
        <v>MSR</v>
      </c>
      <c r="K10" t="s">
        <v>141</v>
      </c>
      <c r="L10" t="s">
        <v>169</v>
      </c>
      <c r="M10" t="s">
        <v>127</v>
      </c>
      <c r="N10" t="s">
        <v>116</v>
      </c>
      <c r="O10" t="s">
        <v>217</v>
      </c>
      <c r="P10" t="s">
        <v>153</v>
      </c>
      <c r="Q10" t="str">
        <f t="shared" si="0"/>
        <v>10-ZB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</row>
    <row r="11" spans="1:32">
      <c r="A11">
        <v>10</v>
      </c>
      <c r="B11" t="s">
        <v>45</v>
      </c>
      <c r="C11">
        <v>11</v>
      </c>
      <c r="D11" t="s">
        <v>282</v>
      </c>
      <c r="E11" t="s">
        <v>46</v>
      </c>
      <c r="F11" t="s">
        <v>178</v>
      </c>
      <c r="G11" t="s">
        <v>47</v>
      </c>
      <c r="H11" t="s">
        <v>195</v>
      </c>
      <c r="I11" t="s">
        <v>239</v>
      </c>
      <c r="J11" t="str">
        <f>VLOOKUP(H11, teamLookup!A:B, 2, FALSE)</f>
        <v>SCT</v>
      </c>
      <c r="K11" t="s">
        <v>10</v>
      </c>
      <c r="L11" t="s">
        <v>11</v>
      </c>
      <c r="M11" t="s">
        <v>123</v>
      </c>
      <c r="N11" t="s">
        <v>116</v>
      </c>
      <c r="O11" t="s">
        <v>218</v>
      </c>
      <c r="P11" t="s">
        <v>154</v>
      </c>
      <c r="Q11" t="str">
        <f t="shared" si="0"/>
        <v>11-JW</v>
      </c>
      <c r="R11" t="s">
        <v>46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</row>
    <row r="12" spans="1:32">
      <c r="A12">
        <v>11</v>
      </c>
      <c r="B12" t="s">
        <v>48</v>
      </c>
      <c r="C12">
        <v>14</v>
      </c>
      <c r="D12" t="s">
        <v>282</v>
      </c>
      <c r="E12" t="s">
        <v>49</v>
      </c>
      <c r="F12" t="s">
        <v>179</v>
      </c>
      <c r="G12" t="s">
        <v>50</v>
      </c>
      <c r="H12" t="s">
        <v>37</v>
      </c>
      <c r="I12" t="s">
        <v>247</v>
      </c>
      <c r="J12" t="str">
        <f>VLOOKUP(H12, teamLookup!A:B, 2, FALSE)</f>
        <v>BJR</v>
      </c>
      <c r="K12" t="s">
        <v>20</v>
      </c>
      <c r="L12" t="s">
        <v>21</v>
      </c>
      <c r="M12" t="s">
        <v>129</v>
      </c>
      <c r="N12" t="s">
        <v>142</v>
      </c>
      <c r="O12" t="s">
        <v>219</v>
      </c>
      <c r="P12" t="s">
        <v>155</v>
      </c>
      <c r="Q12" t="str">
        <f t="shared" si="0"/>
        <v>14-CH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</row>
    <row r="13" spans="1:32">
      <c r="A13">
        <v>12</v>
      </c>
      <c r="B13" t="s">
        <v>51</v>
      </c>
      <c r="C13">
        <v>17</v>
      </c>
      <c r="D13" t="s">
        <v>282</v>
      </c>
      <c r="E13" t="s">
        <v>52</v>
      </c>
      <c r="F13" t="s">
        <v>180</v>
      </c>
      <c r="G13" t="s">
        <v>53</v>
      </c>
      <c r="H13" t="s">
        <v>54</v>
      </c>
      <c r="I13" t="s">
        <v>243</v>
      </c>
      <c r="J13" t="str">
        <f>VLOOKUP(H13, teamLookup!A:B, 2, FALSE)</f>
        <v>DJR</v>
      </c>
      <c r="K13" t="s">
        <v>10</v>
      </c>
      <c r="L13" t="s">
        <v>11</v>
      </c>
      <c r="M13" t="s">
        <v>132</v>
      </c>
      <c r="N13" t="s">
        <v>116</v>
      </c>
      <c r="O13" t="s">
        <v>220</v>
      </c>
      <c r="P13" t="s">
        <v>156</v>
      </c>
      <c r="Q13" t="str">
        <f t="shared" si="0"/>
        <v>17-BK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116</v>
      </c>
      <c r="AE13" t="s">
        <v>116</v>
      </c>
      <c r="AF13" t="s">
        <v>116</v>
      </c>
    </row>
    <row r="14" spans="1:32">
      <c r="A14">
        <v>13</v>
      </c>
      <c r="B14" t="s">
        <v>56</v>
      </c>
      <c r="C14">
        <v>18</v>
      </c>
      <c r="D14" t="s">
        <v>282</v>
      </c>
      <c r="E14" t="s">
        <v>57</v>
      </c>
      <c r="F14" t="s">
        <v>203</v>
      </c>
      <c r="G14" t="s">
        <v>58</v>
      </c>
      <c r="H14" t="s">
        <v>59</v>
      </c>
      <c r="I14" t="s">
        <v>248</v>
      </c>
      <c r="J14" t="str">
        <f>VLOOKUP(H14, teamLookup!A:B, 2, FALSE)</f>
        <v>T18</v>
      </c>
      <c r="K14" t="s">
        <v>141</v>
      </c>
      <c r="L14" t="s">
        <v>169</v>
      </c>
      <c r="M14" t="s">
        <v>134</v>
      </c>
      <c r="N14" t="s">
        <v>144</v>
      </c>
      <c r="O14" t="s">
        <v>221</v>
      </c>
      <c r="P14" t="s">
        <v>157</v>
      </c>
      <c r="Q14" t="str">
        <f t="shared" si="0"/>
        <v>18-ADP</v>
      </c>
      <c r="R14" t="s">
        <v>221</v>
      </c>
      <c r="S14" t="s">
        <v>237</v>
      </c>
      <c r="T14" t="s">
        <v>116</v>
      </c>
      <c r="U14" t="s">
        <v>116</v>
      </c>
      <c r="V14" t="s">
        <v>116</v>
      </c>
      <c r="W14" t="s">
        <v>116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116</v>
      </c>
    </row>
    <row r="15" spans="1:32">
      <c r="A15">
        <v>14</v>
      </c>
      <c r="B15" t="s">
        <v>61</v>
      </c>
      <c r="C15">
        <v>19</v>
      </c>
      <c r="D15" t="s">
        <v>282</v>
      </c>
      <c r="E15" t="s">
        <v>62</v>
      </c>
      <c r="F15" t="s">
        <v>204</v>
      </c>
      <c r="G15" t="s">
        <v>63</v>
      </c>
      <c r="H15" t="s">
        <v>64</v>
      </c>
      <c r="I15" t="s">
        <v>242</v>
      </c>
      <c r="J15" t="str">
        <f>VLOOKUP(H15, teamLookup!A:B, 2, FALSE)</f>
        <v>GRV</v>
      </c>
      <c r="K15" t="s">
        <v>10</v>
      </c>
      <c r="L15" t="s">
        <v>11</v>
      </c>
      <c r="M15" t="s">
        <v>70</v>
      </c>
      <c r="N15" t="s">
        <v>139</v>
      </c>
      <c r="O15" t="s">
        <v>222</v>
      </c>
      <c r="P15" t="s">
        <v>158</v>
      </c>
      <c r="Q15" t="str">
        <f t="shared" si="0"/>
        <v>19-MP</v>
      </c>
      <c r="R15" t="s">
        <v>233</v>
      </c>
      <c r="S15" t="s">
        <v>235</v>
      </c>
      <c r="T15" t="s">
        <v>116</v>
      </c>
      <c r="U15" t="s">
        <v>116</v>
      </c>
      <c r="V15" t="s">
        <v>116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116</v>
      </c>
      <c r="AE15" t="s">
        <v>116</v>
      </c>
      <c r="AF15" t="s">
        <v>116</v>
      </c>
    </row>
    <row r="16" spans="1:32">
      <c r="A16">
        <v>15</v>
      </c>
      <c r="B16" t="s">
        <v>65</v>
      </c>
      <c r="C16">
        <v>20</v>
      </c>
      <c r="D16" t="s">
        <v>282</v>
      </c>
      <c r="E16" t="s">
        <v>66</v>
      </c>
      <c r="F16" t="s">
        <v>181</v>
      </c>
      <c r="G16" t="s">
        <v>67</v>
      </c>
      <c r="H16" t="s">
        <v>59</v>
      </c>
      <c r="I16" t="s">
        <v>248</v>
      </c>
      <c r="J16" t="str">
        <f>VLOOKUP(H16, teamLookup!A:B, 2, FALSE)</f>
        <v>T18</v>
      </c>
      <c r="K16" t="s">
        <v>141</v>
      </c>
      <c r="L16" t="s">
        <v>169</v>
      </c>
      <c r="M16" t="s">
        <v>135</v>
      </c>
      <c r="N16" t="s">
        <v>145</v>
      </c>
      <c r="O16" t="s">
        <v>223</v>
      </c>
      <c r="P16" t="s">
        <v>159</v>
      </c>
      <c r="Q16" t="str">
        <f t="shared" si="0"/>
        <v>20-DR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116</v>
      </c>
      <c r="AE16" t="s">
        <v>116</v>
      </c>
      <c r="AF16" t="s">
        <v>116</v>
      </c>
    </row>
    <row r="17" spans="1:32">
      <c r="A17">
        <v>16</v>
      </c>
      <c r="B17" t="s">
        <v>68</v>
      </c>
      <c r="C17">
        <v>26</v>
      </c>
      <c r="D17" t="s">
        <v>283</v>
      </c>
      <c r="E17" t="s">
        <v>69</v>
      </c>
      <c r="F17" t="s">
        <v>205</v>
      </c>
      <c r="G17" t="s">
        <v>63</v>
      </c>
      <c r="H17" t="s">
        <v>64</v>
      </c>
      <c r="I17" t="s">
        <v>242</v>
      </c>
      <c r="J17" t="str">
        <f>VLOOKUP(H17, teamLookup!A:B, 2, FALSE)</f>
        <v>GRV</v>
      </c>
      <c r="K17" t="s">
        <v>10</v>
      </c>
      <c r="L17" t="s">
        <v>11</v>
      </c>
      <c r="M17" t="s">
        <v>136</v>
      </c>
      <c r="N17" t="s">
        <v>116</v>
      </c>
      <c r="O17" t="s">
        <v>224</v>
      </c>
      <c r="P17" t="s">
        <v>160</v>
      </c>
      <c r="Q17" t="str">
        <f t="shared" si="0"/>
        <v>26-KA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116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116</v>
      </c>
      <c r="AE17" t="s">
        <v>116</v>
      </c>
      <c r="AF17" t="s">
        <v>116</v>
      </c>
    </row>
    <row r="18" spans="1:32">
      <c r="A18">
        <v>17</v>
      </c>
      <c r="B18" t="s">
        <v>70</v>
      </c>
      <c r="C18">
        <v>31</v>
      </c>
      <c r="D18" t="s">
        <v>282</v>
      </c>
      <c r="E18" t="s">
        <v>71</v>
      </c>
      <c r="F18" t="s">
        <v>182</v>
      </c>
      <c r="G18" t="s">
        <v>72</v>
      </c>
      <c r="H18" t="s">
        <v>190</v>
      </c>
      <c r="I18" t="s">
        <v>246</v>
      </c>
      <c r="J18" t="str">
        <f>VLOOKUP(H18, teamLookup!A:B, 2, FALSE)</f>
        <v>PAR</v>
      </c>
      <c r="K18" t="s">
        <v>141</v>
      </c>
      <c r="L18" t="s">
        <v>169</v>
      </c>
      <c r="M18" t="s">
        <v>121</v>
      </c>
      <c r="N18" t="s">
        <v>116</v>
      </c>
      <c r="O18" t="s">
        <v>225</v>
      </c>
      <c r="P18" t="s">
        <v>161</v>
      </c>
      <c r="Q18" t="str">
        <f t="shared" si="0"/>
        <v>31-JO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116</v>
      </c>
    </row>
    <row r="19" spans="1:32">
      <c r="A19">
        <v>18</v>
      </c>
      <c r="B19" t="s">
        <v>74</v>
      </c>
      <c r="C19">
        <v>38</v>
      </c>
      <c r="D19" t="s">
        <v>282</v>
      </c>
      <c r="E19" t="s">
        <v>75</v>
      </c>
      <c r="F19" t="s">
        <v>183</v>
      </c>
      <c r="G19" t="s">
        <v>53</v>
      </c>
      <c r="H19" t="s">
        <v>54</v>
      </c>
      <c r="I19" t="s">
        <v>243</v>
      </c>
      <c r="J19" t="str">
        <f>VLOOKUP(H19, teamLookup!A:B, 2, FALSE)</f>
        <v>DJR</v>
      </c>
      <c r="K19" t="s">
        <v>10</v>
      </c>
      <c r="L19" t="s">
        <v>11</v>
      </c>
      <c r="M19" t="s">
        <v>126</v>
      </c>
      <c r="N19" t="s">
        <v>116</v>
      </c>
      <c r="O19" t="s">
        <v>226</v>
      </c>
      <c r="P19" t="s">
        <v>162</v>
      </c>
      <c r="Q19" t="str">
        <f t="shared" si="0"/>
        <v>38-RG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116</v>
      </c>
      <c r="AF19" t="s">
        <v>116</v>
      </c>
    </row>
    <row r="20" spans="1:32" ht="16.5">
      <c r="A20">
        <v>19</v>
      </c>
      <c r="B20" t="s">
        <v>76</v>
      </c>
      <c r="C20">
        <v>55</v>
      </c>
      <c r="D20" t="s">
        <v>282</v>
      </c>
      <c r="E20" t="s">
        <v>77</v>
      </c>
      <c r="F20" t="s">
        <v>184</v>
      </c>
      <c r="G20" t="s">
        <v>78</v>
      </c>
      <c r="H20" t="s">
        <v>30</v>
      </c>
      <c r="I20" t="s">
        <v>240</v>
      </c>
      <c r="J20" t="str">
        <f>VLOOKUP(H20, teamLookup!A:B, 2, FALSE)</f>
        <v>TCK</v>
      </c>
      <c r="K20" t="s">
        <v>10</v>
      </c>
      <c r="L20" t="s">
        <v>11</v>
      </c>
      <c r="M20" t="s">
        <v>118</v>
      </c>
      <c r="N20" t="s">
        <v>116</v>
      </c>
      <c r="O20" t="s">
        <v>227</v>
      </c>
      <c r="P20" t="s">
        <v>163</v>
      </c>
      <c r="Q20" t="str">
        <f t="shared" si="0"/>
        <v>55-TR</v>
      </c>
      <c r="R20" s="9" t="s">
        <v>77</v>
      </c>
      <c r="S20" t="s">
        <v>116</v>
      </c>
      <c r="T20" t="s">
        <v>116</v>
      </c>
      <c r="U20" t="s">
        <v>116</v>
      </c>
      <c r="V20" t="s">
        <v>116</v>
      </c>
      <c r="W20" t="s">
        <v>116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116</v>
      </c>
      <c r="AE20" t="s">
        <v>116</v>
      </c>
      <c r="AF20" t="s">
        <v>116</v>
      </c>
    </row>
    <row r="21" spans="1:32">
      <c r="A21">
        <v>20</v>
      </c>
      <c r="B21" t="s">
        <v>79</v>
      </c>
      <c r="C21">
        <v>88</v>
      </c>
      <c r="D21" t="s">
        <v>282</v>
      </c>
      <c r="E21" t="s">
        <v>80</v>
      </c>
      <c r="F21" t="s">
        <v>206</v>
      </c>
      <c r="G21" t="s">
        <v>81</v>
      </c>
      <c r="H21" t="s">
        <v>193</v>
      </c>
      <c r="I21" t="s">
        <v>239</v>
      </c>
      <c r="J21" t="str">
        <f>VLOOKUP(H21, teamLookup!A:B, 2, FALSE)</f>
        <v>T8R</v>
      </c>
      <c r="K21" t="s">
        <v>10</v>
      </c>
      <c r="L21" t="s">
        <v>11</v>
      </c>
      <c r="M21" t="s">
        <v>124</v>
      </c>
      <c r="N21" t="s">
        <v>116</v>
      </c>
      <c r="O21" t="s">
        <v>228</v>
      </c>
      <c r="P21" t="s">
        <v>164</v>
      </c>
      <c r="Q21" t="str">
        <f t="shared" si="0"/>
        <v>88-BF</v>
      </c>
      <c r="R21" t="s">
        <v>80</v>
      </c>
      <c r="S21" t="s">
        <v>116</v>
      </c>
      <c r="T21" t="s">
        <v>116</v>
      </c>
      <c r="U21" t="s">
        <v>116</v>
      </c>
      <c r="V21" t="s">
        <v>116</v>
      </c>
      <c r="W21" t="s">
        <v>116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116</v>
      </c>
      <c r="AE21" t="s">
        <v>116</v>
      </c>
      <c r="AF21" t="s">
        <v>116</v>
      </c>
    </row>
    <row r="22" spans="1:32">
      <c r="A22">
        <v>21</v>
      </c>
      <c r="B22" t="s">
        <v>83</v>
      </c>
      <c r="C22">
        <v>96</v>
      </c>
      <c r="D22" t="s">
        <v>282</v>
      </c>
      <c r="E22" t="s">
        <v>84</v>
      </c>
      <c r="F22" t="s">
        <v>185</v>
      </c>
      <c r="G22" t="s">
        <v>85</v>
      </c>
      <c r="H22" t="s">
        <v>197</v>
      </c>
      <c r="I22" t="s">
        <v>247</v>
      </c>
      <c r="J22" t="str">
        <f>VLOOKUP(H22, teamLookup!A:B, 2, FALSE)</f>
        <v>B96</v>
      </c>
      <c r="K22" t="s">
        <v>20</v>
      </c>
      <c r="L22" t="s">
        <v>21</v>
      </c>
      <c r="M22" t="s">
        <v>133</v>
      </c>
      <c r="N22" t="s">
        <v>116</v>
      </c>
      <c r="O22" t="s">
        <v>229</v>
      </c>
      <c r="P22" t="s">
        <v>165</v>
      </c>
      <c r="Q22" t="str">
        <f t="shared" si="0"/>
        <v>96-MJ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116</v>
      </c>
      <c r="AE22" t="s">
        <v>116</v>
      </c>
      <c r="AF22" t="s">
        <v>116</v>
      </c>
    </row>
    <row r="23" spans="1:32">
      <c r="A23">
        <v>22</v>
      </c>
      <c r="B23" t="s">
        <v>86</v>
      </c>
      <c r="C23">
        <v>99</v>
      </c>
      <c r="D23" t="s">
        <v>282</v>
      </c>
      <c r="E23" t="s">
        <v>87</v>
      </c>
      <c r="F23" t="s">
        <v>186</v>
      </c>
      <c r="G23" t="s">
        <v>88</v>
      </c>
      <c r="H23" t="s">
        <v>41</v>
      </c>
      <c r="I23" t="s">
        <v>244</v>
      </c>
      <c r="J23" t="str">
        <f>VLOOKUP(H23, teamLookup!A:B, 2, FALSE)</f>
        <v>ERE</v>
      </c>
      <c r="K23" t="s">
        <v>141</v>
      </c>
      <c r="L23" t="s">
        <v>169</v>
      </c>
      <c r="M23" t="s">
        <v>125</v>
      </c>
      <c r="N23" t="s">
        <v>116</v>
      </c>
      <c r="O23" t="s">
        <v>209</v>
      </c>
      <c r="P23" t="s">
        <v>166</v>
      </c>
      <c r="Q23" t="str">
        <f t="shared" si="0"/>
        <v>99-CM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116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116</v>
      </c>
      <c r="AE23" t="s">
        <v>116</v>
      </c>
      <c r="AF23" t="s">
        <v>116</v>
      </c>
    </row>
    <row r="24" spans="1:32">
      <c r="A24">
        <v>23</v>
      </c>
      <c r="B24" t="s">
        <v>89</v>
      </c>
      <c r="C24">
        <v>777</v>
      </c>
      <c r="D24" t="s">
        <v>282</v>
      </c>
      <c r="E24" t="s">
        <v>90</v>
      </c>
      <c r="F24" t="s">
        <v>187</v>
      </c>
      <c r="G24" t="s">
        <v>72</v>
      </c>
      <c r="H24" t="s">
        <v>190</v>
      </c>
      <c r="I24" t="s">
        <v>246</v>
      </c>
      <c r="J24" t="str">
        <f>VLOOKUP(H24, teamLookup!A:B, 2, FALSE)</f>
        <v>PAR</v>
      </c>
      <c r="K24" t="s">
        <v>141</v>
      </c>
      <c r="L24" t="s">
        <v>169</v>
      </c>
      <c r="M24" t="s">
        <v>130</v>
      </c>
      <c r="N24" t="s">
        <v>116</v>
      </c>
      <c r="O24" t="s">
        <v>230</v>
      </c>
      <c r="P24" t="s">
        <v>167</v>
      </c>
      <c r="Q24" t="str">
        <f t="shared" si="0"/>
        <v>777-DF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116</v>
      </c>
    </row>
    <row r="25" spans="1:32">
      <c r="A25">
        <v>24</v>
      </c>
      <c r="B25" t="s">
        <v>91</v>
      </c>
      <c r="C25">
        <v>888</v>
      </c>
      <c r="D25" t="s">
        <v>282</v>
      </c>
      <c r="E25" t="s">
        <v>207</v>
      </c>
      <c r="F25" t="s">
        <v>172</v>
      </c>
      <c r="G25" t="s">
        <v>81</v>
      </c>
      <c r="H25" t="s">
        <v>193</v>
      </c>
      <c r="I25" t="s">
        <v>239</v>
      </c>
      <c r="J25" t="str">
        <f>VLOOKUP(H25, teamLookup!A:B, 2, FALSE)</f>
        <v>T8R</v>
      </c>
      <c r="K25" t="s">
        <v>10</v>
      </c>
      <c r="L25" t="s">
        <v>11</v>
      </c>
      <c r="M25" t="s">
        <v>122</v>
      </c>
      <c r="N25" t="s">
        <v>208</v>
      </c>
      <c r="O25" t="s">
        <v>231</v>
      </c>
      <c r="P25" t="s">
        <v>168</v>
      </c>
      <c r="Q25" t="str">
        <f t="shared" si="0"/>
        <v>888-BR</v>
      </c>
      <c r="R25" t="s">
        <v>232</v>
      </c>
      <c r="S25" t="s">
        <v>236</v>
      </c>
      <c r="T25" t="s">
        <v>208</v>
      </c>
      <c r="U25" t="s">
        <v>116</v>
      </c>
      <c r="V25" t="s">
        <v>116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116</v>
      </c>
    </row>
    <row r="26" spans="1:32">
      <c r="A26">
        <v>25</v>
      </c>
      <c r="B26" t="s">
        <v>76</v>
      </c>
      <c r="C26">
        <v>55</v>
      </c>
      <c r="D26" t="s">
        <v>282</v>
      </c>
      <c r="E26" t="s">
        <v>250</v>
      </c>
      <c r="F26" t="s">
        <v>252</v>
      </c>
      <c r="G26" t="s">
        <v>78</v>
      </c>
      <c r="H26" t="s">
        <v>30</v>
      </c>
      <c r="I26" t="s">
        <v>240</v>
      </c>
      <c r="J26" t="str">
        <f>VLOOKUP(H26, teamLookup!A:B, 2, FALSE)</f>
        <v>TCK</v>
      </c>
      <c r="K26" t="s">
        <v>10</v>
      </c>
      <c r="L26" t="s">
        <v>11</v>
      </c>
      <c r="M26" t="s">
        <v>255</v>
      </c>
      <c r="N26" t="s">
        <v>256</v>
      </c>
      <c r="O26" t="s">
        <v>258</v>
      </c>
      <c r="P26" s="10" t="s">
        <v>250</v>
      </c>
      <c r="Q26" s="10" t="s">
        <v>260</v>
      </c>
      <c r="R26" s="10" t="s">
        <v>116</v>
      </c>
      <c r="S26" t="s">
        <v>116</v>
      </c>
      <c r="T26" t="s">
        <v>116</v>
      </c>
      <c r="U26" t="s">
        <v>116</v>
      </c>
      <c r="V26" t="s">
        <v>116</v>
      </c>
      <c r="W26" t="s">
        <v>116</v>
      </c>
      <c r="X26" t="s">
        <v>116</v>
      </c>
      <c r="Y26" t="s">
        <v>116</v>
      </c>
      <c r="Z26" t="s">
        <v>116</v>
      </c>
      <c r="AA26" t="s">
        <v>116</v>
      </c>
      <c r="AB26" t="s">
        <v>116</v>
      </c>
      <c r="AC26" t="s">
        <v>116</v>
      </c>
      <c r="AD26" t="s">
        <v>116</v>
      </c>
      <c r="AE26" t="s">
        <v>116</v>
      </c>
      <c r="AF26" t="s">
        <v>116</v>
      </c>
    </row>
    <row r="27" spans="1:32">
      <c r="A27">
        <v>26</v>
      </c>
      <c r="B27" s="10" t="s">
        <v>51</v>
      </c>
      <c r="C27" s="10">
        <v>17</v>
      </c>
      <c r="D27" t="s">
        <v>282</v>
      </c>
      <c r="E27" s="10" t="s">
        <v>251</v>
      </c>
      <c r="F27" s="10" t="s">
        <v>253</v>
      </c>
      <c r="G27" s="10" t="s">
        <v>53</v>
      </c>
      <c r="H27" s="10" t="s">
        <v>54</v>
      </c>
      <c r="I27" s="10" t="s">
        <v>243</v>
      </c>
      <c r="J27" s="10" t="s">
        <v>55</v>
      </c>
      <c r="K27" s="10" t="s">
        <v>10</v>
      </c>
      <c r="L27" s="10" t="s">
        <v>11</v>
      </c>
      <c r="M27" s="10" t="s">
        <v>254</v>
      </c>
      <c r="N27" s="10" t="s">
        <v>257</v>
      </c>
      <c r="O27" s="10" t="s">
        <v>259</v>
      </c>
      <c r="P27" s="10" t="s">
        <v>116</v>
      </c>
      <c r="Q27" s="10" t="s">
        <v>261</v>
      </c>
      <c r="R27" s="10" t="s">
        <v>116</v>
      </c>
      <c r="S27" s="10" t="s">
        <v>116</v>
      </c>
      <c r="T27" s="10" t="s">
        <v>116</v>
      </c>
      <c r="U27" s="10" t="s">
        <v>116</v>
      </c>
      <c r="V27" s="10" t="s">
        <v>116</v>
      </c>
      <c r="W27" s="10" t="s">
        <v>116</v>
      </c>
      <c r="X27" s="10" t="s">
        <v>116</v>
      </c>
      <c r="Y27" s="10" t="s">
        <v>116</v>
      </c>
      <c r="Z27" s="10" t="s">
        <v>116</v>
      </c>
      <c r="AA27" s="10" t="s">
        <v>116</v>
      </c>
      <c r="AB27" s="10" t="s">
        <v>116</v>
      </c>
      <c r="AC27" s="10" t="s">
        <v>116</v>
      </c>
      <c r="AD27" s="10" t="s">
        <v>116</v>
      </c>
      <c r="AE27" s="10" t="s">
        <v>116</v>
      </c>
      <c r="AF27" s="10" t="s">
        <v>116</v>
      </c>
    </row>
    <row r="28" spans="1:32">
      <c r="A28">
        <v>27</v>
      </c>
      <c r="B28" s="10" t="s">
        <v>265</v>
      </c>
      <c r="C28">
        <v>5</v>
      </c>
      <c r="D28" t="s">
        <v>282</v>
      </c>
      <c r="E28" t="s">
        <v>262</v>
      </c>
      <c r="F28" t="s">
        <v>263</v>
      </c>
      <c r="G28" t="s">
        <v>30</v>
      </c>
      <c r="H28" t="s">
        <v>30</v>
      </c>
      <c r="I28" t="s">
        <v>240</v>
      </c>
      <c r="J28" t="s">
        <v>264</v>
      </c>
      <c r="K28" t="s">
        <v>10</v>
      </c>
      <c r="L28" t="s">
        <v>11</v>
      </c>
      <c r="M28" t="s">
        <v>262</v>
      </c>
      <c r="N28" t="s">
        <v>279</v>
      </c>
      <c r="O28" t="s">
        <v>280</v>
      </c>
      <c r="P28" t="s">
        <v>281</v>
      </c>
      <c r="Q28" t="s">
        <v>116</v>
      </c>
      <c r="R28" t="s">
        <v>116</v>
      </c>
      <c r="S28" t="s">
        <v>116</v>
      </c>
      <c r="T28" t="s">
        <v>116</v>
      </c>
      <c r="U28" t="s">
        <v>116</v>
      </c>
      <c r="V28" t="s">
        <v>116</v>
      </c>
      <c r="W28" t="s">
        <v>116</v>
      </c>
      <c r="X28" t="s">
        <v>116</v>
      </c>
      <c r="Y28" t="s">
        <v>116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116</v>
      </c>
      <c r="AF28" t="s">
        <v>116</v>
      </c>
    </row>
    <row r="29" spans="1:32">
      <c r="A29">
        <v>28</v>
      </c>
      <c r="B29" t="s">
        <v>266</v>
      </c>
      <c r="C29">
        <v>30</v>
      </c>
      <c r="D29" t="s">
        <v>282</v>
      </c>
      <c r="E29" t="s">
        <v>267</v>
      </c>
      <c r="F29" t="s">
        <v>268</v>
      </c>
      <c r="G29" t="s">
        <v>25</v>
      </c>
      <c r="H29" t="s">
        <v>25</v>
      </c>
      <c r="I29" t="s">
        <v>245</v>
      </c>
      <c r="J29" t="s">
        <v>26</v>
      </c>
      <c r="K29" t="s">
        <v>269</v>
      </c>
      <c r="L29" t="s">
        <v>169</v>
      </c>
      <c r="M29" t="s">
        <v>267</v>
      </c>
      <c r="N29" t="s">
        <v>278</v>
      </c>
      <c r="O29" t="s">
        <v>116</v>
      </c>
      <c r="P29" t="s">
        <v>116</v>
      </c>
      <c r="Q29" t="s">
        <v>116</v>
      </c>
      <c r="R29" t="s">
        <v>116</v>
      </c>
      <c r="S29" t="s">
        <v>116</v>
      </c>
      <c r="T29" t="s">
        <v>116</v>
      </c>
      <c r="U29" t="s">
        <v>116</v>
      </c>
      <c r="V29" t="s">
        <v>116</v>
      </c>
      <c r="W29" t="s">
        <v>116</v>
      </c>
      <c r="X29" t="s">
        <v>116</v>
      </c>
      <c r="Y29" t="s">
        <v>116</v>
      </c>
      <c r="Z29" t="s">
        <v>116</v>
      </c>
      <c r="AA29" t="s">
        <v>116</v>
      </c>
      <c r="AB29" t="s">
        <v>116</v>
      </c>
      <c r="AC29" t="s">
        <v>116</v>
      </c>
      <c r="AD29" t="s">
        <v>116</v>
      </c>
      <c r="AE29" t="s">
        <v>116</v>
      </c>
      <c r="AF29" t="s">
        <v>116</v>
      </c>
    </row>
    <row r="30" spans="1:32">
      <c r="A30">
        <v>99</v>
      </c>
      <c r="B30" t="s">
        <v>270</v>
      </c>
      <c r="C30">
        <v>0</v>
      </c>
      <c r="D30" t="s">
        <v>271</v>
      </c>
      <c r="E30" t="s">
        <v>272</v>
      </c>
      <c r="F30" t="s">
        <v>273</v>
      </c>
      <c r="G30" t="s">
        <v>272</v>
      </c>
      <c r="H30" t="s">
        <v>272</v>
      </c>
      <c r="I30" t="s">
        <v>248</v>
      </c>
      <c r="J30" t="s">
        <v>274</v>
      </c>
      <c r="K30" t="s">
        <v>275</v>
      </c>
      <c r="L30" t="s">
        <v>274</v>
      </c>
      <c r="M30" t="s">
        <v>272</v>
      </c>
      <c r="N30" t="s">
        <v>144</v>
      </c>
      <c r="O30" s="11" t="s">
        <v>276</v>
      </c>
      <c r="P30" s="11" t="s">
        <v>277</v>
      </c>
      <c r="Q30" t="s">
        <v>116</v>
      </c>
      <c r="R30" t="s">
        <v>116</v>
      </c>
      <c r="S30" t="s">
        <v>116</v>
      </c>
      <c r="T30" t="s">
        <v>116</v>
      </c>
      <c r="U30" t="s">
        <v>116</v>
      </c>
      <c r="V30" t="s">
        <v>116</v>
      </c>
      <c r="W30" t="s">
        <v>116</v>
      </c>
      <c r="X30" t="s">
        <v>116</v>
      </c>
      <c r="Y30" t="s">
        <v>116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116</v>
      </c>
      <c r="AF30" t="s">
        <v>116</v>
      </c>
    </row>
    <row r="36" spans="5:5">
      <c r="E36" t="str">
        <f t="shared" ref="E36:E46" si="1">IF(COUNTIF($F:$F, J15)&gt;0, J15, "")</f>
        <v/>
      </c>
    </row>
    <row r="37" spans="5:5">
      <c r="E37" t="str">
        <f t="shared" si="1"/>
        <v/>
      </c>
    </row>
    <row r="38" spans="5:5">
      <c r="E38" t="str">
        <f t="shared" si="1"/>
        <v/>
      </c>
    </row>
    <row r="39" spans="5:5">
      <c r="E39" t="str">
        <f t="shared" si="1"/>
        <v/>
      </c>
    </row>
    <row r="40" spans="5:5">
      <c r="E40" t="str">
        <f t="shared" si="1"/>
        <v/>
      </c>
    </row>
    <row r="41" spans="5:5">
      <c r="E41" t="str">
        <f t="shared" si="1"/>
        <v/>
      </c>
    </row>
    <row r="42" spans="5:5">
      <c r="E42" t="str">
        <f t="shared" si="1"/>
        <v/>
      </c>
    </row>
    <row r="43" spans="5:5">
      <c r="E43" t="str">
        <f t="shared" si="1"/>
        <v/>
      </c>
    </row>
    <row r="44" spans="5:5">
      <c r="E44" t="str">
        <f t="shared" si="1"/>
        <v/>
      </c>
    </row>
    <row r="45" spans="5:5">
      <c r="E45" t="str">
        <f t="shared" si="1"/>
        <v/>
      </c>
    </row>
    <row r="46" spans="5:5">
      <c r="E46" t="str">
        <f t="shared" si="1"/>
        <v/>
      </c>
    </row>
    <row r="47" spans="5:5">
      <c r="E47" t="str">
        <f>IF( COUNTIF($F:$F,#REF!)&gt;0,#REF!, "")</f>
        <v/>
      </c>
    </row>
    <row r="48" spans="5:5">
      <c r="E48" t="str">
        <f>IF( COUNTIF($F:$F,#REF!)&gt;0,#REF!, "")</f>
        <v/>
      </c>
    </row>
    <row r="49" spans="5:5">
      <c r="E49" t="str">
        <f>IF( COUNTIF($F:$F,#REF!)&gt;0,#REF!, "")</f>
        <v/>
      </c>
    </row>
    <row r="50" spans="5:5">
      <c r="E50" t="str">
        <f>IF( COUNTIF($F:$F,#REF!)&gt;0,#REF!, "")</f>
        <v/>
      </c>
    </row>
  </sheetData>
  <autoFilter ref="A1:AF25" xr:uid="{5EFEEEBE-4255-4441-9504-67F8E8541610}"/>
  <phoneticPr fontId="18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EA2-DFDA-4696-AC0A-856C797B1168}">
  <dimension ref="A1:B14"/>
  <sheetViews>
    <sheetView workbookViewId="0">
      <selection activeCell="B7" sqref="B7"/>
    </sheetView>
  </sheetViews>
  <sheetFormatPr defaultColWidth="8.85546875" defaultRowHeight="15"/>
  <cols>
    <col min="1" max="1" width="24.140625" bestFit="1" customWidth="1"/>
  </cols>
  <sheetData>
    <row r="1" spans="1:2" ht="15.75" thickBot="1">
      <c r="A1" s="7" t="s">
        <v>199</v>
      </c>
      <c r="B1" s="8" t="s">
        <v>188</v>
      </c>
    </row>
    <row r="2" spans="1:2">
      <c r="A2" s="1" t="s">
        <v>194</v>
      </c>
      <c r="B2" s="4" t="s">
        <v>189</v>
      </c>
    </row>
    <row r="3" spans="1:2">
      <c r="A3" s="2" t="s">
        <v>18</v>
      </c>
      <c r="B3" s="5" t="s">
        <v>19</v>
      </c>
    </row>
    <row r="4" spans="1:2">
      <c r="A4" s="2" t="s">
        <v>25</v>
      </c>
      <c r="B4" s="5" t="s">
        <v>26</v>
      </c>
    </row>
    <row r="5" spans="1:2">
      <c r="A5" s="2" t="s">
        <v>30</v>
      </c>
      <c r="B5" s="5" t="s">
        <v>192</v>
      </c>
    </row>
    <row r="6" spans="1:2">
      <c r="A6" s="2" t="s">
        <v>37</v>
      </c>
      <c r="B6" s="5" t="s">
        <v>38</v>
      </c>
    </row>
    <row r="7" spans="1:2">
      <c r="A7" s="2" t="s">
        <v>41</v>
      </c>
      <c r="B7" s="5" t="s">
        <v>200</v>
      </c>
    </row>
    <row r="8" spans="1:2">
      <c r="A8" s="2" t="s">
        <v>195</v>
      </c>
      <c r="B8" s="5" t="s">
        <v>196</v>
      </c>
    </row>
    <row r="9" spans="1:2">
      <c r="A9" s="2" t="s">
        <v>54</v>
      </c>
      <c r="B9" s="5" t="s">
        <v>55</v>
      </c>
    </row>
    <row r="10" spans="1:2">
      <c r="A10" s="2" t="s">
        <v>59</v>
      </c>
      <c r="B10" s="5" t="s">
        <v>60</v>
      </c>
    </row>
    <row r="11" spans="1:2">
      <c r="A11" s="2" t="s">
        <v>64</v>
      </c>
      <c r="B11" s="5" t="s">
        <v>191</v>
      </c>
    </row>
    <row r="12" spans="1:2">
      <c r="A12" s="2" t="s">
        <v>190</v>
      </c>
      <c r="B12" s="5" t="s">
        <v>73</v>
      </c>
    </row>
    <row r="13" spans="1:2">
      <c r="A13" s="2" t="s">
        <v>193</v>
      </c>
      <c r="B13" s="5" t="s">
        <v>82</v>
      </c>
    </row>
    <row r="14" spans="1:2" ht="15.75" thickBot="1">
      <c r="A14" s="3" t="s">
        <v>197</v>
      </c>
      <c r="B14" s="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driverAlias</vt:lpstr>
      <vt:lpstr>teamLookup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2026-02-21T07:15:17Z</dcterms:created>
  <dcterms:modified xsi:type="dcterms:W3CDTF">2026-08-04T05:04:34Z</dcterms:modified>
</cp:coreProperties>
</file>