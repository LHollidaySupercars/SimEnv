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imEnv\dataAcquisition\Motec_MP\alias\E07_TSV\scrutineeringInformaition\"/>
    </mc:Choice>
  </mc:AlternateContent>
  <xr:revisionPtr revIDLastSave="0" documentId="13_ncr:1_{C2851A24-5540-4EA6-BE18-9F018081B7CB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REF_EntryList_Car">[1]REF!$G$5:$G$36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<sst xmlns="http://schemas.openxmlformats.org/spreadsheetml/2006/main" count="9" uniqueCount="6">
  <si>
    <t>CarNumber</t>
  </si>
  <si>
    <t>Session</t>
  </si>
  <si>
    <t>FrontAxleWeight</t>
  </si>
  <si>
    <t>RearAxleWeight</t>
  </si>
  <si>
    <t>Q17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</si>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</sst>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8supercars.sharepoint.com/teams/Motorsport/Technical/Shared%20Documents/2026/09%20-%20Scrutineering%20Reports/26VCS_ScrutineeringMasterRecords.xlsm" TargetMode="External"/><Relationship Id="rId1" Type="http://schemas.openxmlformats.org/officeDocument/2006/relationships/externalLinkPath" Target="https://v8supercars.sharepoint.com/teams/Motorsport/Technical/Shared%20Documents/2026/09%20-%20Scrutineering%20Reports/26VCS_ScrutineeringMasterRecor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"/>
      <sheetName val="Driver Weights"/>
      <sheetName val="MR"/>
      <sheetName val="Targeted Scrutiny"/>
      <sheetName val="SUMMARY"/>
      <sheetName val="GRAPHS"/>
      <sheetName val="C4.1 Weight"/>
      <sheetName val="Ride Heights"/>
      <sheetName val="Bodywork Width"/>
      <sheetName val="Wing Angle"/>
      <sheetName val="Blanking"/>
      <sheetName val="Camber"/>
      <sheetName val="WA Report"/>
      <sheetName val="Visual"/>
      <sheetName val="Fuel"/>
      <sheetName val="Fuel Isotainer"/>
      <sheetName val="VSD Sealing"/>
      <sheetName val="Wing Gurney"/>
      <sheetName val="Wing Width"/>
      <sheetName val="Wing Pivot"/>
      <sheetName val="Wing Profile"/>
      <sheetName val="Wing Deflection"/>
      <sheetName val="Undertray"/>
      <sheetName val="C5.7 Tethers"/>
      <sheetName val="C6 Front Bar"/>
      <sheetName val="C6 Windscreen Window Thick"/>
      <sheetName val="C7 Susp"/>
      <sheetName val="C7.8 Dampers"/>
      <sheetName val="C8.3 Radiator"/>
      <sheetName val="C8.12.1 Dyno Test"/>
      <sheetName val="C9 Fuel Sys"/>
      <sheetName val="C10 Transaxle"/>
      <sheetName val="C11 Brakes"/>
      <sheetName val="Misc"/>
      <sheetName val="Surveys"/>
      <sheetName val="Rake Angle"/>
      <sheetName val="Set-up"/>
      <sheetName val="RH Report"/>
      <sheetName val="RH Summary"/>
      <sheetName val="D22.2.4.1 Cool Suit PG Conc"/>
    </sheetNames>
    <sheetDataSet>
      <sheetData sheetId="0">
        <row r="5">
          <cell r="G5">
            <v>888</v>
          </cell>
        </row>
        <row r="6">
          <cell r="G6">
            <v>88</v>
          </cell>
        </row>
        <row r="7">
          <cell r="G7">
            <v>19</v>
          </cell>
        </row>
        <row r="8">
          <cell r="G8">
            <v>26</v>
          </cell>
        </row>
        <row r="9">
          <cell r="G9">
            <v>1</v>
          </cell>
        </row>
        <row r="10">
          <cell r="G10">
            <v>2</v>
          </cell>
        </row>
        <row r="11">
          <cell r="G11">
            <v>6</v>
          </cell>
        </row>
        <row r="12">
          <cell r="G12">
            <v>55</v>
          </cell>
        </row>
        <row r="13">
          <cell r="G13">
            <v>18</v>
          </cell>
        </row>
        <row r="14">
          <cell r="G14">
            <v>20</v>
          </cell>
        </row>
        <row r="15">
          <cell r="G15">
            <v>17</v>
          </cell>
        </row>
        <row r="16">
          <cell r="G16">
            <v>38</v>
          </cell>
        </row>
        <row r="17">
          <cell r="G17">
            <v>8</v>
          </cell>
        </row>
        <row r="18">
          <cell r="G18">
            <v>14</v>
          </cell>
        </row>
        <row r="19">
          <cell r="G19">
            <v>96</v>
          </cell>
        </row>
        <row r="20">
          <cell r="G20">
            <v>11</v>
          </cell>
        </row>
        <row r="21">
          <cell r="G21">
            <v>4</v>
          </cell>
        </row>
        <row r="22">
          <cell r="G22">
            <v>10</v>
          </cell>
        </row>
        <row r="23">
          <cell r="G23">
            <v>9</v>
          </cell>
        </row>
        <row r="24">
          <cell r="G24">
            <v>99</v>
          </cell>
        </row>
        <row r="25">
          <cell r="G25">
            <v>31</v>
          </cell>
        </row>
        <row r="26">
          <cell r="G26">
            <v>777</v>
          </cell>
        </row>
        <row r="27">
          <cell r="G27">
            <v>3</v>
          </cell>
        </row>
        <row r="28">
          <cell r="G28">
            <v>7</v>
          </cell>
        </row>
        <row r="29">
          <cell r="G29">
            <v>5</v>
          </cell>
        </row>
        <row r="30">
          <cell r="G30">
            <v>30</v>
          </cell>
        </row>
        <row r="31">
          <cell r="G31" t="str">
            <v>WC</v>
          </cell>
        </row>
        <row r="32">
          <cell r="G32" t="str">
            <v>WC</v>
          </cell>
        </row>
        <row r="33">
          <cell r="G33" t="str">
            <v>WC</v>
          </cell>
        </row>
        <row r="34">
          <cell r="G34" t="str">
            <v>WC</v>
          </cell>
        </row>
        <row r="35">
          <cell r="G35" t="str">
            <v>WC</v>
          </cell>
        </row>
        <row r="36">
          <cell r="G36" t="str">
            <v>WC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12" sqref="I12"/>
    </sheetView>
  </sheetViews>
  <sheetFormatPr defaultRowHeight="14.4" x14ac:dyDescent="0.3"/>
  <cols>
    <col min="2" max="2" width="10.33203125" bestFit="1" customWidth="1"/>
    <col min="3" max="3" width="14.6640625" bestFit="1" customWidth="1"/>
    <col min="4" max="4" width="14.10937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5</v>
      </c>
    </row>
    <row r="2" spans="1:5" x14ac:dyDescent="0.3">
      <c r="A2" s="1" t="s">
        <v>4</v>
      </c>
      <c r="B2" s="2">
        <v>18</v>
      </c>
      <c r="C2">
        <v>736</v>
      </c>
      <c r="D2">
        <v>628.5</v>
      </c>
      <c r="E2">
        <f>SUM(C2:D2)</f>
        <v>1364.5</v>
      </c>
    </row>
    <row r="3" spans="1:5" x14ac:dyDescent="0.3">
      <c r="A3" s="3" t="s">
        <v>4</v>
      </c>
      <c r="B3" s="4">
        <v>6</v>
      </c>
      <c r="C3">
        <v>741</v>
      </c>
      <c r="D3">
        <v>618</v>
      </c>
      <c r="E3">
        <f t="shared" ref="E3:E5" si="0">SUM(C3:D3)</f>
        <v>1359</v>
      </c>
    </row>
    <row r="4" spans="1:5" x14ac:dyDescent="0.3">
      <c r="A4" s="1" t="s">
        <v>4</v>
      </c>
      <c r="B4" s="2">
        <v>31</v>
      </c>
      <c r="C4">
        <v>736</v>
      </c>
      <c r="D4">
        <v>625</v>
      </c>
      <c r="E4">
        <f t="shared" si="0"/>
        <v>1361</v>
      </c>
    </row>
    <row r="5" spans="1:5" x14ac:dyDescent="0.3">
      <c r="A5" s="3" t="s">
        <v>4</v>
      </c>
      <c r="B5" s="4">
        <v>17</v>
      </c>
      <c r="C5">
        <v>735.5</v>
      </c>
      <c r="D5">
        <v>623</v>
      </c>
      <c r="E5">
        <f t="shared" si="0"/>
        <v>1358.5</v>
      </c>
    </row>
  </sheetData>
  <dataValidations count="2">
    <dataValidation type="list" allowBlank="1" showInputMessage="1" showErrorMessage="1" sqref="B2:B5" xr:uid="{BC382C89-09DE-4080-B86C-AB4E0FB07DF4}">
      <formula1>REF_EntryList_Car</formula1>
    </dataValidation>
    <dataValidation type="list" allowBlank="1" showInputMessage="1" showErrorMessage="1" sqref="A2:A5" xr:uid="{5B30021B-132F-4D5C-8881-517F77B2018A}">
      <formula1>INDIRECT(XEE2)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2015-06-05T18:17:20Z</dcterms:created>
  <dcterms:modified xsi:type="dcterms:W3CDTF">2026-07-09T04:57:16Z</dcterms:modified>
</cp:coreProperties>
</file>