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A8010FCB-E134-4D37-AAB4-69D9A43D48CE}" xr6:coauthVersionLast="47" xr6:coauthVersionMax="47" xr10:uidLastSave="{00000000-0000-0000-0000-000000000000}"/>
  <bookViews>
    <workbookView xWindow="28680" yWindow="1935" windowWidth="29040" windowHeight="157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1" l="1"/>
  <c r="N68" i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AB98" i="1" l="1"/>
  <c r="AB99" i="1"/>
  <c r="AB97" i="1"/>
  <c r="AB56" i="1"/>
  <c r="AB58" i="1"/>
  <c r="AB59" i="1" s="1"/>
  <c r="AB60" i="1" s="1"/>
  <c r="AB62" i="1"/>
  <c r="AB63" i="1" s="1"/>
  <c r="AB64" i="1" s="1"/>
  <c r="AB66" i="1"/>
  <c r="AB68" i="1"/>
  <c r="AB69" i="1" s="1"/>
  <c r="AB70" i="1" s="1"/>
  <c r="AB72" i="1"/>
  <c r="AB73" i="1" s="1"/>
  <c r="AB74" i="1" s="1"/>
  <c r="AB76" i="1"/>
  <c r="AB78" i="1"/>
  <c r="AB79" i="1" s="1"/>
  <c r="AB80" i="1" s="1"/>
  <c r="AB82" i="1"/>
  <c r="AB83" i="1" s="1"/>
  <c r="AB84" i="1" s="1"/>
  <c r="AB86" i="1"/>
  <c r="AB87" i="1" s="1"/>
  <c r="AB89" i="1"/>
  <c r="AB91" i="1"/>
  <c r="AB92" i="1" s="1"/>
  <c r="AB94" i="1"/>
  <c r="AB95" i="1" s="1"/>
  <c r="AB18" i="1"/>
  <c r="AB19" i="1" s="1"/>
  <c r="AB21" i="1" s="1"/>
  <c r="AB22" i="1" s="1"/>
  <c r="AB23" i="1" s="1"/>
  <c r="AB25" i="1" s="1"/>
  <c r="AB26" i="1" s="1"/>
  <c r="AB27" i="1" s="1"/>
  <c r="AB29" i="1" s="1"/>
  <c r="AB31" i="1" s="1"/>
  <c r="AB32" i="1" s="1"/>
  <c r="AB33" i="1" s="1"/>
  <c r="AB35" i="1" s="1"/>
  <c r="AB36" i="1" s="1"/>
  <c r="AB37" i="1" s="1"/>
  <c r="AB39" i="1" s="1"/>
  <c r="AB40" i="1" s="1"/>
  <c r="AB42" i="1" s="1"/>
  <c r="AB44" i="1" s="1"/>
  <c r="AB45" i="1" s="1"/>
  <c r="AB47" i="1" s="1"/>
  <c r="AB48" i="1" s="1"/>
  <c r="AB15" i="1"/>
  <c r="AB16" i="1" s="1"/>
  <c r="AB17" i="1" s="1"/>
  <c r="AB11" i="1"/>
  <c r="AB12" i="1" s="1"/>
  <c r="AB13" i="1" s="1"/>
  <c r="AB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</calcChain>
</file>

<file path=xl/sharedStrings.xml><?xml version="1.0" encoding="utf-8"?>
<sst xmlns="http://schemas.openxmlformats.org/spreadsheetml/2006/main" count="1570" uniqueCount="192">
  <si>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</si>
  <si>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</si>
  <si>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</si>
  <si>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</si>
  <si>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</si>
  <si>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</si>
  <si>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</si>
  <si>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</si>
  <si>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</si>
  <si>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</si>
  <si>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</si>
  <si>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</si>
  <si>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</si>
  <si>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</si>
  <si>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</si>
  <si>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</si>
  <si>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</si>
  <si>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</si>
  <si>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</si>
  <si>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</si>
  <si>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</si>
  <si>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</si>
  <si>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</si>
  <si>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</si>
  <si>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</si>
  <si>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</si>
  <si>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</si>
  <si>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</si>
  <si>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</si>
  <si>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</si>
  <si>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</si>
  <si>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</si>
  <si>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</si>
  <si>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</si>
  <si>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</si>
  <si>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</si>
  <si>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</si>
  <si>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</si>
  <si>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</si>
  <si>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</si>
  <si>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</si>
  <si>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</si>
  <si>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</si>
  <si>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</si>
  <si>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</si>
  <si>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</si>
  <si>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</si>
  <si>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</si>
  <si>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</si>
  <si>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</si>
  <si>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</si>
  <si>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</si>
  <si>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</si>
  <si>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Average Lift Pump 4 Mean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</si>
  <si>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</si>
  <si>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</si>
  <si>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</si>
  <si>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</si>
  <si>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</si>
  <si>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</si>
  <si>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</si>
  <si>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</si>
  <si>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</si>
  <si>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</si>
  <si>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</si>
  <si>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</si>
  <si>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</si>
  <si>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</si>
  <si>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</si>
  <si>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</si>
  <si>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</si>
  <si>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</si>
  <si>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</si>
  <si>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</si>
  <si>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</si>
  <si>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</si>
  <si>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</si>
  <si>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</si>
  <si>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</si>
  <si>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</si>
  <si>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</si>
  <si>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</si>
  <si>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</si>
  <si>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</si>
  <si>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</si>
  <si>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</si>
  <si>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</si>
  <si>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</si>
  <si>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mad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</si>
  <si>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</si>
  <si>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</si>
  <si>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</si>
  <si>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</si>
  <si>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</si>
  <si>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</si>
  <si>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</si>
  <si>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[0, 3500]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</si>
  <si>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</si>
  <si>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</si>
  <si>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</si>
  <si>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</si>
  <si>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</si>
  <si>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</si>
  <si>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</si>
  <si>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</si>
  <si>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</si>
  <si>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</si>
  <si>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</si>
  <si>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</si>
  <si>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</si>
  <si>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</si>
  <si>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</si>
  <si>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</si>
  <si>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</si>
  <si>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</si>
  <si>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</si>
  <si>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</si>
  <si>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</si>
  <si>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</si>
  <si>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</si>
  <si>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CAN 1 Utilization [%]</t>
  </si>
  <si>
    <t>CAN 2 Utilization [%]</t>
  </si>
  <si>
    <t>CAN 3 Utilization [%]</t>
  </si>
  <si>
    <t>CPU Usage [%]</t>
  </si>
  <si>
    <t>ECU CPU Usage [%]</t>
  </si>
  <si>
    <t>Cockpit Temperature Mean [°C]</t>
  </si>
  <si>
    <t>Driver Suit Temperature [°C]</t>
  </si>
  <si>
    <t>Driver Helmet Temperature [°C]</t>
  </si>
  <si>
    <t>Inlet Air Temperature Mean [°C]</t>
  </si>
  <si>
    <t>[4, 1]</t>
  </si>
  <si>
    <t>LapDistance</t>
  </si>
  <si>
    <t>C1_Damper Pos FL</t>
  </si>
  <si>
    <t>timeseries_align</t>
  </si>
  <si>
    <t>[244, 440]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</si>
  <si>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</si>
  <si>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</si>
  <si>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</si>
  <si>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</si>
  <si>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</si>
  <si>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</si>
  <si>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Pressure Mean [°C]</t>
  </si>
  <si>
    <t>Transmission Pressure Max [°C]</t>
  </si>
  <si>
    <t>Transmission Temperature Mean [°C]</t>
  </si>
  <si>
    <t>Coolant Pressure Max [°C]</t>
  </si>
  <si>
    <t>Coolant Pressure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</si>
  <si>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</si>
  <si>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</si>
  <si>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</si>
  <si>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</si>
  <si>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</si>
  <si>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</si>
  <si>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</si>
  <si>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</si>
  <si>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</si>
  <si>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</si>
  <si>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</si>
  <si>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</si>
  <si>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</si>
  <si>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</si>
  <si>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</si>
  <si>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</si>
  <si>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</si>
  <si>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</si>
  <si>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</si>
  <si>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</si>
  <si>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</si>
  <si>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</si>
  <si>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</si>
  <si>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</si>
  <si>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</si>
  <si>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</si>
  <si>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[60, 200]</t>
  </si>
  <si>
    <t>[30, 150]</t>
  </si>
  <si>
    <t>[0, 900]</t>
  </si>
  <si>
    <t>Does channel exist?</t>
  </si>
  <si>
    <t>[10, 170]</t>
  </si>
  <si>
    <t>[5, 70]</t>
  </si>
  <si>
    <t>[0, 2]</t>
  </si>
  <si>
    <t>[0, 100]</t>
  </si>
  <si>
    <t>[10, 60]</t>
  </si>
  <si>
    <t>[-60, 60]</t>
  </si>
  <si>
    <t>Didn't plot for QU6 / QU7</t>
  </si>
  <si>
    <t>Inlet Manifold Pressure Mean [kPa]</t>
  </si>
  <si>
    <t>[225, 300]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</si>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</sst>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B103"/>
  <sheetViews>
    <sheetView tabSelected="1" zoomScale="70" zoomScaleNormal="70" workbookViewId="0">
      <pane ySplit="1" topLeftCell="A41" activePane="bottomLeft" state="frozen"/>
      <selection activeCell="F1" sqref="F1"/>
      <selection pane="bottomLeft" activeCell="V67" sqref="V67:V70"/>
    </sheetView>
  </sheetViews>
  <sheetFormatPr defaultRowHeight="14.4" x14ac:dyDescent="0.3"/>
  <cols>
    <col min="1" max="1" width="37.44140625" bestFit="1" customWidth="1"/>
    <col min="2" max="2" width="16.21875" bestFit="1" customWidth="1"/>
    <col min="3" max="3" width="13.109375" customWidth="1"/>
    <col min="4" max="4" width="21.88671875" customWidth="1"/>
    <col min="5" max="5" width="28.77734375" customWidth="1"/>
    <col min="6" max="6" width="16.109375" customWidth="1"/>
    <col min="7" max="8" width="6.33203125" customWidth="1"/>
    <col min="9" max="9" width="6.109375" customWidth="1"/>
    <col min="10" max="10" width="13.5546875" customWidth="1"/>
    <col min="11" max="11" width="12.21875" customWidth="1"/>
    <col min="12" max="12" width="12.77734375" customWidth="1"/>
    <col min="13" max="13" width="42.5546875" customWidth="1"/>
    <col min="14" max="14" width="5.77734375" customWidth="1"/>
    <col min="15" max="15" width="15" customWidth="1"/>
    <col min="16" max="16" width="7.33203125" customWidth="1"/>
    <col min="17" max="19" width="8.88671875" customWidth="1"/>
    <col min="20" max="20" width="13.44140625" customWidth="1"/>
    <col min="21" max="23" width="15.6640625" customWidth="1"/>
    <col min="24" max="25" width="8.88671875" customWidth="1"/>
    <col min="26" max="26" width="14.33203125" customWidth="1"/>
    <col min="27" max="27" width="76.88671875" bestFit="1" customWidth="1"/>
    <col min="28" max="28" width="11.21875" bestFit="1" customWidth="1"/>
  </cols>
  <sheetData>
    <row r="1" spans="1:28" ht="28.8" x14ac:dyDescent="0.3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84</v>
      </c>
      <c r="R1" s="2" t="s">
        <v>85</v>
      </c>
      <c r="S1" s="2" t="s">
        <v>83</v>
      </c>
      <c r="T1" s="2" t="s">
        <v>86</v>
      </c>
      <c r="U1" s="2" t="s">
        <v>82</v>
      </c>
      <c r="V1" s="2" t="s">
        <v>190</v>
      </c>
      <c r="W1" s="2" t="s">
        <v>149</v>
      </c>
      <c r="X1" s="2" t="s">
        <v>136</v>
      </c>
      <c r="Y1" s="2" t="s">
        <v>150</v>
      </c>
      <c r="Z1" s="2" t="s">
        <v>151</v>
      </c>
      <c r="AA1" s="2" t="s">
        <v>135</v>
      </c>
      <c r="AB1" s="2" t="s">
        <v>153</v>
      </c>
    </row>
    <row r="2" spans="1:28" ht="16.05" customHeight="1" x14ac:dyDescent="0.3">
      <c r="A2" s="4" t="s">
        <v>102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75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89</v>
      </c>
      <c r="AB2" t="s">
        <v>154</v>
      </c>
    </row>
    <row r="3" spans="1:28" ht="16.05" customHeight="1" x14ac:dyDescent="0.3">
      <c r="A3" s="4" t="s">
        <v>103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75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89</v>
      </c>
      <c r="AB3" t="s">
        <v>154</v>
      </c>
    </row>
    <row r="4" spans="1:28" ht="16.05" customHeight="1" x14ac:dyDescent="0.3">
      <c r="A4" s="4" t="s">
        <v>143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75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169</v>
      </c>
      <c r="AB4" t="s">
        <v>154</v>
      </c>
    </row>
    <row r="5" spans="1:28" ht="16.05" customHeight="1" x14ac:dyDescent="0.3">
      <c r="A5" s="4" t="s">
        <v>144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75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169</v>
      </c>
      <c r="AB5" t="s">
        <v>154</v>
      </c>
    </row>
    <row r="6" spans="1:28" ht="16.05" customHeight="1" x14ac:dyDescent="0.3">
      <c r="A6" s="6" t="s">
        <v>139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75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172</v>
      </c>
      <c r="AB6" t="s">
        <v>155</v>
      </c>
    </row>
    <row r="7" spans="1:28" ht="16.05" customHeight="1" x14ac:dyDescent="0.3">
      <c r="A7" s="6" t="s">
        <v>142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75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172</v>
      </c>
      <c r="AB7" t="s">
        <v>155</v>
      </c>
    </row>
    <row r="8" spans="1:28" ht="16.05" customHeight="1" x14ac:dyDescent="0.3">
      <c r="A8" s="6" t="s">
        <v>141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75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170</v>
      </c>
      <c r="AB8" t="s">
        <v>155</v>
      </c>
    </row>
    <row r="9" spans="1:28" ht="16.05" customHeight="1" x14ac:dyDescent="0.3">
      <c r="A9" s="6" t="s">
        <v>140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75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170</v>
      </c>
      <c r="AB9" t="str">
        <f>AB8</f>
        <v>Transmission</v>
      </c>
    </row>
    <row r="10" spans="1:28" ht="16.05" customHeight="1" x14ac:dyDescent="0.3">
      <c r="A10" s="8" t="s">
        <v>98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75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171</v>
      </c>
      <c r="AB10" t="s">
        <v>156</v>
      </c>
    </row>
    <row r="11" spans="1:28" ht="16.05" customHeight="1" x14ac:dyDescent="0.3">
      <c r="A11" s="8" t="s">
        <v>99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75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171</v>
      </c>
      <c r="AB11" t="str">
        <f t="shared" ref="AB11:AB48" si="1">AB10</f>
        <v>Engine</v>
      </c>
    </row>
    <row r="12" spans="1:28" ht="16.05" customHeight="1" x14ac:dyDescent="0.3">
      <c r="A12" s="8" t="s">
        <v>101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75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173</v>
      </c>
      <c r="AB12" t="str">
        <f t="shared" si="1"/>
        <v>Engine</v>
      </c>
    </row>
    <row r="13" spans="1:28" ht="16.05" customHeight="1" x14ac:dyDescent="0.3">
      <c r="A13" s="8" t="s">
        <v>100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75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173</v>
      </c>
      <c r="AB13" t="str">
        <f t="shared" si="1"/>
        <v>Engine</v>
      </c>
    </row>
    <row r="14" spans="1:28" ht="16.05" customHeight="1" x14ac:dyDescent="0.3">
      <c r="A14" s="10" t="s">
        <v>93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75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95</v>
      </c>
      <c r="AB14" t="s">
        <v>157</v>
      </c>
    </row>
    <row r="15" spans="1:28" ht="16.05" customHeight="1" x14ac:dyDescent="0.3">
      <c r="A15" s="10" t="s">
        <v>94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75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95</v>
      </c>
      <c r="AB15" t="str">
        <f t="shared" si="1"/>
        <v>Fuel</v>
      </c>
    </row>
    <row r="16" spans="1:28" ht="16.05" customHeight="1" x14ac:dyDescent="0.3">
      <c r="A16" s="10" t="s">
        <v>91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75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90</v>
      </c>
      <c r="AB16" t="str">
        <f t="shared" si="1"/>
        <v>Fuel</v>
      </c>
    </row>
    <row r="17" spans="1:28" ht="16.05" customHeight="1" x14ac:dyDescent="0.3">
      <c r="A17" s="10" t="s">
        <v>92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75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90</v>
      </c>
      <c r="AB17" t="str">
        <f t="shared" si="1"/>
        <v>Fuel</v>
      </c>
    </row>
    <row r="18" spans="1:28" ht="16.05" customHeight="1" x14ac:dyDescent="0.3">
      <c r="A18" s="12" t="s">
        <v>187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75</v>
      </c>
      <c r="K18" s="12" t="s">
        <v>11</v>
      </c>
      <c r="L18" s="12" t="b">
        <v>0</v>
      </c>
      <c r="M18" s="13"/>
      <c r="N18" s="13">
        <f t="shared" si="0"/>
        <v>5</v>
      </c>
      <c r="O18" s="13" t="s">
        <v>29</v>
      </c>
      <c r="P18" s="13" t="s">
        <v>23</v>
      </c>
      <c r="R18" t="s">
        <v>186</v>
      </c>
      <c r="AB18" t="e">
        <f>#REF!</f>
        <v>#REF!</v>
      </c>
    </row>
    <row r="19" spans="1:28" ht="16.05" customHeight="1" x14ac:dyDescent="0.3">
      <c r="A19" s="12" t="s">
        <v>188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75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28</v>
      </c>
      <c r="P19" s="13" t="s">
        <v>29</v>
      </c>
      <c r="R19" t="s">
        <v>186</v>
      </c>
      <c r="AA19" t="s">
        <v>174</v>
      </c>
      <c r="AB19" t="e">
        <f t="shared" si="1"/>
        <v>#REF!</v>
      </c>
    </row>
    <row r="20" spans="1:28" ht="16.05" customHeight="1" x14ac:dyDescent="0.3">
      <c r="A20" s="6" t="s">
        <v>104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75</v>
      </c>
      <c r="K20" s="6" t="s">
        <v>11</v>
      </c>
      <c r="L20" s="6" t="b">
        <v>0</v>
      </c>
      <c r="M20" s="7"/>
      <c r="N20" s="7">
        <f t="shared" si="0"/>
        <v>5</v>
      </c>
      <c r="O20" s="7" t="s">
        <v>27</v>
      </c>
      <c r="P20" s="7" t="s">
        <v>23</v>
      </c>
      <c r="Q20" t="s">
        <v>97</v>
      </c>
      <c r="R20" t="s">
        <v>175</v>
      </c>
      <c r="X20" t="s">
        <v>148</v>
      </c>
      <c r="AB20" t="s">
        <v>160</v>
      </c>
    </row>
    <row r="21" spans="1:28" ht="16.05" customHeight="1" x14ac:dyDescent="0.3">
      <c r="A21" s="6" t="s">
        <v>105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75</v>
      </c>
      <c r="K21" s="6" t="s">
        <v>11</v>
      </c>
      <c r="L21" s="6" t="b">
        <v>0</v>
      </c>
      <c r="M21" s="7"/>
      <c r="N21" s="7">
        <f t="shared" si="0"/>
        <v>5</v>
      </c>
      <c r="O21" s="7" t="s">
        <v>28</v>
      </c>
      <c r="P21" s="7" t="s">
        <v>29</v>
      </c>
      <c r="Q21" t="s">
        <v>97</v>
      </c>
      <c r="R21" t="s">
        <v>175</v>
      </c>
      <c r="AB21" t="str">
        <f t="shared" si="1"/>
        <v>Tyre IGL</v>
      </c>
    </row>
    <row r="22" spans="1:28" ht="16.05" customHeight="1" x14ac:dyDescent="0.3">
      <c r="A22" s="6" t="s">
        <v>106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75</v>
      </c>
      <c r="K22" s="6" t="s">
        <v>11</v>
      </c>
      <c r="L22" s="6" t="b">
        <v>0</v>
      </c>
      <c r="M22" s="7"/>
      <c r="N22" s="7">
        <f t="shared" si="0"/>
        <v>5</v>
      </c>
      <c r="O22" s="7" t="s">
        <v>27</v>
      </c>
      <c r="P22" s="7" t="s">
        <v>31</v>
      </c>
      <c r="Q22" t="s">
        <v>97</v>
      </c>
      <c r="R22" t="s">
        <v>175</v>
      </c>
      <c r="AB22" t="str">
        <f t="shared" si="1"/>
        <v>Tyre IGL</v>
      </c>
    </row>
    <row r="23" spans="1:28" ht="16.05" customHeight="1" x14ac:dyDescent="0.3">
      <c r="A23" s="6" t="s">
        <v>107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75</v>
      </c>
      <c r="K23" s="6" t="s">
        <v>11</v>
      </c>
      <c r="L23" s="6" t="b">
        <v>0</v>
      </c>
      <c r="M23" s="7"/>
      <c r="N23" s="7">
        <f t="shared" si="0"/>
        <v>5</v>
      </c>
      <c r="O23" s="7" t="s">
        <v>27</v>
      </c>
      <c r="P23" s="7" t="s">
        <v>27</v>
      </c>
      <c r="Q23" t="s">
        <v>97</v>
      </c>
      <c r="R23" t="s">
        <v>175</v>
      </c>
      <c r="AB23" t="str">
        <f t="shared" si="1"/>
        <v>Tyre IGL</v>
      </c>
    </row>
    <row r="24" spans="1:28" ht="16.05" customHeight="1" x14ac:dyDescent="0.3">
      <c r="A24" s="14" t="s">
        <v>108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75</v>
      </c>
      <c r="K24" s="14" t="s">
        <v>11</v>
      </c>
      <c r="L24" s="14" t="b">
        <v>0</v>
      </c>
      <c r="M24" s="15"/>
      <c r="N24" s="15">
        <f t="shared" si="0"/>
        <v>6</v>
      </c>
      <c r="O24" s="15" t="s">
        <v>27</v>
      </c>
      <c r="P24" s="15" t="s">
        <v>23</v>
      </c>
      <c r="R24" t="s">
        <v>176</v>
      </c>
      <c r="AB24" t="s">
        <v>161</v>
      </c>
    </row>
    <row r="25" spans="1:28" ht="16.05" customHeight="1" x14ac:dyDescent="0.3">
      <c r="A25" s="14" t="s">
        <v>109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75</v>
      </c>
      <c r="K25" s="14" t="s">
        <v>11</v>
      </c>
      <c r="L25" s="14" t="b">
        <v>0</v>
      </c>
      <c r="M25" s="15"/>
      <c r="N25" s="15">
        <f t="shared" si="0"/>
        <v>6</v>
      </c>
      <c r="O25" s="15" t="s">
        <v>28</v>
      </c>
      <c r="P25" s="15" t="s">
        <v>29</v>
      </c>
      <c r="R25" t="s">
        <v>176</v>
      </c>
      <c r="AB25" t="str">
        <f t="shared" si="1"/>
        <v>PDM Current</v>
      </c>
    </row>
    <row r="26" spans="1:28" ht="16.05" customHeight="1" x14ac:dyDescent="0.3">
      <c r="A26" s="14" t="s">
        <v>110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75</v>
      </c>
      <c r="K26" s="14" t="s">
        <v>11</v>
      </c>
      <c r="L26" s="14" t="b">
        <v>0</v>
      </c>
      <c r="M26" s="15"/>
      <c r="N26" s="15">
        <f t="shared" si="0"/>
        <v>6</v>
      </c>
      <c r="O26" s="15" t="s">
        <v>27</v>
      </c>
      <c r="P26" s="15" t="s">
        <v>31</v>
      </c>
      <c r="R26" t="s">
        <v>176</v>
      </c>
      <c r="AB26" t="str">
        <f t="shared" si="1"/>
        <v>PDM Current</v>
      </c>
    </row>
    <row r="27" spans="1:28" ht="16.05" customHeight="1" x14ac:dyDescent="0.3">
      <c r="A27" s="15" t="s">
        <v>111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75</v>
      </c>
      <c r="K27" s="14" t="s">
        <v>11</v>
      </c>
      <c r="L27" s="14" t="b">
        <v>0</v>
      </c>
      <c r="M27" s="15"/>
      <c r="N27" s="15">
        <f t="shared" si="0"/>
        <v>6</v>
      </c>
      <c r="O27" s="15" t="s">
        <v>27</v>
      </c>
      <c r="P27" s="15" t="s">
        <v>27</v>
      </c>
      <c r="R27" t="s">
        <v>176</v>
      </c>
      <c r="AB27" t="str">
        <f t="shared" si="1"/>
        <v>PDM Current</v>
      </c>
    </row>
    <row r="28" spans="1:28" ht="16.05" customHeight="1" x14ac:dyDescent="0.3">
      <c r="A28" s="16" t="s">
        <v>146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75</v>
      </c>
      <c r="K28" s="16" t="s">
        <v>11</v>
      </c>
      <c r="L28" s="16" t="b">
        <v>0</v>
      </c>
      <c r="M28" s="16"/>
      <c r="N28" s="16">
        <f t="shared" si="0"/>
        <v>7</v>
      </c>
      <c r="O28" s="16" t="s">
        <v>29</v>
      </c>
      <c r="P28" s="16" t="s">
        <v>23</v>
      </c>
      <c r="R28" t="s">
        <v>147</v>
      </c>
      <c r="AB28" t="s">
        <v>162</v>
      </c>
    </row>
    <row r="29" spans="1:28" ht="16.05" customHeight="1" x14ac:dyDescent="0.3">
      <c r="A29" s="16" t="s">
        <v>112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75</v>
      </c>
      <c r="K29" s="16" t="s">
        <v>11</v>
      </c>
      <c r="L29" s="16" t="b">
        <v>0</v>
      </c>
      <c r="M29" s="16"/>
      <c r="N29" s="16">
        <f t="shared" si="0"/>
        <v>7</v>
      </c>
      <c r="O29" s="16" t="s">
        <v>47</v>
      </c>
      <c r="P29" s="16" t="s">
        <v>29</v>
      </c>
      <c r="R29" t="s">
        <v>147</v>
      </c>
      <c r="AB29" t="str">
        <f t="shared" si="1"/>
        <v>Fuel Pump</v>
      </c>
    </row>
    <row r="30" spans="1:28" ht="16.05" customHeight="1" x14ac:dyDescent="0.3">
      <c r="A30" s="17" t="s">
        <v>113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75</v>
      </c>
      <c r="K30" s="18" t="s">
        <v>11</v>
      </c>
      <c r="L30" s="18" t="b">
        <v>0</v>
      </c>
      <c r="M30" s="18"/>
      <c r="N30" s="18">
        <f t="shared" si="0"/>
        <v>8</v>
      </c>
      <c r="O30" s="18" t="s">
        <v>27</v>
      </c>
      <c r="P30" s="18" t="s">
        <v>23</v>
      </c>
      <c r="R30" t="s">
        <v>177</v>
      </c>
      <c r="AB30" t="s">
        <v>163</v>
      </c>
    </row>
    <row r="31" spans="1:28" ht="16.05" customHeight="1" x14ac:dyDescent="0.3">
      <c r="A31" s="17" t="s">
        <v>114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75</v>
      </c>
      <c r="K31" s="18" t="s">
        <v>11</v>
      </c>
      <c r="L31" s="18" t="b">
        <v>0</v>
      </c>
      <c r="M31" s="18"/>
      <c r="N31" s="18">
        <f t="shared" si="0"/>
        <v>8</v>
      </c>
      <c r="O31" s="18" t="s">
        <v>28</v>
      </c>
      <c r="P31" s="18" t="s">
        <v>29</v>
      </c>
      <c r="R31" t="s">
        <v>177</v>
      </c>
      <c r="AB31" t="str">
        <f t="shared" si="1"/>
        <v>Lift Pumps - Average</v>
      </c>
    </row>
    <row r="32" spans="1:28" ht="16.05" customHeight="1" x14ac:dyDescent="0.3">
      <c r="A32" s="17" t="s">
        <v>115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75</v>
      </c>
      <c r="K32" s="18" t="s">
        <v>11</v>
      </c>
      <c r="L32" s="18" t="b">
        <v>0</v>
      </c>
      <c r="M32" s="18"/>
      <c r="N32" s="18">
        <f t="shared" si="0"/>
        <v>8</v>
      </c>
      <c r="O32" s="18" t="s">
        <v>27</v>
      </c>
      <c r="P32" s="18" t="s">
        <v>31</v>
      </c>
      <c r="R32" t="s">
        <v>177</v>
      </c>
      <c r="AB32" t="str">
        <f t="shared" si="1"/>
        <v>Lift Pumps - Average</v>
      </c>
    </row>
    <row r="33" spans="1:28" ht="16.05" customHeight="1" x14ac:dyDescent="0.3">
      <c r="A33" s="17" t="s">
        <v>53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75</v>
      </c>
      <c r="K33" s="18" t="s">
        <v>11</v>
      </c>
      <c r="L33" s="18" t="b">
        <v>0</v>
      </c>
      <c r="M33" s="18"/>
      <c r="N33" s="18">
        <f t="shared" si="0"/>
        <v>8</v>
      </c>
      <c r="O33" s="18" t="s">
        <v>27</v>
      </c>
      <c r="P33" s="18" t="s">
        <v>27</v>
      </c>
      <c r="R33" t="s">
        <v>177</v>
      </c>
      <c r="AB33" t="str">
        <f t="shared" si="1"/>
        <v>Lift Pumps - Average</v>
      </c>
    </row>
    <row r="34" spans="1:28" ht="16.05" customHeight="1" x14ac:dyDescent="0.3">
      <c r="A34" s="19" t="s">
        <v>116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75</v>
      </c>
      <c r="K34" s="20" t="s">
        <v>11</v>
      </c>
      <c r="L34" s="20" t="b">
        <v>0</v>
      </c>
      <c r="M34" s="20"/>
      <c r="N34" s="20">
        <f t="shared" si="0"/>
        <v>9</v>
      </c>
      <c r="O34" s="20" t="s">
        <v>27</v>
      </c>
      <c r="P34" s="20" t="s">
        <v>23</v>
      </c>
      <c r="R34" t="s">
        <v>177</v>
      </c>
      <c r="AB34" t="s">
        <v>164</v>
      </c>
    </row>
    <row r="35" spans="1:28" ht="16.05" customHeight="1" x14ac:dyDescent="0.3">
      <c r="A35" s="19" t="s">
        <v>117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75</v>
      </c>
      <c r="K35" s="20" t="s">
        <v>11</v>
      </c>
      <c r="L35" s="20" t="b">
        <v>0</v>
      </c>
      <c r="M35" s="20"/>
      <c r="N35" s="20">
        <f t="shared" si="0"/>
        <v>9</v>
      </c>
      <c r="O35" s="20" t="s">
        <v>28</v>
      </c>
      <c r="P35" s="20" t="s">
        <v>29</v>
      </c>
      <c r="R35" t="s">
        <v>177</v>
      </c>
      <c r="AB35" t="str">
        <f t="shared" si="1"/>
        <v>Lift Pumps - Maximum</v>
      </c>
    </row>
    <row r="36" spans="1:28" ht="16.05" customHeight="1" x14ac:dyDescent="0.3">
      <c r="A36" s="19" t="s">
        <v>118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75</v>
      </c>
      <c r="K36" s="20" t="s">
        <v>11</v>
      </c>
      <c r="L36" s="20" t="b">
        <v>0</v>
      </c>
      <c r="M36" s="20"/>
      <c r="N36" s="20">
        <f t="shared" si="0"/>
        <v>9</v>
      </c>
      <c r="O36" s="20" t="s">
        <v>27</v>
      </c>
      <c r="P36" s="20" t="s">
        <v>31</v>
      </c>
      <c r="R36" t="s">
        <v>177</v>
      </c>
      <c r="AB36" t="str">
        <f t="shared" si="1"/>
        <v>Lift Pumps - Maximum</v>
      </c>
    </row>
    <row r="37" spans="1:28" ht="16.05" customHeight="1" x14ac:dyDescent="0.3">
      <c r="A37" s="19" t="s">
        <v>119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75</v>
      </c>
      <c r="K37" s="20" t="s">
        <v>11</v>
      </c>
      <c r="L37" s="20" t="b">
        <v>0</v>
      </c>
      <c r="M37" s="20"/>
      <c r="N37" s="20">
        <f t="shared" si="0"/>
        <v>9</v>
      </c>
      <c r="O37" s="20" t="s">
        <v>27</v>
      </c>
      <c r="P37" s="20" t="s">
        <v>27</v>
      </c>
      <c r="R37" t="s">
        <v>177</v>
      </c>
      <c r="AB37" t="str">
        <f t="shared" si="1"/>
        <v>Lift Pumps - Maximum</v>
      </c>
    </row>
    <row r="38" spans="1:28" ht="16.05" customHeight="1" x14ac:dyDescent="0.3">
      <c r="A38" s="21" t="s">
        <v>120</v>
      </c>
      <c r="B38" s="22" t="s">
        <v>24</v>
      </c>
      <c r="C38" s="22" t="s">
        <v>26</v>
      </c>
      <c r="D38" s="22" t="s">
        <v>9</v>
      </c>
      <c r="E38" s="21" t="s">
        <v>57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75</v>
      </c>
      <c r="K38" s="22" t="s">
        <v>11</v>
      </c>
      <c r="L38" s="22" t="b">
        <v>0</v>
      </c>
      <c r="M38" s="22"/>
      <c r="N38" s="22">
        <f t="shared" si="0"/>
        <v>10</v>
      </c>
      <c r="O38" s="22" t="s">
        <v>22</v>
      </c>
      <c r="P38" s="22" t="s">
        <v>23</v>
      </c>
      <c r="R38" t="s">
        <v>178</v>
      </c>
      <c r="AB38" t="s">
        <v>165</v>
      </c>
    </row>
    <row r="39" spans="1:28" ht="16.05" customHeight="1" x14ac:dyDescent="0.3">
      <c r="A39" s="21" t="s">
        <v>121</v>
      </c>
      <c r="B39" s="22" t="s">
        <v>24</v>
      </c>
      <c r="C39" s="22" t="s">
        <v>26</v>
      </c>
      <c r="D39" s="22" t="s">
        <v>9</v>
      </c>
      <c r="E39" s="21" t="s">
        <v>58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75</v>
      </c>
      <c r="K39" s="22" t="s">
        <v>11</v>
      </c>
      <c r="L39" s="22" t="b">
        <v>0</v>
      </c>
      <c r="M39" s="22"/>
      <c r="N39" s="22">
        <f t="shared" si="0"/>
        <v>10</v>
      </c>
      <c r="O39" s="22" t="s">
        <v>22</v>
      </c>
      <c r="P39" s="22" t="s">
        <v>29</v>
      </c>
      <c r="R39" t="s">
        <v>178</v>
      </c>
      <c r="AB39" t="str">
        <f t="shared" si="1"/>
        <v>CAN Utilization</v>
      </c>
    </row>
    <row r="40" spans="1:28" ht="16.05" customHeight="1" x14ac:dyDescent="0.3">
      <c r="A40" s="21" t="s">
        <v>122</v>
      </c>
      <c r="B40" s="22" t="s">
        <v>24</v>
      </c>
      <c r="C40" s="22" t="s">
        <v>26</v>
      </c>
      <c r="D40" s="22" t="s">
        <v>9</v>
      </c>
      <c r="E40" s="21" t="s">
        <v>59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75</v>
      </c>
      <c r="K40" s="22" t="s">
        <v>11</v>
      </c>
      <c r="L40" s="22" t="b">
        <v>0</v>
      </c>
      <c r="M40" s="22"/>
      <c r="N40" s="22">
        <f t="shared" si="0"/>
        <v>10</v>
      </c>
      <c r="O40" s="22" t="s">
        <v>54</v>
      </c>
      <c r="P40" s="22" t="s">
        <v>54</v>
      </c>
      <c r="R40" t="s">
        <v>178</v>
      </c>
      <c r="AB40" t="str">
        <f t="shared" si="1"/>
        <v>CAN Utilization</v>
      </c>
    </row>
    <row r="41" spans="1:28" ht="16.05" customHeight="1" x14ac:dyDescent="0.3">
      <c r="A41" s="3" t="s">
        <v>123</v>
      </c>
      <c r="B41" s="23" t="s">
        <v>24</v>
      </c>
      <c r="C41" s="23" t="s">
        <v>26</v>
      </c>
      <c r="D41" s="23" t="s">
        <v>9</v>
      </c>
      <c r="E41" s="3" t="s">
        <v>56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75</v>
      </c>
      <c r="K41" s="23" t="s">
        <v>11</v>
      </c>
      <c r="L41" s="23" t="b">
        <v>0</v>
      </c>
      <c r="M41" s="23"/>
      <c r="N41" s="23">
        <f t="shared" si="0"/>
        <v>11</v>
      </c>
      <c r="O41" s="23" t="s">
        <v>29</v>
      </c>
      <c r="P41" s="23" t="s">
        <v>23</v>
      </c>
      <c r="R41" t="s">
        <v>178</v>
      </c>
      <c r="AB41" t="s">
        <v>166</v>
      </c>
    </row>
    <row r="42" spans="1:28" ht="16.05" customHeight="1" x14ac:dyDescent="0.3">
      <c r="A42" s="3" t="s">
        <v>124</v>
      </c>
      <c r="B42" s="23" t="s">
        <v>24</v>
      </c>
      <c r="C42" s="23" t="s">
        <v>26</v>
      </c>
      <c r="D42" s="23" t="s">
        <v>9</v>
      </c>
      <c r="E42" s="3" t="s">
        <v>55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75</v>
      </c>
      <c r="K42" s="3" t="s">
        <v>11</v>
      </c>
      <c r="L42" s="3" t="b">
        <v>0</v>
      </c>
      <c r="M42" s="3"/>
      <c r="N42" s="3">
        <f t="shared" si="0"/>
        <v>11</v>
      </c>
      <c r="O42" s="3" t="s">
        <v>29</v>
      </c>
      <c r="P42" s="3" t="s">
        <v>29</v>
      </c>
      <c r="R42" t="s">
        <v>178</v>
      </c>
      <c r="AB42" t="str">
        <f t="shared" si="1"/>
        <v>CPU Usage</v>
      </c>
    </row>
    <row r="43" spans="1:28" ht="16.05" customHeight="1" x14ac:dyDescent="0.3">
      <c r="A43" s="21" t="s">
        <v>125</v>
      </c>
      <c r="B43" s="22" t="s">
        <v>24</v>
      </c>
      <c r="C43" s="22" t="s">
        <v>26</v>
      </c>
      <c r="D43" s="22" t="s">
        <v>9</v>
      </c>
      <c r="E43" s="22" t="s">
        <v>60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75</v>
      </c>
      <c r="K43" s="22" t="s">
        <v>11</v>
      </c>
      <c r="L43" s="22" t="b">
        <v>0</v>
      </c>
      <c r="M43" s="22"/>
      <c r="N43" s="22">
        <f t="shared" si="0"/>
        <v>12</v>
      </c>
      <c r="O43" s="22" t="s">
        <v>22</v>
      </c>
      <c r="P43" s="22" t="s">
        <v>23</v>
      </c>
      <c r="R43" t="s">
        <v>179</v>
      </c>
      <c r="AB43" t="s">
        <v>167</v>
      </c>
    </row>
    <row r="44" spans="1:28" ht="16.05" customHeight="1" x14ac:dyDescent="0.3">
      <c r="A44" s="21" t="s">
        <v>126</v>
      </c>
      <c r="B44" s="22" t="s">
        <v>24</v>
      </c>
      <c r="C44" s="22" t="s">
        <v>26</v>
      </c>
      <c r="D44" s="22" t="s">
        <v>9</v>
      </c>
      <c r="E44" s="22" t="s">
        <v>61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75</v>
      </c>
      <c r="K44" s="22" t="s">
        <v>11</v>
      </c>
      <c r="L44" s="22" t="b">
        <v>0</v>
      </c>
      <c r="M44" s="22"/>
      <c r="N44" s="22">
        <f t="shared" si="0"/>
        <v>12</v>
      </c>
      <c r="O44" s="22" t="s">
        <v>22</v>
      </c>
      <c r="P44" s="22" t="s">
        <v>29</v>
      </c>
      <c r="R44" t="s">
        <v>180</v>
      </c>
      <c r="AB44" t="str">
        <f t="shared" si="1"/>
        <v>Driver Monitor</v>
      </c>
    </row>
    <row r="45" spans="1:28" ht="16.05" customHeight="1" x14ac:dyDescent="0.3">
      <c r="A45" s="21" t="s">
        <v>127</v>
      </c>
      <c r="B45" s="22" t="s">
        <v>24</v>
      </c>
      <c r="C45" s="22" t="s">
        <v>26</v>
      </c>
      <c r="D45" s="22" t="s">
        <v>9</v>
      </c>
      <c r="E45" s="22" t="s">
        <v>62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75</v>
      </c>
      <c r="K45" s="22" t="s">
        <v>11</v>
      </c>
      <c r="L45" s="22" t="b">
        <v>0</v>
      </c>
      <c r="M45" s="22"/>
      <c r="N45" s="22">
        <f t="shared" si="0"/>
        <v>12</v>
      </c>
      <c r="O45" s="22" t="s">
        <v>54</v>
      </c>
      <c r="P45" s="22" t="s">
        <v>54</v>
      </c>
      <c r="R45" t="s">
        <v>180</v>
      </c>
      <c r="AB45" t="str">
        <f t="shared" si="1"/>
        <v>Driver Monitor</v>
      </c>
    </row>
    <row r="46" spans="1:28" ht="16.05" customHeight="1" x14ac:dyDescent="0.3">
      <c r="A46" s="3" t="s">
        <v>184</v>
      </c>
      <c r="B46" s="23" t="s">
        <v>24</v>
      </c>
      <c r="C46" s="23" t="s">
        <v>26</v>
      </c>
      <c r="D46" s="23" t="s">
        <v>9</v>
      </c>
      <c r="E46" s="3" t="s">
        <v>189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75</v>
      </c>
      <c r="K46" s="23" t="s">
        <v>11</v>
      </c>
      <c r="L46" s="23" t="b">
        <v>0</v>
      </c>
      <c r="M46" s="23"/>
      <c r="N46" s="23">
        <f t="shared" si="0"/>
        <v>13</v>
      </c>
      <c r="O46" s="23" t="s">
        <v>22</v>
      </c>
      <c r="P46" s="23" t="s">
        <v>23</v>
      </c>
      <c r="R46" t="s">
        <v>185</v>
      </c>
      <c r="AA46" t="s">
        <v>181</v>
      </c>
      <c r="AB46" t="s">
        <v>158</v>
      </c>
    </row>
    <row r="47" spans="1:28" ht="16.05" customHeight="1" x14ac:dyDescent="0.3">
      <c r="A47" s="3" t="s">
        <v>128</v>
      </c>
      <c r="B47" s="23" t="s">
        <v>24</v>
      </c>
      <c r="C47" s="23" t="s">
        <v>26</v>
      </c>
      <c r="D47" s="23" t="s">
        <v>9</v>
      </c>
      <c r="E47" s="3" t="s">
        <v>64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75</v>
      </c>
      <c r="K47" s="23" t="s">
        <v>11</v>
      </c>
      <c r="L47" s="23" t="b">
        <v>0</v>
      </c>
      <c r="M47" s="23"/>
      <c r="N47" s="23">
        <f t="shared" si="0"/>
        <v>13</v>
      </c>
      <c r="O47" s="23" t="s">
        <v>22</v>
      </c>
      <c r="P47" s="23" t="s">
        <v>29</v>
      </c>
      <c r="R47" t="s">
        <v>145</v>
      </c>
      <c r="AB47" t="str">
        <f t="shared" si="1"/>
        <v>Inlet</v>
      </c>
    </row>
    <row r="48" spans="1:28" ht="16.05" customHeight="1" x14ac:dyDescent="0.3">
      <c r="A48" s="3" t="s">
        <v>182</v>
      </c>
      <c r="B48" s="23" t="s">
        <v>24</v>
      </c>
      <c r="C48" s="23" t="s">
        <v>26</v>
      </c>
      <c r="D48" s="3" t="s">
        <v>9</v>
      </c>
      <c r="E48" s="3" t="s">
        <v>63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75</v>
      </c>
      <c r="K48" s="23" t="s">
        <v>11</v>
      </c>
      <c r="L48" s="23" t="b">
        <v>0</v>
      </c>
      <c r="M48" s="23"/>
      <c r="N48" s="23">
        <f t="shared" si="0"/>
        <v>13</v>
      </c>
      <c r="O48" s="23" t="s">
        <v>54</v>
      </c>
      <c r="P48" s="23" t="s">
        <v>54</v>
      </c>
      <c r="R48" t="s">
        <v>178</v>
      </c>
      <c r="AB48" t="str">
        <f t="shared" si="1"/>
        <v>Inlet</v>
      </c>
    </row>
    <row r="49" spans="1:28" ht="16.05" customHeight="1" x14ac:dyDescent="0.3">
      <c r="A49" s="4" t="s">
        <v>102</v>
      </c>
      <c r="B49" s="5" t="s">
        <v>87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75</v>
      </c>
      <c r="K49" s="4" t="s">
        <v>11</v>
      </c>
      <c r="L49" s="4" t="b">
        <v>0</v>
      </c>
      <c r="M49" s="5"/>
      <c r="N49" s="5">
        <f t="shared" si="0"/>
        <v>14</v>
      </c>
      <c r="O49" s="5" t="s">
        <v>27</v>
      </c>
      <c r="P49" s="5" t="s">
        <v>23</v>
      </c>
      <c r="R49" t="s">
        <v>89</v>
      </c>
      <c r="S49" t="b">
        <v>1</v>
      </c>
      <c r="T49" t="s">
        <v>88</v>
      </c>
      <c r="U49">
        <v>4</v>
      </c>
      <c r="AB49" t="s">
        <v>154</v>
      </c>
    </row>
    <row r="50" spans="1:28" ht="16.05" customHeight="1" x14ac:dyDescent="0.3">
      <c r="A50" s="4" t="s">
        <v>103</v>
      </c>
      <c r="B50" s="5" t="s">
        <v>87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75</v>
      </c>
      <c r="K50" s="4" t="s">
        <v>11</v>
      </c>
      <c r="L50" s="4" t="b">
        <v>0</v>
      </c>
      <c r="M50" s="5"/>
      <c r="N50" s="5">
        <f t="shared" si="0"/>
        <v>14</v>
      </c>
      <c r="O50" s="5" t="s">
        <v>28</v>
      </c>
      <c r="P50" s="5" t="s">
        <v>29</v>
      </c>
      <c r="R50" t="s">
        <v>89</v>
      </c>
      <c r="S50" t="b">
        <v>1</v>
      </c>
      <c r="T50" t="s">
        <v>88</v>
      </c>
      <c r="U50">
        <v>4</v>
      </c>
      <c r="AB50" t="s">
        <v>154</v>
      </c>
    </row>
    <row r="51" spans="1:28" ht="16.05" customHeight="1" x14ac:dyDescent="0.3">
      <c r="A51" s="4" t="s">
        <v>143</v>
      </c>
      <c r="B51" s="5" t="s">
        <v>87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75</v>
      </c>
      <c r="K51" s="4" t="s">
        <v>11</v>
      </c>
      <c r="L51" s="4" t="b">
        <v>0</v>
      </c>
      <c r="M51" s="5"/>
      <c r="N51" s="5">
        <f t="shared" si="0"/>
        <v>14</v>
      </c>
      <c r="O51" s="5" t="s">
        <v>27</v>
      </c>
      <c r="P51" s="5" t="s">
        <v>31</v>
      </c>
      <c r="R51" t="s">
        <v>169</v>
      </c>
      <c r="S51" t="b">
        <v>1</v>
      </c>
      <c r="T51" t="s">
        <v>88</v>
      </c>
      <c r="U51">
        <v>4</v>
      </c>
      <c r="AB51" t="s">
        <v>154</v>
      </c>
    </row>
    <row r="52" spans="1:28" ht="16.05" customHeight="1" x14ac:dyDescent="0.3">
      <c r="A52" s="4" t="s">
        <v>144</v>
      </c>
      <c r="B52" s="5" t="s">
        <v>87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75</v>
      </c>
      <c r="K52" s="4" t="s">
        <v>11</v>
      </c>
      <c r="L52" s="4" t="b">
        <v>0</v>
      </c>
      <c r="M52" s="5"/>
      <c r="N52" s="5">
        <f t="shared" si="0"/>
        <v>14</v>
      </c>
      <c r="O52" s="5" t="s">
        <v>27</v>
      </c>
      <c r="P52" s="5" t="s">
        <v>27</v>
      </c>
      <c r="R52" t="s">
        <v>169</v>
      </c>
      <c r="S52" t="b">
        <v>1</v>
      </c>
      <c r="T52" t="s">
        <v>88</v>
      </c>
      <c r="U52">
        <v>4</v>
      </c>
      <c r="AB52" t="s">
        <v>154</v>
      </c>
    </row>
    <row r="53" spans="1:28" ht="16.05" customHeight="1" x14ac:dyDescent="0.3">
      <c r="A53" s="6" t="s">
        <v>139</v>
      </c>
      <c r="B53" s="7" t="s">
        <v>87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75</v>
      </c>
      <c r="K53" s="6" t="s">
        <v>11</v>
      </c>
      <c r="L53" s="6" t="b">
        <v>0</v>
      </c>
      <c r="M53" s="7"/>
      <c r="N53" s="7">
        <f t="shared" si="0"/>
        <v>15</v>
      </c>
      <c r="O53" s="7" t="s">
        <v>27</v>
      </c>
      <c r="P53" s="7" t="s">
        <v>23</v>
      </c>
      <c r="R53" t="s">
        <v>172</v>
      </c>
      <c r="S53" t="b">
        <v>1</v>
      </c>
      <c r="T53" t="s">
        <v>88</v>
      </c>
      <c r="U53">
        <v>4</v>
      </c>
      <c r="AB53" t="s">
        <v>155</v>
      </c>
    </row>
    <row r="54" spans="1:28" ht="16.05" customHeight="1" x14ac:dyDescent="0.3">
      <c r="A54" s="6" t="s">
        <v>142</v>
      </c>
      <c r="B54" s="7" t="s">
        <v>87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75</v>
      </c>
      <c r="K54" s="6" t="s">
        <v>11</v>
      </c>
      <c r="L54" s="6" t="b">
        <v>0</v>
      </c>
      <c r="M54" s="7"/>
      <c r="N54" s="7">
        <f t="shared" si="0"/>
        <v>15</v>
      </c>
      <c r="O54" s="7" t="s">
        <v>28</v>
      </c>
      <c r="P54" s="7" t="s">
        <v>29</v>
      </c>
      <c r="R54" t="s">
        <v>172</v>
      </c>
      <c r="S54" t="b">
        <v>1</v>
      </c>
      <c r="T54" t="s">
        <v>88</v>
      </c>
      <c r="U54">
        <v>4</v>
      </c>
      <c r="AB54" t="s">
        <v>155</v>
      </c>
    </row>
    <row r="55" spans="1:28" ht="16.05" customHeight="1" x14ac:dyDescent="0.3">
      <c r="A55" s="6" t="s">
        <v>141</v>
      </c>
      <c r="B55" s="7" t="s">
        <v>87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75</v>
      </c>
      <c r="K55" s="6" t="s">
        <v>11</v>
      </c>
      <c r="L55" s="6" t="b">
        <v>0</v>
      </c>
      <c r="M55" s="7"/>
      <c r="N55" s="7">
        <f t="shared" si="0"/>
        <v>15</v>
      </c>
      <c r="O55" s="7" t="s">
        <v>27</v>
      </c>
      <c r="P55" s="7" t="s">
        <v>31</v>
      </c>
      <c r="R55" t="s">
        <v>170</v>
      </c>
      <c r="S55" t="b">
        <v>1</v>
      </c>
      <c r="T55" t="s">
        <v>88</v>
      </c>
      <c r="U55">
        <v>4</v>
      </c>
      <c r="AB55" t="s">
        <v>155</v>
      </c>
    </row>
    <row r="56" spans="1:28" ht="16.05" customHeight="1" x14ac:dyDescent="0.3">
      <c r="A56" s="6" t="s">
        <v>140</v>
      </c>
      <c r="B56" s="7" t="s">
        <v>87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75</v>
      </c>
      <c r="K56" s="6" t="s">
        <v>11</v>
      </c>
      <c r="L56" s="6" t="b">
        <v>0</v>
      </c>
      <c r="M56" s="7"/>
      <c r="N56" s="7">
        <f t="shared" si="0"/>
        <v>15</v>
      </c>
      <c r="O56" s="7" t="s">
        <v>27</v>
      </c>
      <c r="P56" s="7" t="s">
        <v>27</v>
      </c>
      <c r="R56" t="s">
        <v>170</v>
      </c>
      <c r="S56" t="b">
        <v>1</v>
      </c>
      <c r="T56" t="s">
        <v>88</v>
      </c>
      <c r="U56">
        <v>4</v>
      </c>
      <c r="AB56" t="str">
        <f>AB55</f>
        <v>Transmission</v>
      </c>
    </row>
    <row r="57" spans="1:28" ht="16.05" customHeight="1" x14ac:dyDescent="0.3">
      <c r="A57" s="8" t="s">
        <v>98</v>
      </c>
      <c r="B57" s="9" t="s">
        <v>87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75</v>
      </c>
      <c r="K57" s="8" t="s">
        <v>11</v>
      </c>
      <c r="L57" s="8" t="b">
        <v>0</v>
      </c>
      <c r="M57" s="9"/>
      <c r="N57" s="9">
        <f t="shared" si="0"/>
        <v>16</v>
      </c>
      <c r="O57" s="9" t="s">
        <v>27</v>
      </c>
      <c r="P57" s="9" t="s">
        <v>23</v>
      </c>
      <c r="R57" t="s">
        <v>171</v>
      </c>
      <c r="S57" t="b">
        <v>1</v>
      </c>
      <c r="T57" t="s">
        <v>88</v>
      </c>
      <c r="U57">
        <v>4</v>
      </c>
      <c r="AB57" t="s">
        <v>156</v>
      </c>
    </row>
    <row r="58" spans="1:28" ht="16.05" customHeight="1" x14ac:dyDescent="0.3">
      <c r="A58" s="8" t="s">
        <v>99</v>
      </c>
      <c r="B58" s="9" t="s">
        <v>87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75</v>
      </c>
      <c r="K58" s="8" t="s">
        <v>11</v>
      </c>
      <c r="L58" s="8" t="b">
        <v>0</v>
      </c>
      <c r="M58" s="9"/>
      <c r="N58" s="9">
        <f t="shared" si="0"/>
        <v>16</v>
      </c>
      <c r="O58" s="9" t="s">
        <v>28</v>
      </c>
      <c r="P58" s="9" t="s">
        <v>29</v>
      </c>
      <c r="R58" t="s">
        <v>171</v>
      </c>
      <c r="S58" t="b">
        <v>1</v>
      </c>
      <c r="T58" t="s">
        <v>88</v>
      </c>
      <c r="U58">
        <v>4</v>
      </c>
      <c r="AB58" t="str">
        <f t="shared" ref="AB58:AB95" si="2">AB57</f>
        <v>Engine</v>
      </c>
    </row>
    <row r="59" spans="1:28" ht="16.05" customHeight="1" x14ac:dyDescent="0.3">
      <c r="A59" s="8" t="s">
        <v>101</v>
      </c>
      <c r="B59" s="9" t="s">
        <v>87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75</v>
      </c>
      <c r="K59" s="8" t="s">
        <v>11</v>
      </c>
      <c r="L59" s="8" t="b">
        <v>0</v>
      </c>
      <c r="M59" s="9"/>
      <c r="N59" s="9">
        <f t="shared" si="0"/>
        <v>16</v>
      </c>
      <c r="O59" s="9" t="s">
        <v>27</v>
      </c>
      <c r="P59" s="9" t="s">
        <v>31</v>
      </c>
      <c r="R59" t="s">
        <v>173</v>
      </c>
      <c r="S59" t="b">
        <v>1</v>
      </c>
      <c r="T59" t="s">
        <v>88</v>
      </c>
      <c r="U59">
        <v>4</v>
      </c>
      <c r="AB59" t="str">
        <f t="shared" si="2"/>
        <v>Engine</v>
      </c>
    </row>
    <row r="60" spans="1:28" ht="16.05" customHeight="1" x14ac:dyDescent="0.3">
      <c r="A60" s="8" t="s">
        <v>100</v>
      </c>
      <c r="B60" s="9" t="s">
        <v>87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75</v>
      </c>
      <c r="K60" s="8" t="s">
        <v>11</v>
      </c>
      <c r="L60" s="8" t="b">
        <v>0</v>
      </c>
      <c r="M60" s="9"/>
      <c r="N60" s="9">
        <f t="shared" si="0"/>
        <v>16</v>
      </c>
      <c r="O60" s="9" t="s">
        <v>27</v>
      </c>
      <c r="P60" s="9" t="s">
        <v>27</v>
      </c>
      <c r="R60" t="s">
        <v>173</v>
      </c>
      <c r="S60" t="b">
        <v>1</v>
      </c>
      <c r="T60" t="s">
        <v>88</v>
      </c>
      <c r="U60">
        <v>4</v>
      </c>
      <c r="AB60" t="str">
        <f t="shared" si="2"/>
        <v>Engine</v>
      </c>
    </row>
    <row r="61" spans="1:28" ht="16.05" customHeight="1" x14ac:dyDescent="0.3">
      <c r="A61" s="10" t="s">
        <v>93</v>
      </c>
      <c r="B61" s="11" t="s">
        <v>87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75</v>
      </c>
      <c r="K61" s="10" t="s">
        <v>11</v>
      </c>
      <c r="L61" s="10" t="b">
        <v>0</v>
      </c>
      <c r="M61" s="11"/>
      <c r="N61" s="11">
        <f t="shared" si="0"/>
        <v>17</v>
      </c>
      <c r="O61" s="11" t="s">
        <v>27</v>
      </c>
      <c r="P61" s="11" t="s">
        <v>23</v>
      </c>
      <c r="R61" t="s">
        <v>95</v>
      </c>
      <c r="S61" t="b">
        <v>1</v>
      </c>
      <c r="T61" t="s">
        <v>88</v>
      </c>
      <c r="U61">
        <v>4</v>
      </c>
      <c r="AB61" t="s">
        <v>157</v>
      </c>
    </row>
    <row r="62" spans="1:28" ht="16.05" customHeight="1" x14ac:dyDescent="0.3">
      <c r="A62" s="10" t="s">
        <v>94</v>
      </c>
      <c r="B62" s="11" t="s">
        <v>87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75</v>
      </c>
      <c r="K62" s="10" t="s">
        <v>11</v>
      </c>
      <c r="L62" s="10" t="b">
        <v>0</v>
      </c>
      <c r="M62" s="11"/>
      <c r="N62" s="11">
        <f t="shared" si="0"/>
        <v>17</v>
      </c>
      <c r="O62" s="11" t="s">
        <v>28</v>
      </c>
      <c r="P62" s="11" t="s">
        <v>29</v>
      </c>
      <c r="R62" t="s">
        <v>95</v>
      </c>
      <c r="S62" t="b">
        <v>1</v>
      </c>
      <c r="T62" t="s">
        <v>88</v>
      </c>
      <c r="U62">
        <v>4</v>
      </c>
      <c r="AB62" t="str">
        <f t="shared" si="2"/>
        <v>Fuel</v>
      </c>
    </row>
    <row r="63" spans="1:28" ht="16.05" customHeight="1" x14ac:dyDescent="0.3">
      <c r="A63" s="10" t="s">
        <v>91</v>
      </c>
      <c r="B63" s="11" t="s">
        <v>87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75</v>
      </c>
      <c r="K63" s="10" t="s">
        <v>11</v>
      </c>
      <c r="L63" s="10" t="b">
        <v>0</v>
      </c>
      <c r="M63" s="11"/>
      <c r="N63" s="11">
        <f t="shared" si="0"/>
        <v>17</v>
      </c>
      <c r="O63" s="11" t="s">
        <v>27</v>
      </c>
      <c r="P63" s="11" t="s">
        <v>31</v>
      </c>
      <c r="R63" t="s">
        <v>90</v>
      </c>
      <c r="S63" t="b">
        <v>1</v>
      </c>
      <c r="T63" t="s">
        <v>88</v>
      </c>
      <c r="U63">
        <v>4</v>
      </c>
      <c r="AB63" t="str">
        <f t="shared" si="2"/>
        <v>Fuel</v>
      </c>
    </row>
    <row r="64" spans="1:28" ht="16.05" customHeight="1" x14ac:dyDescent="0.3">
      <c r="A64" s="10" t="s">
        <v>92</v>
      </c>
      <c r="B64" s="11" t="s">
        <v>87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75</v>
      </c>
      <c r="K64" s="10" t="s">
        <v>11</v>
      </c>
      <c r="L64" s="10" t="b">
        <v>0</v>
      </c>
      <c r="M64" s="11"/>
      <c r="N64" s="11">
        <f t="shared" si="0"/>
        <v>17</v>
      </c>
      <c r="O64" s="11" t="s">
        <v>27</v>
      </c>
      <c r="P64" s="11" t="s">
        <v>27</v>
      </c>
      <c r="R64" t="s">
        <v>90</v>
      </c>
      <c r="S64" t="b">
        <v>1</v>
      </c>
      <c r="T64" t="s">
        <v>88</v>
      </c>
      <c r="U64">
        <v>4</v>
      </c>
      <c r="AB64" t="str">
        <f t="shared" si="2"/>
        <v>Fuel</v>
      </c>
    </row>
    <row r="65" spans="1:28" ht="16.05" customHeight="1" x14ac:dyDescent="0.3">
      <c r="A65" s="12" t="s">
        <v>187</v>
      </c>
      <c r="B65" s="13" t="s">
        <v>87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75</v>
      </c>
      <c r="K65" s="12" t="s">
        <v>11</v>
      </c>
      <c r="L65" s="12" t="b">
        <v>0</v>
      </c>
      <c r="M65" s="13"/>
      <c r="N65" s="13">
        <f t="shared" si="0"/>
        <v>18</v>
      </c>
      <c r="O65" s="13" t="s">
        <v>29</v>
      </c>
      <c r="P65" s="13" t="s">
        <v>23</v>
      </c>
      <c r="R65" t="s">
        <v>96</v>
      </c>
      <c r="S65" t="b">
        <v>1</v>
      </c>
      <c r="T65" t="s">
        <v>88</v>
      </c>
      <c r="U65">
        <v>4</v>
      </c>
      <c r="AB65" t="s">
        <v>159</v>
      </c>
    </row>
    <row r="66" spans="1:28" ht="16.05" customHeight="1" x14ac:dyDescent="0.3">
      <c r="A66" s="12" t="s">
        <v>188</v>
      </c>
      <c r="B66" s="13" t="s">
        <v>87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75</v>
      </c>
      <c r="K66" s="12" t="s">
        <v>11</v>
      </c>
      <c r="L66" s="12" t="b">
        <v>0</v>
      </c>
      <c r="M66" s="13"/>
      <c r="N66" s="13">
        <f t="shared" si="0"/>
        <v>18</v>
      </c>
      <c r="O66" s="13" t="s">
        <v>28</v>
      </c>
      <c r="P66" s="13" t="s">
        <v>29</v>
      </c>
      <c r="R66" t="s">
        <v>96</v>
      </c>
      <c r="S66" t="b">
        <v>1</v>
      </c>
      <c r="T66" t="s">
        <v>88</v>
      </c>
      <c r="U66">
        <v>4</v>
      </c>
      <c r="AB66" t="str">
        <f t="shared" si="2"/>
        <v>Power Steering</v>
      </c>
    </row>
    <row r="67" spans="1:28" ht="16.05" customHeight="1" x14ac:dyDescent="0.3">
      <c r="A67" s="6" t="s">
        <v>104</v>
      </c>
      <c r="B67" s="7" t="s">
        <v>87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75</v>
      </c>
      <c r="K67" s="6" t="s">
        <v>11</v>
      </c>
      <c r="L67" s="6" t="b">
        <v>0</v>
      </c>
      <c r="M67" s="7"/>
      <c r="N67" s="7">
        <f t="shared" si="0"/>
        <v>18</v>
      </c>
      <c r="O67" s="7" t="s">
        <v>27</v>
      </c>
      <c r="P67" s="7" t="s">
        <v>23</v>
      </c>
      <c r="R67" t="s">
        <v>175</v>
      </c>
      <c r="S67" t="b">
        <v>1</v>
      </c>
      <c r="T67" t="s">
        <v>88</v>
      </c>
      <c r="U67">
        <v>4</v>
      </c>
      <c r="V67" t="s">
        <v>191</v>
      </c>
      <c r="AB67" t="s">
        <v>160</v>
      </c>
    </row>
    <row r="68" spans="1:28" ht="16.05" customHeight="1" x14ac:dyDescent="0.3">
      <c r="A68" s="6" t="s">
        <v>105</v>
      </c>
      <c r="B68" s="7" t="s">
        <v>87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75</v>
      </c>
      <c r="K68" s="6" t="s">
        <v>11</v>
      </c>
      <c r="L68" s="6" t="b">
        <v>0</v>
      </c>
      <c r="M68" s="7"/>
      <c r="N68" s="7">
        <f t="shared" ref="N68:N103" si="3">IF(TRIM(P67)=TRIM(O67), N67+1, N67)</f>
        <v>18</v>
      </c>
      <c r="O68" s="7" t="s">
        <v>28</v>
      </c>
      <c r="P68" s="7" t="s">
        <v>29</v>
      </c>
      <c r="R68" t="s">
        <v>175</v>
      </c>
      <c r="S68" t="b">
        <v>1</v>
      </c>
      <c r="T68" t="s">
        <v>88</v>
      </c>
      <c r="U68">
        <v>4</v>
      </c>
      <c r="V68" t="s">
        <v>191</v>
      </c>
      <c r="AB68" t="str">
        <f t="shared" si="2"/>
        <v>Tyre IGL</v>
      </c>
    </row>
    <row r="69" spans="1:28" ht="16.05" customHeight="1" x14ac:dyDescent="0.3">
      <c r="A69" s="6" t="s">
        <v>106</v>
      </c>
      <c r="B69" s="7" t="s">
        <v>87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75</v>
      </c>
      <c r="K69" s="6" t="s">
        <v>11</v>
      </c>
      <c r="L69" s="6" t="b">
        <v>0</v>
      </c>
      <c r="M69" s="7"/>
      <c r="N69" s="7">
        <f t="shared" si="3"/>
        <v>18</v>
      </c>
      <c r="O69" s="7" t="s">
        <v>27</v>
      </c>
      <c r="P69" s="7" t="s">
        <v>31</v>
      </c>
      <c r="R69" t="s">
        <v>175</v>
      </c>
      <c r="S69" t="b">
        <v>1</v>
      </c>
      <c r="T69" t="s">
        <v>88</v>
      </c>
      <c r="U69">
        <v>4</v>
      </c>
      <c r="V69" t="s">
        <v>191</v>
      </c>
      <c r="AB69" t="str">
        <f t="shared" si="2"/>
        <v>Tyre IGL</v>
      </c>
    </row>
    <row r="70" spans="1:28" ht="16.05" customHeight="1" x14ac:dyDescent="0.3">
      <c r="A70" s="6" t="s">
        <v>107</v>
      </c>
      <c r="B70" s="7" t="s">
        <v>87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75</v>
      </c>
      <c r="K70" s="6" t="s">
        <v>11</v>
      </c>
      <c r="L70" s="6" t="b">
        <v>0</v>
      </c>
      <c r="M70" s="7"/>
      <c r="N70" s="7">
        <f t="shared" si="3"/>
        <v>18</v>
      </c>
      <c r="O70" s="7" t="s">
        <v>27</v>
      </c>
      <c r="P70" s="7" t="s">
        <v>27</v>
      </c>
      <c r="R70" t="s">
        <v>175</v>
      </c>
      <c r="S70" t="b">
        <v>1</v>
      </c>
      <c r="T70" t="s">
        <v>88</v>
      </c>
      <c r="U70">
        <v>4</v>
      </c>
      <c r="V70" t="s">
        <v>191</v>
      </c>
      <c r="AB70" t="str">
        <f t="shared" si="2"/>
        <v>Tyre IGL</v>
      </c>
    </row>
    <row r="71" spans="1:28" ht="16.05" customHeight="1" x14ac:dyDescent="0.3">
      <c r="A71" s="14" t="s">
        <v>108</v>
      </c>
      <c r="B71" s="15" t="s">
        <v>87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75</v>
      </c>
      <c r="K71" s="14" t="s">
        <v>11</v>
      </c>
      <c r="L71" s="14" t="b">
        <v>0</v>
      </c>
      <c r="M71" s="15"/>
      <c r="N71" s="15">
        <f t="shared" si="3"/>
        <v>19</v>
      </c>
      <c r="O71" s="15" t="s">
        <v>27</v>
      </c>
      <c r="P71" s="15" t="s">
        <v>23</v>
      </c>
      <c r="R71" t="s">
        <v>176</v>
      </c>
      <c r="S71" t="b">
        <v>1</v>
      </c>
      <c r="T71" t="s">
        <v>88</v>
      </c>
      <c r="U71">
        <v>4</v>
      </c>
      <c r="AB71" t="s">
        <v>161</v>
      </c>
    </row>
    <row r="72" spans="1:28" ht="16.05" customHeight="1" x14ac:dyDescent="0.3">
      <c r="A72" s="14" t="s">
        <v>109</v>
      </c>
      <c r="B72" s="15" t="s">
        <v>87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75</v>
      </c>
      <c r="K72" s="14" t="s">
        <v>11</v>
      </c>
      <c r="L72" s="14" t="b">
        <v>0</v>
      </c>
      <c r="M72" s="15"/>
      <c r="N72" s="15">
        <f t="shared" si="3"/>
        <v>19</v>
      </c>
      <c r="O72" s="15" t="s">
        <v>28</v>
      </c>
      <c r="P72" s="15" t="s">
        <v>29</v>
      </c>
      <c r="R72" t="s">
        <v>176</v>
      </c>
      <c r="S72" t="b">
        <v>1</v>
      </c>
      <c r="T72" t="s">
        <v>88</v>
      </c>
      <c r="U72">
        <v>4</v>
      </c>
      <c r="AB72" t="str">
        <f t="shared" si="2"/>
        <v>PDM Current</v>
      </c>
    </row>
    <row r="73" spans="1:28" ht="16.05" customHeight="1" x14ac:dyDescent="0.3">
      <c r="A73" s="14" t="s">
        <v>110</v>
      </c>
      <c r="B73" s="15" t="s">
        <v>87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75</v>
      </c>
      <c r="K73" s="14" t="s">
        <v>11</v>
      </c>
      <c r="L73" s="14" t="b">
        <v>0</v>
      </c>
      <c r="M73" s="15"/>
      <c r="N73" s="15">
        <f t="shared" si="3"/>
        <v>19</v>
      </c>
      <c r="O73" s="15" t="s">
        <v>27</v>
      </c>
      <c r="P73" s="15" t="s">
        <v>31</v>
      </c>
      <c r="R73" t="s">
        <v>176</v>
      </c>
      <c r="S73" t="b">
        <v>1</v>
      </c>
      <c r="T73" t="s">
        <v>88</v>
      </c>
      <c r="U73">
        <v>4</v>
      </c>
      <c r="AB73" t="str">
        <f t="shared" si="2"/>
        <v>PDM Current</v>
      </c>
    </row>
    <row r="74" spans="1:28" ht="16.05" customHeight="1" x14ac:dyDescent="0.3">
      <c r="A74" s="15" t="s">
        <v>111</v>
      </c>
      <c r="B74" s="15" t="s">
        <v>87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75</v>
      </c>
      <c r="K74" s="14" t="s">
        <v>11</v>
      </c>
      <c r="L74" s="14" t="b">
        <v>0</v>
      </c>
      <c r="M74" s="15"/>
      <c r="N74" s="15">
        <f t="shared" si="3"/>
        <v>19</v>
      </c>
      <c r="O74" s="15" t="s">
        <v>27</v>
      </c>
      <c r="P74" s="15" t="s">
        <v>27</v>
      </c>
      <c r="R74" t="s">
        <v>176</v>
      </c>
      <c r="S74" t="b">
        <v>1</v>
      </c>
      <c r="T74" t="s">
        <v>88</v>
      </c>
      <c r="U74">
        <v>4</v>
      </c>
      <c r="AB74" t="str">
        <f t="shared" si="2"/>
        <v>PDM Current</v>
      </c>
    </row>
    <row r="75" spans="1:28" ht="16.05" customHeight="1" x14ac:dyDescent="0.3">
      <c r="A75" s="16" t="s">
        <v>146</v>
      </c>
      <c r="B75" s="16" t="s">
        <v>87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75</v>
      </c>
      <c r="K75" s="16" t="s">
        <v>11</v>
      </c>
      <c r="L75" s="16" t="b">
        <v>0</v>
      </c>
      <c r="M75" s="16"/>
      <c r="N75" s="16">
        <f t="shared" si="3"/>
        <v>20</v>
      </c>
      <c r="O75" s="16" t="s">
        <v>29</v>
      </c>
      <c r="P75" s="16" t="s">
        <v>23</v>
      </c>
      <c r="R75" t="s">
        <v>147</v>
      </c>
      <c r="S75" t="b">
        <v>1</v>
      </c>
      <c r="T75" t="s">
        <v>88</v>
      </c>
      <c r="U75">
        <v>4</v>
      </c>
      <c r="AB75" t="s">
        <v>162</v>
      </c>
    </row>
    <row r="76" spans="1:28" ht="16.05" customHeight="1" x14ac:dyDescent="0.3">
      <c r="A76" s="16" t="s">
        <v>112</v>
      </c>
      <c r="B76" s="16" t="s">
        <v>87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75</v>
      </c>
      <c r="K76" s="16" t="s">
        <v>11</v>
      </c>
      <c r="L76" s="16" t="b">
        <v>0</v>
      </c>
      <c r="M76" s="16"/>
      <c r="N76" s="16">
        <f t="shared" si="3"/>
        <v>20</v>
      </c>
      <c r="O76" s="16" t="s">
        <v>47</v>
      </c>
      <c r="P76" s="16" t="s">
        <v>29</v>
      </c>
      <c r="R76" t="s">
        <v>147</v>
      </c>
      <c r="S76" t="b">
        <v>1</v>
      </c>
      <c r="T76" t="s">
        <v>88</v>
      </c>
      <c r="U76">
        <v>4</v>
      </c>
      <c r="AB76" t="str">
        <f t="shared" si="2"/>
        <v>Fuel Pump</v>
      </c>
    </row>
    <row r="77" spans="1:28" ht="16.05" customHeight="1" x14ac:dyDescent="0.3">
      <c r="A77" s="17" t="s">
        <v>113</v>
      </c>
      <c r="B77" s="18" t="s">
        <v>87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75</v>
      </c>
      <c r="K77" s="18" t="s">
        <v>11</v>
      </c>
      <c r="L77" s="18" t="b">
        <v>0</v>
      </c>
      <c r="M77" s="18"/>
      <c r="N77" s="18">
        <f t="shared" si="3"/>
        <v>21</v>
      </c>
      <c r="O77" s="18" t="s">
        <v>27</v>
      </c>
      <c r="P77" s="18" t="s">
        <v>23</v>
      </c>
      <c r="R77" t="s">
        <v>177</v>
      </c>
      <c r="S77" t="b">
        <v>1</v>
      </c>
      <c r="T77" t="s">
        <v>88</v>
      </c>
      <c r="U77">
        <v>4</v>
      </c>
      <c r="AB77" t="s">
        <v>163</v>
      </c>
    </row>
    <row r="78" spans="1:28" ht="16.05" customHeight="1" x14ac:dyDescent="0.3">
      <c r="A78" s="17" t="s">
        <v>114</v>
      </c>
      <c r="B78" s="18" t="s">
        <v>87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75</v>
      </c>
      <c r="K78" s="18" t="s">
        <v>11</v>
      </c>
      <c r="L78" s="18" t="b">
        <v>0</v>
      </c>
      <c r="M78" s="18"/>
      <c r="N78" s="18">
        <f t="shared" si="3"/>
        <v>21</v>
      </c>
      <c r="O78" s="18" t="s">
        <v>28</v>
      </c>
      <c r="P78" s="18" t="s">
        <v>29</v>
      </c>
      <c r="R78" t="s">
        <v>177</v>
      </c>
      <c r="S78" t="b">
        <v>1</v>
      </c>
      <c r="T78" t="s">
        <v>88</v>
      </c>
      <c r="U78">
        <v>4</v>
      </c>
      <c r="AB78" t="str">
        <f t="shared" si="2"/>
        <v>Lift Pumps - Average</v>
      </c>
    </row>
    <row r="79" spans="1:28" ht="16.05" customHeight="1" x14ac:dyDescent="0.3">
      <c r="A79" s="17" t="s">
        <v>115</v>
      </c>
      <c r="B79" s="18" t="s">
        <v>87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75</v>
      </c>
      <c r="K79" s="18" t="s">
        <v>11</v>
      </c>
      <c r="L79" s="18" t="b">
        <v>0</v>
      </c>
      <c r="M79" s="18"/>
      <c r="N79" s="18">
        <f t="shared" si="3"/>
        <v>21</v>
      </c>
      <c r="O79" s="18" t="s">
        <v>27</v>
      </c>
      <c r="P79" s="18" t="s">
        <v>31</v>
      </c>
      <c r="R79" t="s">
        <v>177</v>
      </c>
      <c r="S79" t="b">
        <v>1</v>
      </c>
      <c r="T79" t="s">
        <v>88</v>
      </c>
      <c r="U79">
        <v>4</v>
      </c>
      <c r="AB79" t="str">
        <f t="shared" si="2"/>
        <v>Lift Pumps - Average</v>
      </c>
    </row>
    <row r="80" spans="1:28" ht="16.05" customHeight="1" x14ac:dyDescent="0.3">
      <c r="A80" s="17" t="s">
        <v>53</v>
      </c>
      <c r="B80" s="18" t="s">
        <v>87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75</v>
      </c>
      <c r="K80" s="18" t="s">
        <v>11</v>
      </c>
      <c r="L80" s="18" t="b">
        <v>0</v>
      </c>
      <c r="M80" s="18"/>
      <c r="N80" s="18">
        <f t="shared" si="3"/>
        <v>21</v>
      </c>
      <c r="O80" s="18" t="s">
        <v>27</v>
      </c>
      <c r="P80" s="18" t="s">
        <v>27</v>
      </c>
      <c r="R80" t="s">
        <v>177</v>
      </c>
      <c r="S80" t="b">
        <v>1</v>
      </c>
      <c r="T80" t="s">
        <v>88</v>
      </c>
      <c r="U80">
        <v>4</v>
      </c>
      <c r="AB80" t="str">
        <f t="shared" si="2"/>
        <v>Lift Pumps - Average</v>
      </c>
    </row>
    <row r="81" spans="1:28" ht="16.05" customHeight="1" x14ac:dyDescent="0.3">
      <c r="A81" s="19" t="s">
        <v>116</v>
      </c>
      <c r="B81" s="20" t="s">
        <v>87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75</v>
      </c>
      <c r="K81" s="20" t="s">
        <v>11</v>
      </c>
      <c r="L81" s="20" t="b">
        <v>0</v>
      </c>
      <c r="M81" s="20"/>
      <c r="N81" s="20">
        <f t="shared" si="3"/>
        <v>22</v>
      </c>
      <c r="O81" s="20" t="s">
        <v>27</v>
      </c>
      <c r="P81" s="20" t="s">
        <v>23</v>
      </c>
      <c r="R81" t="s">
        <v>177</v>
      </c>
      <c r="S81" t="b">
        <v>1</v>
      </c>
      <c r="T81" t="s">
        <v>88</v>
      </c>
      <c r="U81">
        <v>4</v>
      </c>
      <c r="AB81" t="s">
        <v>164</v>
      </c>
    </row>
    <row r="82" spans="1:28" ht="16.05" customHeight="1" x14ac:dyDescent="0.3">
      <c r="A82" s="19" t="s">
        <v>117</v>
      </c>
      <c r="B82" s="20" t="s">
        <v>87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75</v>
      </c>
      <c r="K82" s="20" t="s">
        <v>11</v>
      </c>
      <c r="L82" s="20" t="b">
        <v>0</v>
      </c>
      <c r="M82" s="20"/>
      <c r="N82" s="20">
        <f t="shared" si="3"/>
        <v>22</v>
      </c>
      <c r="O82" s="20" t="s">
        <v>28</v>
      </c>
      <c r="P82" s="20" t="s">
        <v>29</v>
      </c>
      <c r="R82" t="s">
        <v>177</v>
      </c>
      <c r="S82" t="b">
        <v>1</v>
      </c>
      <c r="T82" t="s">
        <v>88</v>
      </c>
      <c r="U82">
        <v>4</v>
      </c>
      <c r="AB82" t="str">
        <f t="shared" si="2"/>
        <v>Lift Pumps - Maximum</v>
      </c>
    </row>
    <row r="83" spans="1:28" ht="16.05" customHeight="1" x14ac:dyDescent="0.3">
      <c r="A83" s="19" t="s">
        <v>118</v>
      </c>
      <c r="B83" s="20" t="s">
        <v>87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75</v>
      </c>
      <c r="K83" s="20" t="s">
        <v>11</v>
      </c>
      <c r="L83" s="20" t="b">
        <v>0</v>
      </c>
      <c r="M83" s="20"/>
      <c r="N83" s="20">
        <f t="shared" si="3"/>
        <v>22</v>
      </c>
      <c r="O83" s="20" t="s">
        <v>27</v>
      </c>
      <c r="P83" s="20" t="s">
        <v>31</v>
      </c>
      <c r="R83" t="s">
        <v>177</v>
      </c>
      <c r="S83" t="b">
        <v>1</v>
      </c>
      <c r="T83" t="s">
        <v>88</v>
      </c>
      <c r="U83">
        <v>4</v>
      </c>
      <c r="AB83" t="str">
        <f t="shared" si="2"/>
        <v>Lift Pumps - Maximum</v>
      </c>
    </row>
    <row r="84" spans="1:28" ht="16.05" customHeight="1" x14ac:dyDescent="0.3">
      <c r="A84" s="19" t="s">
        <v>119</v>
      </c>
      <c r="B84" s="20" t="s">
        <v>87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75</v>
      </c>
      <c r="K84" s="20" t="s">
        <v>11</v>
      </c>
      <c r="L84" s="20" t="b">
        <v>0</v>
      </c>
      <c r="M84" s="20"/>
      <c r="N84" s="20">
        <f t="shared" si="3"/>
        <v>22</v>
      </c>
      <c r="O84" s="20" t="s">
        <v>27</v>
      </c>
      <c r="P84" s="20" t="s">
        <v>27</v>
      </c>
      <c r="R84" t="s">
        <v>177</v>
      </c>
      <c r="S84" t="b">
        <v>1</v>
      </c>
      <c r="T84" t="s">
        <v>88</v>
      </c>
      <c r="U84">
        <v>4</v>
      </c>
      <c r="AB84" t="str">
        <f t="shared" si="2"/>
        <v>Lift Pumps - Maximum</v>
      </c>
    </row>
    <row r="85" spans="1:28" ht="16.05" customHeight="1" x14ac:dyDescent="0.3">
      <c r="A85" s="21" t="s">
        <v>120</v>
      </c>
      <c r="B85" s="22" t="s">
        <v>87</v>
      </c>
      <c r="C85" s="22" t="s">
        <v>26</v>
      </c>
      <c r="D85" s="22" t="s">
        <v>9</v>
      </c>
      <c r="E85" s="21" t="s">
        <v>57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75</v>
      </c>
      <c r="K85" s="22" t="s">
        <v>11</v>
      </c>
      <c r="L85" s="22" t="b">
        <v>0</v>
      </c>
      <c r="M85" s="22"/>
      <c r="N85" s="22">
        <f t="shared" si="3"/>
        <v>23</v>
      </c>
      <c r="O85" s="22" t="s">
        <v>22</v>
      </c>
      <c r="P85" s="22" t="s">
        <v>23</v>
      </c>
      <c r="R85" t="s">
        <v>178</v>
      </c>
      <c r="S85" t="b">
        <v>1</v>
      </c>
      <c r="T85" t="s">
        <v>88</v>
      </c>
      <c r="U85">
        <v>4</v>
      </c>
      <c r="AB85" t="s">
        <v>165</v>
      </c>
    </row>
    <row r="86" spans="1:28" ht="16.05" customHeight="1" x14ac:dyDescent="0.3">
      <c r="A86" s="21" t="s">
        <v>121</v>
      </c>
      <c r="B86" s="22" t="s">
        <v>87</v>
      </c>
      <c r="C86" s="22" t="s">
        <v>26</v>
      </c>
      <c r="D86" s="22" t="s">
        <v>9</v>
      </c>
      <c r="E86" s="21" t="s">
        <v>58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75</v>
      </c>
      <c r="K86" s="22" t="s">
        <v>11</v>
      </c>
      <c r="L86" s="22" t="b">
        <v>0</v>
      </c>
      <c r="M86" s="22"/>
      <c r="N86" s="22">
        <f t="shared" si="3"/>
        <v>23</v>
      </c>
      <c r="O86" s="22" t="s">
        <v>22</v>
      </c>
      <c r="P86" s="22" t="s">
        <v>29</v>
      </c>
      <c r="R86" t="s">
        <v>178</v>
      </c>
      <c r="S86" t="b">
        <v>1</v>
      </c>
      <c r="T86" t="s">
        <v>88</v>
      </c>
      <c r="U86">
        <v>4</v>
      </c>
      <c r="AB86" t="str">
        <f t="shared" si="2"/>
        <v>CAN Utilization</v>
      </c>
    </row>
    <row r="87" spans="1:28" ht="16.05" customHeight="1" x14ac:dyDescent="0.3">
      <c r="A87" s="21" t="s">
        <v>122</v>
      </c>
      <c r="B87" s="22" t="s">
        <v>87</v>
      </c>
      <c r="C87" s="22" t="s">
        <v>26</v>
      </c>
      <c r="D87" s="22" t="s">
        <v>9</v>
      </c>
      <c r="E87" s="21" t="s">
        <v>59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75</v>
      </c>
      <c r="K87" s="22" t="s">
        <v>11</v>
      </c>
      <c r="L87" s="22" t="b">
        <v>0</v>
      </c>
      <c r="M87" s="22"/>
      <c r="N87" s="22">
        <f t="shared" si="3"/>
        <v>23</v>
      </c>
      <c r="O87" s="22" t="s">
        <v>54</v>
      </c>
      <c r="P87" s="22" t="s">
        <v>54</v>
      </c>
      <c r="R87" t="s">
        <v>178</v>
      </c>
      <c r="S87" t="b">
        <v>1</v>
      </c>
      <c r="T87" t="s">
        <v>88</v>
      </c>
      <c r="U87">
        <v>4</v>
      </c>
      <c r="AB87" t="str">
        <f t="shared" si="2"/>
        <v>CAN Utilization</v>
      </c>
    </row>
    <row r="88" spans="1:28" ht="16.05" customHeight="1" x14ac:dyDescent="0.3">
      <c r="A88" s="3" t="s">
        <v>123</v>
      </c>
      <c r="B88" s="23" t="s">
        <v>87</v>
      </c>
      <c r="C88" s="23" t="s">
        <v>26</v>
      </c>
      <c r="D88" s="23" t="s">
        <v>9</v>
      </c>
      <c r="E88" s="3" t="s">
        <v>56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75</v>
      </c>
      <c r="K88" s="23" t="s">
        <v>11</v>
      </c>
      <c r="L88" s="23" t="b">
        <v>0</v>
      </c>
      <c r="M88" s="23"/>
      <c r="N88" s="23">
        <f t="shared" si="3"/>
        <v>24</v>
      </c>
      <c r="O88" s="23" t="s">
        <v>29</v>
      </c>
      <c r="P88" s="23" t="s">
        <v>23</v>
      </c>
      <c r="R88" t="s">
        <v>178</v>
      </c>
      <c r="S88" t="b">
        <v>1</v>
      </c>
      <c r="T88" t="s">
        <v>88</v>
      </c>
      <c r="U88">
        <v>4</v>
      </c>
      <c r="AB88" t="s">
        <v>166</v>
      </c>
    </row>
    <row r="89" spans="1:28" ht="16.05" customHeight="1" x14ac:dyDescent="0.3">
      <c r="A89" s="3" t="s">
        <v>124</v>
      </c>
      <c r="B89" s="23" t="s">
        <v>87</v>
      </c>
      <c r="C89" s="23" t="s">
        <v>26</v>
      </c>
      <c r="D89" s="23" t="s">
        <v>9</v>
      </c>
      <c r="E89" s="3" t="s">
        <v>55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75</v>
      </c>
      <c r="K89" s="3" t="s">
        <v>11</v>
      </c>
      <c r="L89" s="3" t="b">
        <v>0</v>
      </c>
      <c r="M89" s="3"/>
      <c r="N89" s="3">
        <f t="shared" si="3"/>
        <v>24</v>
      </c>
      <c r="O89" s="3" t="s">
        <v>29</v>
      </c>
      <c r="P89" s="3" t="s">
        <v>29</v>
      </c>
      <c r="R89" t="s">
        <v>178</v>
      </c>
      <c r="S89" t="b">
        <v>1</v>
      </c>
      <c r="T89" t="s">
        <v>88</v>
      </c>
      <c r="U89">
        <v>4</v>
      </c>
      <c r="AB89" t="str">
        <f t="shared" si="2"/>
        <v>CPU Usage</v>
      </c>
    </row>
    <row r="90" spans="1:28" ht="16.05" customHeight="1" x14ac:dyDescent="0.3">
      <c r="A90" s="21" t="s">
        <v>125</v>
      </c>
      <c r="B90" s="22" t="s">
        <v>87</v>
      </c>
      <c r="C90" s="22" t="s">
        <v>26</v>
      </c>
      <c r="D90" s="22" t="s">
        <v>9</v>
      </c>
      <c r="E90" s="22" t="s">
        <v>60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75</v>
      </c>
      <c r="K90" s="22" t="s">
        <v>11</v>
      </c>
      <c r="L90" s="22" t="b">
        <v>0</v>
      </c>
      <c r="M90" s="22"/>
      <c r="N90" s="22">
        <f t="shared" si="3"/>
        <v>25</v>
      </c>
      <c r="O90" s="22" t="s">
        <v>22</v>
      </c>
      <c r="P90" s="22" t="s">
        <v>23</v>
      </c>
      <c r="R90" t="s">
        <v>179</v>
      </c>
      <c r="S90" t="b">
        <v>1</v>
      </c>
      <c r="T90" t="s">
        <v>88</v>
      </c>
      <c r="U90">
        <v>4</v>
      </c>
      <c r="AB90" t="s">
        <v>167</v>
      </c>
    </row>
    <row r="91" spans="1:28" ht="16.05" customHeight="1" x14ac:dyDescent="0.3">
      <c r="A91" s="21" t="s">
        <v>126</v>
      </c>
      <c r="B91" s="22" t="s">
        <v>87</v>
      </c>
      <c r="C91" s="22" t="s">
        <v>26</v>
      </c>
      <c r="D91" s="22" t="s">
        <v>9</v>
      </c>
      <c r="E91" s="22" t="s">
        <v>61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75</v>
      </c>
      <c r="K91" s="22" t="s">
        <v>11</v>
      </c>
      <c r="L91" s="22" t="b">
        <v>0</v>
      </c>
      <c r="M91" s="22"/>
      <c r="N91" s="22">
        <f t="shared" si="3"/>
        <v>25</v>
      </c>
      <c r="O91" s="22" t="s">
        <v>22</v>
      </c>
      <c r="P91" s="22" t="s">
        <v>29</v>
      </c>
      <c r="R91" t="s">
        <v>180</v>
      </c>
      <c r="S91" t="b">
        <v>1</v>
      </c>
      <c r="T91" t="s">
        <v>88</v>
      </c>
      <c r="U91">
        <v>4</v>
      </c>
      <c r="AB91" t="str">
        <f t="shared" si="2"/>
        <v>Driver Monitor</v>
      </c>
    </row>
    <row r="92" spans="1:28" ht="16.05" customHeight="1" x14ac:dyDescent="0.3">
      <c r="A92" s="21" t="s">
        <v>127</v>
      </c>
      <c r="B92" s="22" t="s">
        <v>87</v>
      </c>
      <c r="C92" s="22" t="s">
        <v>26</v>
      </c>
      <c r="D92" s="22" t="s">
        <v>9</v>
      </c>
      <c r="E92" s="22" t="s">
        <v>62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75</v>
      </c>
      <c r="K92" s="22" t="s">
        <v>11</v>
      </c>
      <c r="L92" s="22" t="b">
        <v>0</v>
      </c>
      <c r="M92" s="22"/>
      <c r="N92" s="22">
        <f t="shared" si="3"/>
        <v>25</v>
      </c>
      <c r="O92" s="22" t="s">
        <v>54</v>
      </c>
      <c r="P92" s="22" t="s">
        <v>54</v>
      </c>
      <c r="R92" t="s">
        <v>180</v>
      </c>
      <c r="S92" t="b">
        <v>1</v>
      </c>
      <c r="T92" t="s">
        <v>88</v>
      </c>
      <c r="U92">
        <v>4</v>
      </c>
      <c r="AB92" t="str">
        <f t="shared" si="2"/>
        <v>Driver Monitor</v>
      </c>
    </row>
    <row r="93" spans="1:28" ht="16.05" customHeight="1" x14ac:dyDescent="0.3">
      <c r="A93" s="3" t="s">
        <v>184</v>
      </c>
      <c r="B93" s="23" t="s">
        <v>87</v>
      </c>
      <c r="C93" s="23" t="s">
        <v>26</v>
      </c>
      <c r="D93" s="23" t="s">
        <v>9</v>
      </c>
      <c r="E93" s="3" t="s">
        <v>189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75</v>
      </c>
      <c r="K93" s="23" t="s">
        <v>11</v>
      </c>
      <c r="L93" s="23" t="b">
        <v>0</v>
      </c>
      <c r="M93" s="23"/>
      <c r="N93" s="23">
        <f t="shared" si="3"/>
        <v>26</v>
      </c>
      <c r="O93" s="23" t="s">
        <v>22</v>
      </c>
      <c r="P93" s="23" t="s">
        <v>23</v>
      </c>
      <c r="R93" t="s">
        <v>145</v>
      </c>
      <c r="S93" t="b">
        <v>1</v>
      </c>
      <c r="T93" t="s">
        <v>88</v>
      </c>
      <c r="U93">
        <v>4</v>
      </c>
      <c r="AB93" t="s">
        <v>158</v>
      </c>
    </row>
    <row r="94" spans="1:28" ht="16.05" customHeight="1" x14ac:dyDescent="0.3">
      <c r="A94" s="3" t="s">
        <v>128</v>
      </c>
      <c r="B94" s="23" t="s">
        <v>87</v>
      </c>
      <c r="C94" s="23" t="s">
        <v>26</v>
      </c>
      <c r="D94" s="23" t="s">
        <v>9</v>
      </c>
      <c r="E94" s="3" t="s">
        <v>64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75</v>
      </c>
      <c r="K94" s="23" t="s">
        <v>11</v>
      </c>
      <c r="L94" s="23" t="b">
        <v>0</v>
      </c>
      <c r="M94" s="23"/>
      <c r="N94" s="23">
        <f t="shared" si="3"/>
        <v>26</v>
      </c>
      <c r="O94" s="23" t="s">
        <v>22</v>
      </c>
      <c r="P94" s="23" t="s">
        <v>29</v>
      </c>
      <c r="R94" t="s">
        <v>145</v>
      </c>
      <c r="S94" t="b">
        <v>1</v>
      </c>
      <c r="T94" t="s">
        <v>88</v>
      </c>
      <c r="U94">
        <v>4</v>
      </c>
      <c r="AB94" t="str">
        <f t="shared" si="2"/>
        <v>Inlet</v>
      </c>
    </row>
    <row r="95" spans="1:28" ht="16.05" customHeight="1" x14ac:dyDescent="0.3">
      <c r="A95" s="3" t="s">
        <v>182</v>
      </c>
      <c r="B95" s="23" t="s">
        <v>87</v>
      </c>
      <c r="C95" s="23" t="s">
        <v>26</v>
      </c>
      <c r="D95" s="3" t="s">
        <v>9</v>
      </c>
      <c r="E95" s="3" t="s">
        <v>63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75</v>
      </c>
      <c r="K95" s="23" t="s">
        <v>11</v>
      </c>
      <c r="L95" s="23" t="b">
        <v>0</v>
      </c>
      <c r="M95" s="23"/>
      <c r="N95" s="23">
        <f t="shared" si="3"/>
        <v>26</v>
      </c>
      <c r="O95" s="23" t="s">
        <v>22</v>
      </c>
      <c r="P95" s="23" t="s">
        <v>54</v>
      </c>
      <c r="R95" t="s">
        <v>178</v>
      </c>
      <c r="S95" t="b">
        <v>1</v>
      </c>
      <c r="T95" t="s">
        <v>88</v>
      </c>
      <c r="U95">
        <v>4</v>
      </c>
      <c r="AB95" t="str">
        <f t="shared" si="2"/>
        <v>Inlet</v>
      </c>
    </row>
    <row r="96" spans="1:28" ht="16.05" customHeight="1" x14ac:dyDescent="0.3">
      <c r="A96" s="24" t="s">
        <v>65</v>
      </c>
      <c r="B96" s="24" t="s">
        <v>6</v>
      </c>
      <c r="C96" s="24" t="s">
        <v>7</v>
      </c>
      <c r="D96" s="24" t="s">
        <v>9</v>
      </c>
      <c r="E96" s="24" t="s">
        <v>66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75</v>
      </c>
      <c r="K96" s="24" t="s">
        <v>67</v>
      </c>
      <c r="L96" s="24" t="b">
        <v>0</v>
      </c>
      <c r="M96" s="5" t="s">
        <v>76</v>
      </c>
      <c r="N96" s="5">
        <f t="shared" si="3"/>
        <v>26</v>
      </c>
      <c r="O96" s="5" t="s">
        <v>68</v>
      </c>
      <c r="P96" s="5" t="s">
        <v>68</v>
      </c>
      <c r="R96" t="s">
        <v>183</v>
      </c>
      <c r="AB96" t="s">
        <v>65</v>
      </c>
    </row>
    <row r="97" spans="1:28" ht="16.05" customHeight="1" x14ac:dyDescent="0.3">
      <c r="A97" s="24" t="s">
        <v>71</v>
      </c>
      <c r="B97" s="24" t="s">
        <v>6</v>
      </c>
      <c r="C97" s="24" t="s">
        <v>7</v>
      </c>
      <c r="D97" s="24" t="s">
        <v>9</v>
      </c>
      <c r="E97" s="24" t="s">
        <v>72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75</v>
      </c>
      <c r="K97" s="24" t="s">
        <v>67</v>
      </c>
      <c r="L97" s="24" t="b">
        <v>0</v>
      </c>
      <c r="M97" s="5"/>
      <c r="N97" s="5">
        <f t="shared" si="3"/>
        <v>27</v>
      </c>
      <c r="O97" s="5" t="s">
        <v>23</v>
      </c>
      <c r="P97" s="5" t="s">
        <v>23</v>
      </c>
      <c r="R97" t="s">
        <v>183</v>
      </c>
      <c r="AB97" t="str">
        <f>A97</f>
        <v>Falling Max Speed - GPS Speed</v>
      </c>
    </row>
    <row r="98" spans="1:28" ht="16.05" customHeight="1" x14ac:dyDescent="0.3">
      <c r="A98" s="24" t="s">
        <v>73</v>
      </c>
      <c r="B98" s="24" t="s">
        <v>74</v>
      </c>
      <c r="C98" s="24" t="s">
        <v>7</v>
      </c>
      <c r="D98" s="24" t="s">
        <v>9</v>
      </c>
      <c r="E98" s="24" t="s">
        <v>66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75</v>
      </c>
      <c r="K98" s="24" t="s">
        <v>11</v>
      </c>
      <c r="L98" s="24" t="b">
        <v>0</v>
      </c>
      <c r="M98" s="5"/>
      <c r="N98" s="5">
        <f t="shared" si="3"/>
        <v>28</v>
      </c>
      <c r="O98" s="5" t="s">
        <v>23</v>
      </c>
      <c r="P98" s="5" t="s">
        <v>23</v>
      </c>
      <c r="R98" t="s">
        <v>183</v>
      </c>
      <c r="S98" t="b">
        <v>1</v>
      </c>
      <c r="T98" t="s">
        <v>88</v>
      </c>
      <c r="U98">
        <v>2</v>
      </c>
      <c r="AB98" t="str">
        <f t="shared" ref="AB98:AB103" si="4">A98</f>
        <v>Falling Max Speed - Boxed</v>
      </c>
    </row>
    <row r="99" spans="1:28" ht="16.05" customHeight="1" x14ac:dyDescent="0.3">
      <c r="A99" s="24" t="s">
        <v>137</v>
      </c>
      <c r="B99" s="24" t="s">
        <v>87</v>
      </c>
      <c r="C99" s="24" t="s">
        <v>7</v>
      </c>
      <c r="D99" s="24" t="s">
        <v>9</v>
      </c>
      <c r="E99" s="24" t="s">
        <v>66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138</v>
      </c>
      <c r="K99" s="24" t="s">
        <v>11</v>
      </c>
      <c r="L99" s="24" t="b">
        <v>0</v>
      </c>
      <c r="M99" s="5"/>
      <c r="N99" s="5">
        <f t="shared" si="3"/>
        <v>29</v>
      </c>
      <c r="O99" s="5" t="s">
        <v>23</v>
      </c>
      <c r="P99" s="5" t="s">
        <v>23</v>
      </c>
      <c r="R99" t="s">
        <v>183</v>
      </c>
      <c r="AB99" t="str">
        <f t="shared" si="4"/>
        <v>Falling Max Speed - Session</v>
      </c>
    </row>
    <row r="100" spans="1:28" ht="16.05" customHeight="1" x14ac:dyDescent="0.3">
      <c r="A100" s="25" t="s">
        <v>69</v>
      </c>
      <c r="B100" s="25" t="s">
        <v>132</v>
      </c>
      <c r="C100" s="25" t="s">
        <v>11</v>
      </c>
      <c r="D100" s="25" t="s">
        <v>70</v>
      </c>
      <c r="E100" s="25" t="s">
        <v>66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75</v>
      </c>
      <c r="K100" s="25" t="s">
        <v>11</v>
      </c>
      <c r="L100" s="25" t="b">
        <v>0</v>
      </c>
      <c r="M100" s="21" t="s">
        <v>76</v>
      </c>
      <c r="N100" s="21">
        <f t="shared" si="3"/>
        <v>30</v>
      </c>
      <c r="O100" s="21" t="s">
        <v>129</v>
      </c>
      <c r="P100" s="21" t="s">
        <v>68</v>
      </c>
      <c r="W100" t="s">
        <v>131</v>
      </c>
      <c r="X100" t="s">
        <v>133</v>
      </c>
      <c r="Y100" t="s">
        <v>152</v>
      </c>
      <c r="AB100" t="s">
        <v>168</v>
      </c>
    </row>
    <row r="101" spans="1:28" ht="16.05" customHeight="1" x14ac:dyDescent="0.3">
      <c r="A101" s="25" t="s">
        <v>77</v>
      </c>
      <c r="B101" s="25" t="s">
        <v>132</v>
      </c>
      <c r="C101" s="25" t="s">
        <v>11</v>
      </c>
      <c r="D101" s="25" t="s">
        <v>70</v>
      </c>
      <c r="E101" s="25" t="s">
        <v>79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75</v>
      </c>
      <c r="K101" s="25" t="s">
        <v>11</v>
      </c>
      <c r="L101" s="25" t="b">
        <v>0</v>
      </c>
      <c r="M101" s="21" t="s">
        <v>76</v>
      </c>
      <c r="N101" s="21">
        <f t="shared" si="3"/>
        <v>30</v>
      </c>
      <c r="O101" s="21" t="s">
        <v>129</v>
      </c>
      <c r="P101" s="21" t="s">
        <v>31</v>
      </c>
      <c r="W101" t="s">
        <v>131</v>
      </c>
      <c r="X101" t="s">
        <v>133</v>
      </c>
      <c r="Y101" t="s">
        <v>152</v>
      </c>
      <c r="AB101" t="s">
        <v>168</v>
      </c>
    </row>
    <row r="102" spans="1:28" ht="16.05" customHeight="1" x14ac:dyDescent="0.3">
      <c r="A102" s="25" t="s">
        <v>78</v>
      </c>
      <c r="B102" s="25" t="s">
        <v>132</v>
      </c>
      <c r="C102" s="25" t="s">
        <v>11</v>
      </c>
      <c r="D102" s="25" t="s">
        <v>70</v>
      </c>
      <c r="E102" s="25" t="s">
        <v>80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75</v>
      </c>
      <c r="K102" s="25" t="s">
        <v>11</v>
      </c>
      <c r="L102" s="25" t="b">
        <v>0</v>
      </c>
      <c r="M102" s="21" t="s">
        <v>76</v>
      </c>
      <c r="N102" s="21">
        <f t="shared" si="3"/>
        <v>30</v>
      </c>
      <c r="O102" s="21" t="s">
        <v>129</v>
      </c>
      <c r="P102" s="21" t="s">
        <v>81</v>
      </c>
      <c r="W102" t="s">
        <v>131</v>
      </c>
      <c r="X102" t="s">
        <v>133</v>
      </c>
      <c r="Y102" t="s">
        <v>152</v>
      </c>
      <c r="AB102" t="s">
        <v>168</v>
      </c>
    </row>
    <row r="103" spans="1:28" ht="16.05" customHeight="1" x14ac:dyDescent="0.3">
      <c r="A103" s="25" t="s">
        <v>134</v>
      </c>
      <c r="B103" s="25" t="s">
        <v>132</v>
      </c>
      <c r="C103" s="25" t="s">
        <v>11</v>
      </c>
      <c r="D103" s="25" t="s">
        <v>130</v>
      </c>
      <c r="E103" s="25" t="s">
        <v>131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75</v>
      </c>
      <c r="K103" s="25" t="s">
        <v>11</v>
      </c>
      <c r="L103" s="25" t="b">
        <v>0</v>
      </c>
      <c r="M103" s="21" t="s">
        <v>76</v>
      </c>
      <c r="N103" s="21">
        <f t="shared" si="3"/>
        <v>30</v>
      </c>
      <c r="O103" s="21" t="s">
        <v>129</v>
      </c>
      <c r="P103" s="21" t="s">
        <v>129</v>
      </c>
      <c r="W103" t="s">
        <v>131</v>
      </c>
      <c r="X103" t="s">
        <v>133</v>
      </c>
      <c r="Y103" t="s">
        <v>152</v>
      </c>
      <c r="AB10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2026-03-30T07:05:46Z</dcterms:modified>
</cp:coreProperties>
</file>