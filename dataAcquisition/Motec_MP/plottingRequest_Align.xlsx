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"/>
    </mc:Choice>
  </mc:AlternateContent>
  <xr:revisionPtr revIDLastSave="0" documentId="13_ncr:1_{EFEBF129-648D-42DB-9CA6-94998F14EA14}" xr6:coauthVersionLast="47" xr6:coauthVersionMax="47" xr10:uidLastSave="{00000000-0000-0000-0000-000000000000}"/>
  <bookViews>
    <workbookView xWindow="28680" yWindow="1935" windowWidth="29040" windowHeight="15720" xr2:uid="{98CBB8D2-373D-4831-8E1A-176399598E12}"/>
  </bookViews>
  <sheets>
    <sheet name="plo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N15" i="1" s="1"/>
  <c r="N16" i="1" s="1"/>
  <c r="N17" i="1" s="1"/>
  <c r="N11" i="1"/>
  <c r="N12" i="1" s="1"/>
  <c r="N13" i="1" s="1"/>
  <c r="N10" i="1"/>
  <c r="N6" i="1"/>
  <c r="N7" i="1" s="1"/>
  <c r="N8" i="1" s="1"/>
  <c r="N9" i="1" s="1"/>
  <c r="N3" i="1" l="1"/>
  <c r="N4" i="1" s="1"/>
  <c r="N5" i="1" s="1"/>
</calcChain>
</file>

<file path=xl/sharedStrings.xml><?xml version="1.0" encoding="utf-8"?>
<sst xmlns="http://schemas.openxmlformats.org/spreadsheetml/2006/main" count="260" uniqueCount="69">
  <si>
    <t>mathFunction</t>
  </si>
  <si>
    <t>xAxis</t>
  </si>
  <si>
    <t>yAxis1</t>
  </si>
  <si>
    <t>yAxis2</t>
  </si>
  <si>
    <t>yAxis3</t>
  </si>
  <si>
    <t>yAxis4</t>
  </si>
  <si>
    <t>max</t>
  </si>
  <si>
    <t>plotName</t>
  </si>
  <si>
    <t>differentiator</t>
  </si>
  <si>
    <t>none</t>
  </si>
  <si>
    <t>plotType</t>
  </si>
  <si>
    <t>colours</t>
  </si>
  <si>
    <t>useSecondary</t>
  </si>
  <si>
    <t>plotFilter</t>
  </si>
  <si>
    <t>zAxis</t>
  </si>
  <si>
    <t>figure</t>
  </si>
  <si>
    <t>plotOrganization</t>
  </si>
  <si>
    <t>plotPos</t>
  </si>
  <si>
    <t>[2, 2]</t>
  </si>
  <si>
    <t>[1, 2]</t>
  </si>
  <si>
    <t>[2, 1]</t>
  </si>
  <si>
    <t>Ground Speed</t>
  </si>
  <si>
    <t>[1,1]</t>
  </si>
  <si>
    <t>Fastest Lap Trace</t>
  </si>
  <si>
    <t>Lap Distance</t>
  </si>
  <si>
    <t>manufacturer</t>
  </si>
  <si>
    <t>mfr=Ford,n=1;mfr=Toyota, n=1; mfr=Chevrolet, n=1</t>
  </si>
  <si>
    <t>Fastest Lap Throttle Trace</t>
  </si>
  <si>
    <t>Fastest Lap Brake Trace</t>
  </si>
  <si>
    <t>Throttle Pedal</t>
  </si>
  <si>
    <t>Brake Pressure Front</t>
  </si>
  <si>
    <t>[3, 1]</t>
  </si>
  <si>
    <t>outlierThreshold</t>
  </si>
  <si>
    <t>outliers</t>
  </si>
  <si>
    <t>xLim</t>
  </si>
  <si>
    <t>yLim</t>
  </si>
  <si>
    <t>outlierMethod</t>
  </si>
  <si>
    <t>[4, 1]</t>
  </si>
  <si>
    <t>LapDistance</t>
  </si>
  <si>
    <t>C1_Damper Pos FL</t>
  </si>
  <si>
    <t>timeseries_align</t>
  </si>
  <si>
    <t>[244, 440]</t>
  </si>
  <si>
    <t>Fastest Lap Damper</t>
  </si>
  <si>
    <t>notes</t>
  </si>
  <si>
    <t xml:space="preserve">No x axis - specific error Warning: timeseries_align: no valid data found. </t>
  </si>
  <si>
    <t>alignWindow</t>
  </si>
  <si>
    <t>alignChannel</t>
  </si>
  <si>
    <t>alignMethod</t>
  </si>
  <si>
    <t>alightMaxOffset</t>
  </si>
  <si>
    <t>peaks</t>
  </si>
  <si>
    <t>FL Damper PSD - Full Lap</t>
  </si>
  <si>
    <t>psd</t>
  </si>
  <si>
    <t xml:space="preserve">C1_Damper Pos FL </t>
  </si>
  <si>
    <t>FR Damper PSD - Full Lap</t>
  </si>
  <si>
    <t>RL Damper PSD - Full Lap</t>
  </si>
  <si>
    <t>RR Damper PSD - Full Lap</t>
  </si>
  <si>
    <t>C1_Damper Pos FR</t>
  </si>
  <si>
    <t>C1_Damper Pos RL</t>
  </si>
  <si>
    <t>C1_Damper Pos RR</t>
  </si>
  <si>
    <t>driver</t>
  </si>
  <si>
    <t>Lap Time</t>
  </si>
  <si>
    <t>psd_scatter</t>
  </si>
  <si>
    <t>Gate_LowSpeed</t>
  </si>
  <si>
    <t>Shift Point</t>
  </si>
  <si>
    <t>Average Brake Balance</t>
  </si>
  <si>
    <t>Brake Efficiency - Manufacture</t>
  </si>
  <si>
    <t>Slip Analysis VCH</t>
  </si>
  <si>
    <t>Yaw Analysis VCH</t>
  </si>
  <si>
    <t>Throttle Agression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</si>
</sst>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/>
    <xf numFmtId="0" fontId="0" fillId="4" borderId="0" xfId="0" applyFill="1" applyAlignment="1">
      <alignment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Z23"/>
  <sheetViews>
    <sheetView tabSelected="1" topLeftCell="D1" zoomScale="85" zoomScaleNormal="85" workbookViewId="0">
      <pane ySplit="1" topLeftCell="A2" activePane="bottomLeft" state="frozen"/>
      <selection activeCell="F1" sqref="F1"/>
      <selection pane="bottomLeft" activeCell="O28" sqref="O28"/>
    </sheetView>
  </sheetViews>
  <sheetFormatPr defaultRowHeight="14.4" x14ac:dyDescent="0.3"/>
  <cols>
    <col min="1" max="1" width="33.21875" customWidth="1"/>
    <col min="2" max="2" width="15" bestFit="1" customWidth="1"/>
    <col min="3" max="3" width="13.109375" bestFit="1" customWidth="1"/>
    <col min="4" max="4" width="17.77734375" bestFit="1" customWidth="1"/>
    <col min="5" max="5" width="28.77734375" bestFit="1" customWidth="1"/>
    <col min="6" max="6" width="16.109375" bestFit="1" customWidth="1"/>
    <col min="7" max="8" width="6.33203125" bestFit="1" customWidth="1"/>
    <col min="9" max="9" width="16.77734375" customWidth="1"/>
    <col min="10" max="10" width="12.109375" bestFit="1" customWidth="1"/>
    <col min="11" max="11" width="12.21875" bestFit="1" customWidth="1"/>
    <col min="12" max="12" width="12.77734375" bestFit="1" customWidth="1"/>
    <col min="13" max="13" width="42.5546875" bestFit="1" customWidth="1"/>
    <col min="14" max="14" width="5.77734375" bestFit="1" customWidth="1"/>
    <col min="15" max="15" width="15" bestFit="1" customWidth="1"/>
    <col min="16" max="16" width="7.33203125" bestFit="1" customWidth="1"/>
    <col min="17" max="20" width="8.88671875" customWidth="1"/>
    <col min="21" max="22" width="15.6640625" customWidth="1"/>
    <col min="25" max="25" width="14.33203125" bestFit="1" customWidth="1"/>
  </cols>
  <sheetData>
    <row r="1" spans="1:26" x14ac:dyDescent="0.3">
      <c r="A1" s="1" t="s">
        <v>7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14</v>
      </c>
      <c r="J1" s="1" t="s">
        <v>11</v>
      </c>
      <c r="K1" s="1" t="s">
        <v>8</v>
      </c>
      <c r="L1" s="1" t="s">
        <v>12</v>
      </c>
      <c r="M1" s="1" t="s">
        <v>13</v>
      </c>
      <c r="N1" s="2" t="s">
        <v>15</v>
      </c>
      <c r="O1" s="2" t="s">
        <v>16</v>
      </c>
      <c r="P1" s="2" t="s">
        <v>17</v>
      </c>
      <c r="Q1" s="2" t="s">
        <v>34</v>
      </c>
      <c r="R1" s="2" t="s">
        <v>35</v>
      </c>
      <c r="S1" s="2" t="s">
        <v>33</v>
      </c>
      <c r="T1" s="2" t="s">
        <v>36</v>
      </c>
      <c r="U1" s="2" t="s">
        <v>32</v>
      </c>
      <c r="V1" s="2" t="s">
        <v>46</v>
      </c>
      <c r="W1" s="2" t="s">
        <v>45</v>
      </c>
      <c r="X1" s="2" t="s">
        <v>47</v>
      </c>
      <c r="Y1" s="2" t="s">
        <v>48</v>
      </c>
      <c r="Z1" s="2" t="s">
        <v>43</v>
      </c>
    </row>
    <row r="2" spans="1:26" ht="16.05" customHeight="1" x14ac:dyDescent="0.3">
      <c r="A2" s="4" t="s">
        <v>23</v>
      </c>
      <c r="B2" s="4" t="s">
        <v>40</v>
      </c>
      <c r="C2" s="4" t="s">
        <v>9</v>
      </c>
      <c r="D2" s="4" t="s">
        <v>24</v>
      </c>
      <c r="E2" s="4" t="s">
        <v>21</v>
      </c>
      <c r="F2" s="4" t="s">
        <v>9</v>
      </c>
      <c r="G2" s="4" t="s">
        <v>9</v>
      </c>
      <c r="H2" s="4" t="s">
        <v>9</v>
      </c>
      <c r="I2" s="4" t="s">
        <v>9</v>
      </c>
      <c r="J2" s="4" t="s">
        <v>25</v>
      </c>
      <c r="K2" s="4" t="s">
        <v>9</v>
      </c>
      <c r="L2" s="4" t="b">
        <v>0</v>
      </c>
      <c r="M2" s="3" t="s">
        <v>26</v>
      </c>
      <c r="N2" s="3">
        <v>1</v>
      </c>
      <c r="O2" s="3" t="s">
        <v>37</v>
      </c>
      <c r="P2" s="3" t="s">
        <v>22</v>
      </c>
      <c r="V2" t="s">
        <v>39</v>
      </c>
      <c r="W2" t="s">
        <v>41</v>
      </c>
      <c r="X2" t="s">
        <v>49</v>
      </c>
      <c r="Z2" t="s">
        <v>44</v>
      </c>
    </row>
    <row r="3" spans="1:26" ht="16.05" customHeight="1" x14ac:dyDescent="0.3">
      <c r="A3" s="4" t="s">
        <v>27</v>
      </c>
      <c r="B3" s="4" t="s">
        <v>40</v>
      </c>
      <c r="C3" s="4" t="s">
        <v>9</v>
      </c>
      <c r="D3" s="4" t="s">
        <v>24</v>
      </c>
      <c r="E3" s="4" t="s">
        <v>29</v>
      </c>
      <c r="F3" s="4" t="s">
        <v>9</v>
      </c>
      <c r="G3" s="4" t="s">
        <v>9</v>
      </c>
      <c r="H3" s="4" t="s">
        <v>9</v>
      </c>
      <c r="I3" s="4" t="s">
        <v>9</v>
      </c>
      <c r="J3" s="4" t="s">
        <v>25</v>
      </c>
      <c r="K3" s="4" t="s">
        <v>9</v>
      </c>
      <c r="L3" s="4" t="b">
        <v>0</v>
      </c>
      <c r="M3" s="3" t="s">
        <v>26</v>
      </c>
      <c r="N3" s="3">
        <f t="shared" ref="N3:N9" si="0">IF(TRIM(P2)=TRIM(O2), N2+1, N2)</f>
        <v>1</v>
      </c>
      <c r="O3" s="3" t="s">
        <v>37</v>
      </c>
      <c r="P3" s="3" t="s">
        <v>20</v>
      </c>
      <c r="V3" t="s">
        <v>39</v>
      </c>
      <c r="W3" t="s">
        <v>41</v>
      </c>
      <c r="X3" t="s">
        <v>49</v>
      </c>
      <c r="Z3" t="s">
        <v>44</v>
      </c>
    </row>
    <row r="4" spans="1:26" ht="16.05" customHeight="1" x14ac:dyDescent="0.3">
      <c r="A4" s="4" t="s">
        <v>28</v>
      </c>
      <c r="B4" s="4" t="s">
        <v>40</v>
      </c>
      <c r="C4" s="4" t="s">
        <v>9</v>
      </c>
      <c r="D4" s="4" t="s">
        <v>24</v>
      </c>
      <c r="E4" s="4" t="s">
        <v>30</v>
      </c>
      <c r="F4" s="4" t="s">
        <v>9</v>
      </c>
      <c r="G4" s="4" t="s">
        <v>9</v>
      </c>
      <c r="H4" s="4" t="s">
        <v>9</v>
      </c>
      <c r="I4" s="4" t="s">
        <v>9</v>
      </c>
      <c r="J4" s="4" t="s">
        <v>25</v>
      </c>
      <c r="K4" s="4" t="s">
        <v>9</v>
      </c>
      <c r="L4" s="4" t="b">
        <v>0</v>
      </c>
      <c r="M4" s="3" t="s">
        <v>26</v>
      </c>
      <c r="N4" s="3">
        <f t="shared" si="0"/>
        <v>1</v>
      </c>
      <c r="O4" s="3" t="s">
        <v>37</v>
      </c>
      <c r="P4" s="3" t="s">
        <v>31</v>
      </c>
      <c r="V4" t="s">
        <v>39</v>
      </c>
      <c r="W4" t="s">
        <v>41</v>
      </c>
      <c r="X4" t="s">
        <v>49</v>
      </c>
      <c r="Z4" t="s">
        <v>44</v>
      </c>
    </row>
    <row r="5" spans="1:26" ht="16.05" customHeight="1" x14ac:dyDescent="0.3">
      <c r="A5" s="4" t="s">
        <v>42</v>
      </c>
      <c r="B5" s="4" t="s">
        <v>40</v>
      </c>
      <c r="C5" s="4" t="s">
        <v>9</v>
      </c>
      <c r="D5" s="4" t="s">
        <v>38</v>
      </c>
      <c r="E5" s="4" t="s">
        <v>39</v>
      </c>
      <c r="F5" s="4" t="s">
        <v>9</v>
      </c>
      <c r="G5" s="4" t="s">
        <v>9</v>
      </c>
      <c r="H5" s="4" t="s">
        <v>9</v>
      </c>
      <c r="I5" s="4" t="s">
        <v>9</v>
      </c>
      <c r="J5" s="4" t="s">
        <v>25</v>
      </c>
      <c r="K5" s="4" t="s">
        <v>9</v>
      </c>
      <c r="L5" s="4" t="b">
        <v>0</v>
      </c>
      <c r="M5" s="3" t="s">
        <v>26</v>
      </c>
      <c r="N5" s="3">
        <f t="shared" si="0"/>
        <v>1</v>
      </c>
      <c r="O5" s="3" t="s">
        <v>37</v>
      </c>
      <c r="P5" s="3" t="s">
        <v>37</v>
      </c>
      <c r="V5" t="s">
        <v>39</v>
      </c>
      <c r="W5" t="s">
        <v>41</v>
      </c>
      <c r="X5" t="s">
        <v>49</v>
      </c>
      <c r="Z5" t="s">
        <v>44</v>
      </c>
    </row>
    <row r="6" spans="1:26" x14ac:dyDescent="0.3">
      <c r="A6" s="7" t="s">
        <v>50</v>
      </c>
      <c r="B6" s="7" t="s">
        <v>51</v>
      </c>
      <c r="C6" s="7" t="s">
        <v>9</v>
      </c>
      <c r="D6" s="7" t="s">
        <v>24</v>
      </c>
      <c r="E6" s="7" t="s">
        <v>52</v>
      </c>
      <c r="F6" s="7" t="s">
        <v>9</v>
      </c>
      <c r="G6" s="7" t="s">
        <v>9</v>
      </c>
      <c r="H6" s="7" t="s">
        <v>9</v>
      </c>
      <c r="I6" s="7" t="s">
        <v>9</v>
      </c>
      <c r="J6" s="7" t="s">
        <v>59</v>
      </c>
      <c r="K6" s="7" t="s">
        <v>9</v>
      </c>
      <c r="L6" s="7" t="b">
        <v>0</v>
      </c>
      <c r="M6" s="8"/>
      <c r="N6" s="8">
        <f>IF(TRIM(P5)=TRIM(O5), N5+1, N5)</f>
        <v>2</v>
      </c>
      <c r="O6" s="8" t="s">
        <v>18</v>
      </c>
      <c r="P6" s="8" t="s">
        <v>22</v>
      </c>
    </row>
    <row r="7" spans="1:26" x14ac:dyDescent="0.3">
      <c r="A7" s="7" t="s">
        <v>53</v>
      </c>
      <c r="B7" s="7" t="s">
        <v>51</v>
      </c>
      <c r="C7" s="7" t="s">
        <v>9</v>
      </c>
      <c r="D7" s="7" t="s">
        <v>24</v>
      </c>
      <c r="E7" s="7" t="s">
        <v>56</v>
      </c>
      <c r="F7" s="7" t="s">
        <v>9</v>
      </c>
      <c r="G7" s="7" t="s">
        <v>9</v>
      </c>
      <c r="H7" s="7" t="s">
        <v>9</v>
      </c>
      <c r="I7" s="7" t="s">
        <v>9</v>
      </c>
      <c r="J7" s="7" t="s">
        <v>59</v>
      </c>
      <c r="K7" s="7" t="s">
        <v>9</v>
      </c>
      <c r="L7" s="7" t="b">
        <v>0</v>
      </c>
      <c r="M7" s="8"/>
      <c r="N7" s="8">
        <f t="shared" si="0"/>
        <v>2</v>
      </c>
      <c r="O7" s="8" t="s">
        <v>18</v>
      </c>
      <c r="P7" s="8" t="s">
        <v>19</v>
      </c>
    </row>
    <row r="8" spans="1:26" x14ac:dyDescent="0.3">
      <c r="A8" s="7" t="s">
        <v>54</v>
      </c>
      <c r="B8" s="7" t="s">
        <v>51</v>
      </c>
      <c r="C8" s="7" t="s">
        <v>9</v>
      </c>
      <c r="D8" s="7" t="s">
        <v>24</v>
      </c>
      <c r="E8" s="7" t="s">
        <v>57</v>
      </c>
      <c r="F8" s="7" t="s">
        <v>9</v>
      </c>
      <c r="G8" s="7" t="s">
        <v>9</v>
      </c>
      <c r="H8" s="7" t="s">
        <v>9</v>
      </c>
      <c r="I8" s="7" t="s">
        <v>9</v>
      </c>
      <c r="J8" s="7" t="s">
        <v>59</v>
      </c>
      <c r="K8" s="7" t="s">
        <v>9</v>
      </c>
      <c r="L8" s="7" t="b">
        <v>0</v>
      </c>
      <c r="M8" s="8"/>
      <c r="N8" s="8">
        <f t="shared" si="0"/>
        <v>2</v>
      </c>
      <c r="O8" s="8" t="s">
        <v>18</v>
      </c>
      <c r="P8" s="8" t="s">
        <v>20</v>
      </c>
    </row>
    <row r="9" spans="1:26" x14ac:dyDescent="0.3">
      <c r="A9" s="7" t="s">
        <v>55</v>
      </c>
      <c r="B9" s="7" t="s">
        <v>51</v>
      </c>
      <c r="C9" s="7" t="s">
        <v>9</v>
      </c>
      <c r="D9" s="7" t="s">
        <v>24</v>
      </c>
      <c r="E9" s="7" t="s">
        <v>58</v>
      </c>
      <c r="F9" s="7" t="s">
        <v>9</v>
      </c>
      <c r="G9" s="7" t="s">
        <v>9</v>
      </c>
      <c r="H9" s="7" t="s">
        <v>9</v>
      </c>
      <c r="I9" s="7" t="s">
        <v>9</v>
      </c>
      <c r="J9" s="7" t="s">
        <v>59</v>
      </c>
      <c r="K9" s="7" t="s">
        <v>9</v>
      </c>
      <c r="L9" s="7" t="b">
        <v>0</v>
      </c>
      <c r="M9" s="8"/>
      <c r="N9" s="8">
        <f t="shared" si="0"/>
        <v>2</v>
      </c>
      <c r="O9" s="8" t="s">
        <v>18</v>
      </c>
      <c r="P9" s="8" t="s">
        <v>18</v>
      </c>
    </row>
    <row r="10" spans="1:26" x14ac:dyDescent="0.3">
      <c r="A10" s="5" t="s">
        <v>50</v>
      </c>
      <c r="B10" s="5" t="s">
        <v>61</v>
      </c>
      <c r="C10" s="5" t="s">
        <v>6</v>
      </c>
      <c r="D10" s="5" t="s">
        <v>60</v>
      </c>
      <c r="E10" s="5" t="s">
        <v>52</v>
      </c>
      <c r="F10" s="5" t="s">
        <v>9</v>
      </c>
      <c r="G10" s="5" t="s">
        <v>9</v>
      </c>
      <c r="H10" s="5" t="s">
        <v>9</v>
      </c>
      <c r="I10" s="5" t="s">
        <v>9</v>
      </c>
      <c r="J10" s="5" t="s">
        <v>59</v>
      </c>
      <c r="K10" s="5" t="s">
        <v>9</v>
      </c>
      <c r="L10" s="5" t="b">
        <v>0</v>
      </c>
      <c r="M10" s="6"/>
      <c r="N10" s="6">
        <f>IF(TRIM(P9)=TRIM(O9), N9+1, N9)</f>
        <v>3</v>
      </c>
      <c r="O10" s="6" t="s">
        <v>18</v>
      </c>
      <c r="P10" s="6" t="s">
        <v>22</v>
      </c>
    </row>
    <row r="11" spans="1:26" x14ac:dyDescent="0.3">
      <c r="A11" s="5" t="s">
        <v>53</v>
      </c>
      <c r="B11" s="5" t="s">
        <v>61</v>
      </c>
      <c r="C11" s="5" t="s">
        <v>6</v>
      </c>
      <c r="D11" s="5" t="s">
        <v>60</v>
      </c>
      <c r="E11" s="5" t="s">
        <v>56</v>
      </c>
      <c r="F11" s="5" t="s">
        <v>9</v>
      </c>
      <c r="G11" s="5" t="s">
        <v>9</v>
      </c>
      <c r="H11" s="5" t="s">
        <v>9</v>
      </c>
      <c r="I11" s="5" t="s">
        <v>9</v>
      </c>
      <c r="J11" s="5" t="s">
        <v>59</v>
      </c>
      <c r="K11" s="5" t="s">
        <v>9</v>
      </c>
      <c r="L11" s="5" t="b">
        <v>0</v>
      </c>
      <c r="M11" s="6"/>
      <c r="N11" s="6">
        <f t="shared" ref="N11:N13" si="1">IF(TRIM(P10)=TRIM(O10), N10+1, N10)</f>
        <v>3</v>
      </c>
      <c r="O11" s="6" t="s">
        <v>18</v>
      </c>
      <c r="P11" s="6" t="s">
        <v>19</v>
      </c>
    </row>
    <row r="12" spans="1:26" x14ac:dyDescent="0.3">
      <c r="A12" s="5" t="s">
        <v>54</v>
      </c>
      <c r="B12" s="5" t="s">
        <v>61</v>
      </c>
      <c r="C12" s="5" t="s">
        <v>6</v>
      </c>
      <c r="D12" s="5" t="s">
        <v>60</v>
      </c>
      <c r="E12" s="5" t="s">
        <v>57</v>
      </c>
      <c r="F12" s="5" t="s">
        <v>9</v>
      </c>
      <c r="G12" s="5" t="s">
        <v>9</v>
      </c>
      <c r="H12" s="5" t="s">
        <v>9</v>
      </c>
      <c r="I12" s="5" t="s">
        <v>9</v>
      </c>
      <c r="J12" s="5" t="s">
        <v>59</v>
      </c>
      <c r="K12" s="5" t="s">
        <v>9</v>
      </c>
      <c r="L12" s="5" t="b">
        <v>0</v>
      </c>
      <c r="M12" s="6"/>
      <c r="N12" s="6">
        <f t="shared" si="1"/>
        <v>3</v>
      </c>
      <c r="O12" s="6" t="s">
        <v>18</v>
      </c>
      <c r="P12" s="6" t="s">
        <v>20</v>
      </c>
    </row>
    <row r="13" spans="1:26" x14ac:dyDescent="0.3">
      <c r="A13" s="5" t="s">
        <v>55</v>
      </c>
      <c r="B13" s="5" t="s">
        <v>61</v>
      </c>
      <c r="C13" s="5" t="s">
        <v>6</v>
      </c>
      <c r="D13" s="5" t="s">
        <v>60</v>
      </c>
      <c r="E13" s="5" t="s">
        <v>58</v>
      </c>
      <c r="F13" s="5" t="s">
        <v>9</v>
      </c>
      <c r="G13" s="5" t="s">
        <v>9</v>
      </c>
      <c r="H13" s="5" t="s">
        <v>9</v>
      </c>
      <c r="I13" s="5" t="s">
        <v>9</v>
      </c>
      <c r="J13" s="5" t="s">
        <v>59</v>
      </c>
      <c r="K13" s="5" t="s">
        <v>9</v>
      </c>
      <c r="L13" s="5" t="b">
        <v>0</v>
      </c>
      <c r="M13" s="6"/>
      <c r="N13" s="6">
        <f t="shared" si="1"/>
        <v>3</v>
      </c>
      <c r="O13" s="6" t="s">
        <v>18</v>
      </c>
      <c r="P13" s="6" t="s">
        <v>18</v>
      </c>
    </row>
    <row r="14" spans="1:26" ht="14.4" customHeight="1" x14ac:dyDescent="0.3">
      <c r="A14" s="7" t="s">
        <v>50</v>
      </c>
      <c r="B14" s="7" t="s">
        <v>51</v>
      </c>
      <c r="C14" s="7" t="s">
        <v>9</v>
      </c>
      <c r="D14" s="7" t="s">
        <v>24</v>
      </c>
      <c r="E14" s="7" t="s">
        <v>52</v>
      </c>
      <c r="F14" s="7" t="s">
        <v>9</v>
      </c>
      <c r="G14" s="7" t="s">
        <v>9</v>
      </c>
      <c r="H14" s="7" t="s">
        <v>9</v>
      </c>
      <c r="I14" s="7" t="s">
        <v>62</v>
      </c>
      <c r="J14" s="7" t="s">
        <v>59</v>
      </c>
      <c r="K14" s="7" t="s">
        <v>9</v>
      </c>
      <c r="L14" s="7" t="b">
        <v>0</v>
      </c>
      <c r="M14" s="8"/>
      <c r="N14" s="8">
        <f>IF(TRIM(P13)=TRIM(O13), N13+1, N13)</f>
        <v>4</v>
      </c>
      <c r="O14" s="8" t="s">
        <v>18</v>
      </c>
      <c r="P14" s="8" t="s">
        <v>22</v>
      </c>
    </row>
    <row r="15" spans="1:26" x14ac:dyDescent="0.3">
      <c r="A15" s="7" t="s">
        <v>53</v>
      </c>
      <c r="B15" s="7" t="s">
        <v>51</v>
      </c>
      <c r="C15" s="7" t="s">
        <v>9</v>
      </c>
      <c r="D15" s="7" t="s">
        <v>24</v>
      </c>
      <c r="E15" s="7" t="s">
        <v>56</v>
      </c>
      <c r="F15" s="7" t="s">
        <v>9</v>
      </c>
      <c r="G15" s="7" t="s">
        <v>9</v>
      </c>
      <c r="H15" s="7" t="s">
        <v>9</v>
      </c>
      <c r="I15" s="7" t="s">
        <v>62</v>
      </c>
      <c r="J15" s="7" t="s">
        <v>59</v>
      </c>
      <c r="K15" s="7" t="s">
        <v>9</v>
      </c>
      <c r="L15" s="7" t="b">
        <v>0</v>
      </c>
      <c r="M15" s="8"/>
      <c r="N15" s="8">
        <f t="shared" ref="N15:N17" si="2">IF(TRIM(P14)=TRIM(O14), N14+1, N14)</f>
        <v>4</v>
      </c>
      <c r="O15" s="8" t="s">
        <v>18</v>
      </c>
      <c r="P15" s="8" t="s">
        <v>19</v>
      </c>
    </row>
    <row r="16" spans="1:26" x14ac:dyDescent="0.3">
      <c r="A16" s="7" t="s">
        <v>54</v>
      </c>
      <c r="B16" s="7" t="s">
        <v>51</v>
      </c>
      <c r="C16" s="7" t="s">
        <v>9</v>
      </c>
      <c r="D16" s="7" t="s">
        <v>24</v>
      </c>
      <c r="E16" s="7" t="s">
        <v>57</v>
      </c>
      <c r="F16" s="7" t="s">
        <v>9</v>
      </c>
      <c r="G16" s="7" t="s">
        <v>9</v>
      </c>
      <c r="H16" s="7" t="s">
        <v>9</v>
      </c>
      <c r="I16" s="7" t="s">
        <v>62</v>
      </c>
      <c r="J16" s="7" t="s">
        <v>59</v>
      </c>
      <c r="K16" s="7" t="s">
        <v>9</v>
      </c>
      <c r="L16" s="7" t="b">
        <v>0</v>
      </c>
      <c r="M16" s="8"/>
      <c r="N16" s="8">
        <f t="shared" si="2"/>
        <v>4</v>
      </c>
      <c r="O16" s="8" t="s">
        <v>18</v>
      </c>
      <c r="P16" s="8" t="s">
        <v>20</v>
      </c>
    </row>
    <row r="17" spans="1:16" x14ac:dyDescent="0.3">
      <c r="A17" s="7" t="s">
        <v>55</v>
      </c>
      <c r="B17" s="7" t="s">
        <v>51</v>
      </c>
      <c r="C17" s="7" t="s">
        <v>9</v>
      </c>
      <c r="D17" s="7" t="s">
        <v>24</v>
      </c>
      <c r="E17" s="7" t="s">
        <v>58</v>
      </c>
      <c r="F17" s="7" t="s">
        <v>9</v>
      </c>
      <c r="G17" s="7" t="s">
        <v>9</v>
      </c>
      <c r="H17" s="7" t="s">
        <v>9</v>
      </c>
      <c r="I17" s="7" t="s">
        <v>62</v>
      </c>
      <c r="J17" s="7" t="s">
        <v>59</v>
      </c>
      <c r="K17" s="7" t="s">
        <v>9</v>
      </c>
      <c r="L17" s="7" t="b">
        <v>0</v>
      </c>
      <c r="M17" s="8"/>
      <c r="N17" s="8">
        <f t="shared" si="2"/>
        <v>4</v>
      </c>
      <c r="O17" s="8" t="s">
        <v>18</v>
      </c>
      <c r="P17" s="8" t="s">
        <v>18</v>
      </c>
    </row>
    <row r="18" spans="1:16" x14ac:dyDescent="0.3">
      <c r="A18" s="7" t="s">
        <v>63</v>
      </c>
    </row>
    <row r="19" spans="1:16" x14ac:dyDescent="0.3">
      <c r="A19" s="7" t="s">
        <v>64</v>
      </c>
    </row>
    <row r="20" spans="1:16" x14ac:dyDescent="0.3">
      <c r="A20" s="7" t="s">
        <v>65</v>
      </c>
    </row>
    <row r="21" spans="1:16" x14ac:dyDescent="0.3">
      <c r="A21" s="7" t="s">
        <v>66</v>
      </c>
    </row>
    <row r="22" spans="1:16" x14ac:dyDescent="0.3">
      <c r="A22" s="7" t="s">
        <v>67</v>
      </c>
    </row>
    <row r="23" spans="1:16" x14ac:dyDescent="0.3">
      <c r="A23" s="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2026-03-30T06:55:56Z</dcterms:modified>
</cp:coreProperties>
</file>