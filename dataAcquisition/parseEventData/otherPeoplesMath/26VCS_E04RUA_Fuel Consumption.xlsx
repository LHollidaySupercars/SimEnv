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C\z. - Miscellaneous\"/>
    </mc:Choice>
  </mc:AlternateContent>
  <xr:revisionPtr revIDLastSave="0" documentId="13_ncr:1_{CC3B1D30-C3E8-40F2-961F-CF2BB8E24C6B}" xr6:coauthVersionLast="47" xr6:coauthVersionMax="47" xr10:uidLastSave="{00000000-0000-0000-0000-000000000000}"/>
  <bookViews>
    <workbookView xWindow="-108" yWindow="-108" windowWidth="23256" windowHeight="12456" activeTab="5" xr2:uid="{5ECD2FCF-D5F7-4EFB-A7E3-E0C6DC713A93}"/>
  </bookViews>
  <sheets>
    <sheet name="Fuel Properties" sheetId="8" r:id="rId1"/>
    <sheet name="Fuel Consumption P1" sheetId="3" state="hidden" r:id="rId2"/>
    <sheet name="DUMP P1" sheetId="1" state="hidden" r:id="rId3"/>
    <sheet name="FC R10" sheetId="4" r:id="rId4"/>
    <sheet name="DUMP R10" sheetId="5" r:id="rId5"/>
    <sheet name="FC R11" sheetId="6" r:id="rId6"/>
    <sheet name="DUMP R11" sheetId="7" r:id="rId7"/>
    <sheet name="FC R12" sheetId="9" r:id="rId8"/>
    <sheet name="DUMP R12" sheetId="10" r:id="rId9"/>
  </sheets>
  <definedNames>
    <definedName name="FuelDensity">'Fuel Properties'!$C$8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32" i="10" l="1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X43" i="9" a="1"/>
  <c r="AB56" i="9" s="1" a="1"/>
  <c r="AB56" i="9" s="1"/>
  <c r="AV21" i="9"/>
  <c r="AU21" i="9"/>
  <c r="AT21" i="9"/>
  <c r="AV20" i="9"/>
  <c r="AU20" i="9"/>
  <c r="AT20" i="9"/>
  <c r="AV19" i="9"/>
  <c r="AU19" i="9"/>
  <c r="AT19" i="9"/>
  <c r="AV18" i="9"/>
  <c r="AU18" i="9"/>
  <c r="AT18" i="9"/>
  <c r="AV17" i="9"/>
  <c r="AU17" i="9"/>
  <c r="AT17" i="9"/>
  <c r="AV16" i="9"/>
  <c r="AU16" i="9"/>
  <c r="AT16" i="9"/>
  <c r="AV15" i="9"/>
  <c r="AU15" i="9"/>
  <c r="AT15" i="9"/>
  <c r="AU10" i="9"/>
  <c r="AT10" i="9"/>
  <c r="AS10" i="9"/>
  <c r="AU9" i="9"/>
  <c r="AT9" i="9"/>
  <c r="AS9" i="9"/>
  <c r="Y62" i="9" l="1" a="1"/>
  <c r="Y62" i="9" s="1"/>
  <c r="AB51" i="9" a="1"/>
  <c r="AB51" i="9" s="1"/>
  <c r="Y46" i="9" a="1"/>
  <c r="Y46" i="9" s="1"/>
  <c r="Y57" i="9" a="1"/>
  <c r="Y57" i="9" s="1"/>
  <c r="AB57" i="9" a="1"/>
  <c r="AB57" i="9" s="1"/>
  <c r="Y47" i="9" a="1"/>
  <c r="Y47" i="9" s="1"/>
  <c r="Y58" i="9" a="1"/>
  <c r="Y58" i="9" s="1"/>
  <c r="AB59" i="9" a="1"/>
  <c r="AB59" i="9" s="1"/>
  <c r="Y55" i="9" a="1"/>
  <c r="Y55" i="9" s="1"/>
  <c r="Y56" i="9" a="1"/>
  <c r="Y56" i="9" s="1"/>
  <c r="AB62" i="9" a="1"/>
  <c r="AB62" i="9" s="1"/>
  <c r="Y52" i="9" a="1"/>
  <c r="Y52" i="9" s="1"/>
  <c r="AB52" i="9" a="1"/>
  <c r="AB52" i="9" s="1"/>
  <c r="AB47" i="9" a="1"/>
  <c r="AB47" i="9" s="1"/>
  <c r="AB46" i="9" a="1"/>
  <c r="AB46" i="9" s="1"/>
  <c r="Y53" i="9" a="1"/>
  <c r="Y53" i="9" s="1"/>
  <c r="AB58" i="9" a="1"/>
  <c r="AB58" i="9" s="1"/>
  <c r="Y59" i="9" a="1"/>
  <c r="Y59" i="9" s="1"/>
  <c r="AB48" i="9" a="1"/>
  <c r="AB48" i="9" s="1"/>
  <c r="Y54" i="9" a="1"/>
  <c r="Y54" i="9" s="1"/>
  <c r="Y49" i="9" a="1"/>
  <c r="Y49" i="9" s="1"/>
  <c r="AB54" i="9" a="1"/>
  <c r="AB54" i="9" s="1"/>
  <c r="Y44" i="9" a="1"/>
  <c r="Y44" i="9" s="1"/>
  <c r="Y60" i="9" a="1"/>
  <c r="Y60" i="9" s="1"/>
  <c r="Y50" i="9" a="1"/>
  <c r="Y50" i="9" s="1"/>
  <c r="AB55" i="9" a="1"/>
  <c r="AB55" i="9" s="1"/>
  <c r="Y61" i="9" a="1"/>
  <c r="Y61" i="9" s="1"/>
  <c r="AB53" i="9" a="1"/>
  <c r="AB53" i="9" s="1"/>
  <c r="AB49" i="9" a="1"/>
  <c r="AB49" i="9" s="1"/>
  <c r="AB44" i="9" a="1"/>
  <c r="AB44" i="9" s="1"/>
  <c r="AB60" i="9" a="1"/>
  <c r="AB60" i="9" s="1"/>
  <c r="Y45" i="9" a="1"/>
  <c r="Y45" i="9" s="1"/>
  <c r="AB50" i="9" a="1"/>
  <c r="AB50" i="9" s="1"/>
  <c r="Y48" i="9" a="1"/>
  <c r="Y48" i="9" s="1"/>
  <c r="X43" i="9"/>
  <c r="AB45" i="9" a="1"/>
  <c r="AB45" i="9" s="1"/>
  <c r="AB61" i="9" a="1"/>
  <c r="AB61" i="9" s="1"/>
  <c r="Y51" i="9" a="1"/>
  <c r="Y51" i="9" s="1"/>
  <c r="C8" i="8"/>
  <c r="C9" i="4" s="1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X43" i="6" a="1"/>
  <c r="AB52" i="6" s="1" a="1"/>
  <c r="AB52" i="6" s="1"/>
  <c r="AV21" i="6"/>
  <c r="AU21" i="6"/>
  <c r="AT21" i="6"/>
  <c r="AV20" i="6"/>
  <c r="AU20" i="6"/>
  <c r="AT20" i="6"/>
  <c r="AV19" i="6"/>
  <c r="AU19" i="6"/>
  <c r="AT19" i="6"/>
  <c r="AV18" i="6"/>
  <c r="AU18" i="6"/>
  <c r="AT18" i="6"/>
  <c r="AV17" i="6"/>
  <c r="AU17" i="6"/>
  <c r="AT17" i="6"/>
  <c r="AV16" i="6"/>
  <c r="AU16" i="6"/>
  <c r="AT16" i="6"/>
  <c r="AV15" i="6"/>
  <c r="AU15" i="6"/>
  <c r="AT15" i="6"/>
  <c r="AU10" i="6"/>
  <c r="AT10" i="6"/>
  <c r="AS10" i="6"/>
  <c r="AU9" i="6"/>
  <c r="AT9" i="6"/>
  <c r="AS9" i="6"/>
  <c r="X43" i="4" a="1"/>
  <c r="X43" i="4" s="1"/>
  <c r="Y43" i="4" s="1" a="1"/>
  <c r="Y43" i="4" s="1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4" i="5"/>
  <c r="J5" i="5"/>
  <c r="J6" i="5"/>
  <c r="J7" i="5"/>
  <c r="J8" i="5"/>
  <c r="J3" i="5"/>
  <c r="I36" i="1"/>
  <c r="I37" i="1"/>
  <c r="I38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" i="1"/>
  <c r="K6" i="3" a="1"/>
  <c r="K6" i="3" s="1"/>
  <c r="K7" i="3" a="1"/>
  <c r="K7" i="3" s="1"/>
  <c r="K8" i="3" a="1"/>
  <c r="K8" i="3" s="1"/>
  <c r="K9" i="3" a="1"/>
  <c r="K9" i="3" s="1"/>
  <c r="K10" i="3" a="1"/>
  <c r="K10" i="3" s="1"/>
  <c r="K5" i="3" a="1"/>
  <c r="K5" i="3" s="1"/>
  <c r="C9" i="9" l="1"/>
  <c r="AA44" i="9" s="1"/>
  <c r="AA43" i="4"/>
  <c r="C9" i="6"/>
  <c r="AB43" i="9" a="1"/>
  <c r="AB43" i="9" s="1"/>
  <c r="Y43" i="9" a="1"/>
  <c r="Y43" i="9" s="1"/>
  <c r="Y58" i="6" a="1"/>
  <c r="Y58" i="6" s="1"/>
  <c r="Y53" i="6" a="1"/>
  <c r="Y53" i="6" s="1"/>
  <c r="AB53" i="6" a="1"/>
  <c r="AB53" i="6" s="1"/>
  <c r="Y49" i="6" a="1"/>
  <c r="Y49" i="6" s="1"/>
  <c r="AB54" i="6" a="1"/>
  <c r="AB54" i="6" s="1"/>
  <c r="Y44" i="6" a="1"/>
  <c r="Y44" i="6" s="1"/>
  <c r="Y60" i="6" a="1"/>
  <c r="Y60" i="6" s="1"/>
  <c r="AB49" i="6" a="1"/>
  <c r="AB49" i="6" s="1"/>
  <c r="Y55" i="6" a="1"/>
  <c r="Y55" i="6" s="1"/>
  <c r="AB44" i="6" a="1"/>
  <c r="AB44" i="6" s="1"/>
  <c r="AB60" i="6" a="1"/>
  <c r="AB60" i="6" s="1"/>
  <c r="Y50" i="6" a="1"/>
  <c r="Y50" i="6" s="1"/>
  <c r="AB55" i="6" a="1"/>
  <c r="AB55" i="6" s="1"/>
  <c r="AB48" i="6" a="1"/>
  <c r="AB48" i="6" s="1"/>
  <c r="AB59" i="6" a="1"/>
  <c r="AB59" i="6" s="1"/>
  <c r="Y45" i="6" a="1"/>
  <c r="Y45" i="6" s="1"/>
  <c r="AB50" i="6" a="1"/>
  <c r="AB50" i="6" s="1"/>
  <c r="AB45" i="6" a="1"/>
  <c r="AB45" i="6" s="1"/>
  <c r="Y51" i="6" a="1"/>
  <c r="Y51" i="6" s="1"/>
  <c r="Y62" i="6" a="1"/>
  <c r="Y62" i="6" s="1"/>
  <c r="AB46" i="6" a="1"/>
  <c r="AB46" i="6" s="1"/>
  <c r="Y47" i="6" a="1"/>
  <c r="Y47" i="6" s="1"/>
  <c r="AB47" i="6" a="1"/>
  <c r="AB47" i="6" s="1"/>
  <c r="AB58" i="6" a="1"/>
  <c r="AB58" i="6" s="1"/>
  <c r="Y48" i="6" a="1"/>
  <c r="Y48" i="6" s="1"/>
  <c r="X43" i="6"/>
  <c r="Y59" i="6" a="1"/>
  <c r="Y59" i="6" s="1"/>
  <c r="Y54" i="6" a="1"/>
  <c r="Y54" i="6" s="1"/>
  <c r="Y61" i="6" a="1"/>
  <c r="Y61" i="6" s="1"/>
  <c r="Y56" i="6" a="1"/>
  <c r="Y56" i="6" s="1"/>
  <c r="AB61" i="6" a="1"/>
  <c r="AB61" i="6" s="1"/>
  <c r="AB56" i="6" a="1"/>
  <c r="AB56" i="6" s="1"/>
  <c r="Y46" i="6" a="1"/>
  <c r="Y46" i="6" s="1"/>
  <c r="AB51" i="6" a="1"/>
  <c r="AB51" i="6" s="1"/>
  <c r="Y57" i="6" a="1"/>
  <c r="Y57" i="6" s="1"/>
  <c r="AB62" i="6" a="1"/>
  <c r="AB62" i="6" s="1"/>
  <c r="Y52" i="6" a="1"/>
  <c r="Y52" i="6" s="1"/>
  <c r="AB57" i="6" a="1"/>
  <c r="AB57" i="6" s="1"/>
  <c r="AB51" i="4" a="1"/>
  <c r="AB51" i="4" s="1"/>
  <c r="AB43" i="4" a="1"/>
  <c r="AB43" i="4" s="1"/>
  <c r="Y45" i="4" a="1"/>
  <c r="Y45" i="4" s="1"/>
  <c r="AA45" i="4" s="1"/>
  <c r="AB49" i="4" a="1"/>
  <c r="AB49" i="4" s="1"/>
  <c r="Y44" i="4" a="1"/>
  <c r="Y44" i="4" s="1"/>
  <c r="AA44" i="4" s="1"/>
  <c r="AB48" i="4" a="1"/>
  <c r="AB48" i="4" s="1"/>
  <c r="Y46" i="4" a="1"/>
  <c r="Y46" i="4" s="1"/>
  <c r="AB46" i="4" a="1"/>
  <c r="AB46" i="4" s="1"/>
  <c r="AB45" i="4" a="1"/>
  <c r="AB45" i="4" s="1"/>
  <c r="AB62" i="4" a="1"/>
  <c r="AB62" i="4" s="1"/>
  <c r="Y52" i="4" a="1"/>
  <c r="Y52" i="4" s="1"/>
  <c r="Y47" i="4" a="1"/>
  <c r="Y47" i="4" s="1"/>
  <c r="Y49" i="4" a="1"/>
  <c r="Y49" i="4" s="1"/>
  <c r="Y51" i="4" a="1"/>
  <c r="Y51" i="4" s="1"/>
  <c r="Y53" i="4" a="1"/>
  <c r="Y53" i="4" s="1"/>
  <c r="AB60" i="4" a="1"/>
  <c r="AB60" i="4" s="1"/>
  <c r="Y54" i="4" a="1"/>
  <c r="Y54" i="4" s="1"/>
  <c r="AB59" i="4" a="1"/>
  <c r="AB59" i="4" s="1"/>
  <c r="Y55" i="4" a="1"/>
  <c r="Y55" i="4" s="1"/>
  <c r="AB58" i="4" a="1"/>
  <c r="AB58" i="4" s="1"/>
  <c r="Y56" i="4" a="1"/>
  <c r="Y56" i="4" s="1"/>
  <c r="AB57" i="4" a="1"/>
  <c r="AB57" i="4" s="1"/>
  <c r="Y57" i="4" a="1"/>
  <c r="Y57" i="4" s="1"/>
  <c r="Y60" i="4" a="1"/>
  <c r="Y60" i="4" s="1"/>
  <c r="AA60" i="4" s="1"/>
  <c r="AB47" i="4" a="1"/>
  <c r="AB47" i="4" s="1"/>
  <c r="AB44" i="4" a="1"/>
  <c r="AB44" i="4" s="1"/>
  <c r="AB56" i="4" a="1"/>
  <c r="AB56" i="4" s="1"/>
  <c r="AB54" i="4" a="1"/>
  <c r="AB54" i="4" s="1"/>
  <c r="Y61" i="4" a="1"/>
  <c r="Y61" i="4" s="1"/>
  <c r="AA61" i="4" s="1"/>
  <c r="AB50" i="4" a="1"/>
  <c r="AB50" i="4" s="1"/>
  <c r="Y48" i="4" a="1"/>
  <c r="Y48" i="4" s="1"/>
  <c r="AA48" i="4" s="1"/>
  <c r="Y50" i="4" a="1"/>
  <c r="Y50" i="4" s="1"/>
  <c r="AA50" i="4" s="1"/>
  <c r="AB61" i="4" a="1"/>
  <c r="AB61" i="4" s="1"/>
  <c r="Y58" i="4" a="1"/>
  <c r="Y58" i="4" s="1"/>
  <c r="AA58" i="4" s="1"/>
  <c r="AB55" i="4" a="1"/>
  <c r="AB55" i="4" s="1"/>
  <c r="Y59" i="4" a="1"/>
  <c r="Y59" i="4" s="1"/>
  <c r="AA59" i="4" s="1"/>
  <c r="AB53" i="4" a="1"/>
  <c r="AB53" i="4" s="1"/>
  <c r="AB52" i="4" a="1"/>
  <c r="AB52" i="4" s="1"/>
  <c r="Y62" i="4" a="1"/>
  <c r="Y62" i="4" s="1"/>
  <c r="C5" i="3" a="1"/>
  <c r="C5" i="3" s="1"/>
  <c r="D5" i="3" a="1"/>
  <c r="D5" i="3" s="1"/>
  <c r="E5" i="3" a="1"/>
  <c r="E5" i="3" s="1"/>
  <c r="AA62" i="9" l="1"/>
  <c r="AD62" i="9" s="1"/>
  <c r="AA48" i="9"/>
  <c r="AD48" i="9" s="1"/>
  <c r="AD44" i="9"/>
  <c r="AA58" i="9"/>
  <c r="AD58" i="9" s="1"/>
  <c r="AA57" i="4"/>
  <c r="AD57" i="4" s="1"/>
  <c r="AA43" i="9"/>
  <c r="AA57" i="9"/>
  <c r="AD57" i="9" s="1"/>
  <c r="AA51" i="9"/>
  <c r="AD51" i="9" s="1"/>
  <c r="AA55" i="4"/>
  <c r="AD55" i="4" s="1"/>
  <c r="AA54" i="4"/>
  <c r="AD54" i="4" s="1"/>
  <c r="AA60" i="9"/>
  <c r="AD60" i="9" s="1"/>
  <c r="AA61" i="9"/>
  <c r="AD61" i="9" s="1"/>
  <c r="AA49" i="4"/>
  <c r="AD49" i="4" s="1"/>
  <c r="AA47" i="9"/>
  <c r="AA52" i="9"/>
  <c r="AD52" i="9" s="1"/>
  <c r="AA55" i="9"/>
  <c r="AD55" i="9" s="1"/>
  <c r="AA52" i="4"/>
  <c r="AD52" i="4" s="1"/>
  <c r="AA53" i="9"/>
  <c r="AD53" i="9" s="1"/>
  <c r="AA56" i="4"/>
  <c r="AD56" i="4" s="1"/>
  <c r="AA53" i="4"/>
  <c r="AD53" i="4" s="1"/>
  <c r="AA51" i="4"/>
  <c r="AD51" i="4" s="1"/>
  <c r="AA45" i="9"/>
  <c r="AD45" i="9" s="1"/>
  <c r="AA59" i="9"/>
  <c r="AD59" i="9" s="1"/>
  <c r="AA54" i="9"/>
  <c r="AD54" i="9" s="1"/>
  <c r="AA46" i="9"/>
  <c r="AD46" i="9" s="1"/>
  <c r="AA50" i="9"/>
  <c r="AD50" i="9" s="1"/>
  <c r="AA56" i="9"/>
  <c r="AD56" i="9" s="1"/>
  <c r="AA62" i="4"/>
  <c r="AD62" i="4" s="1"/>
  <c r="AA46" i="4"/>
  <c r="AA49" i="9"/>
  <c r="AD49" i="9" s="1"/>
  <c r="AA54" i="6"/>
  <c r="AD54" i="6" s="1"/>
  <c r="AA57" i="6"/>
  <c r="AD57" i="6" s="1"/>
  <c r="AA46" i="6"/>
  <c r="AD46" i="6" s="1"/>
  <c r="AA58" i="6"/>
  <c r="AD58" i="6" s="1"/>
  <c r="AA56" i="6"/>
  <c r="AA61" i="6"/>
  <c r="AA59" i="6"/>
  <c r="AD59" i="6" s="1"/>
  <c r="AA48" i="6"/>
  <c r="AD48" i="6" s="1"/>
  <c r="AA47" i="6"/>
  <c r="AA62" i="6"/>
  <c r="AA51" i="6"/>
  <c r="AD51" i="6" s="1"/>
  <c r="AA45" i="6"/>
  <c r="AA50" i="6"/>
  <c r="AA55" i="6"/>
  <c r="AD55" i="6" s="1"/>
  <c r="AA60" i="6"/>
  <c r="AD60" i="6" s="1"/>
  <c r="AA44" i="6"/>
  <c r="AA52" i="6"/>
  <c r="AD52" i="6" s="1"/>
  <c r="AA49" i="6"/>
  <c r="AD49" i="6" s="1"/>
  <c r="AA53" i="6"/>
  <c r="AD53" i="6" s="1"/>
  <c r="AD43" i="9"/>
  <c r="AD47" i="6"/>
  <c r="AD56" i="6"/>
  <c r="AD50" i="6"/>
  <c r="AD61" i="6"/>
  <c r="AD45" i="6"/>
  <c r="AD62" i="6"/>
  <c r="AB43" i="6" a="1"/>
  <c r="AB43" i="6" s="1"/>
  <c r="Y43" i="6" a="1"/>
  <c r="Y43" i="6" s="1"/>
  <c r="AA43" i="6" s="1"/>
  <c r="C19" i="4" a="1"/>
  <c r="C19" i="4" s="1"/>
  <c r="D32" i="4" a="1"/>
  <c r="D32" i="4" s="1"/>
  <c r="H32" i="4" s="1"/>
  <c r="E32" i="4" a="1"/>
  <c r="E32" i="4" s="1"/>
  <c r="N32" i="4" s="1"/>
  <c r="D19" i="4" a="1"/>
  <c r="D19" i="4" s="1"/>
  <c r="H19" i="4" s="1"/>
  <c r="E19" i="4" a="1"/>
  <c r="E19" i="4" s="1"/>
  <c r="N19" i="4" s="1"/>
  <c r="AD44" i="4"/>
  <c r="AV16" i="4"/>
  <c r="AD45" i="4"/>
  <c r="AU20" i="4"/>
  <c r="AD48" i="4"/>
  <c r="AA47" i="4"/>
  <c r="AD61" i="4"/>
  <c r="AD50" i="4"/>
  <c r="AD58" i="4"/>
  <c r="AD60" i="4"/>
  <c r="AD59" i="4"/>
  <c r="AD43" i="4"/>
  <c r="AC5" i="3"/>
  <c r="C8" i="3"/>
  <c r="C7" i="3"/>
  <c r="AE12" i="3"/>
  <c r="E8" i="3"/>
  <c r="E7" i="3"/>
  <c r="AD5" i="3"/>
  <c r="D8" i="3"/>
  <c r="D7" i="3"/>
  <c r="AE4" i="3"/>
  <c r="AE8" i="3"/>
  <c r="AE9" i="3"/>
  <c r="AE10" i="3"/>
  <c r="AD7" i="3"/>
  <c r="AD8" i="3"/>
  <c r="AD6" i="3"/>
  <c r="AD9" i="3"/>
  <c r="AD4" i="3"/>
  <c r="AD10" i="3"/>
  <c r="AD11" i="3"/>
  <c r="AD12" i="3"/>
  <c r="AC7" i="3"/>
  <c r="AC8" i="3"/>
  <c r="AC6" i="3"/>
  <c r="AC9" i="3"/>
  <c r="AC4" i="3"/>
  <c r="AC10" i="3"/>
  <c r="AC11" i="3"/>
  <c r="AC12" i="3"/>
  <c r="AE7" i="3"/>
  <c r="AE5" i="3"/>
  <c r="AE11" i="3"/>
  <c r="AE6" i="3"/>
  <c r="D19" i="9" l="1" a="1"/>
  <c r="D19" i="9" s="1"/>
  <c r="H19" i="9" s="1"/>
  <c r="C18" i="9" a="1"/>
  <c r="C18" i="9" s="1"/>
  <c r="E31" i="4" a="1"/>
  <c r="E31" i="4" s="1"/>
  <c r="N31" i="4" s="1"/>
  <c r="D18" i="4" a="1"/>
  <c r="D18" i="4" s="1"/>
  <c r="H18" i="4" s="1"/>
  <c r="C19" i="9" a="1"/>
  <c r="C19" i="9" s="1"/>
  <c r="AD47" i="9"/>
  <c r="E17" i="9" a="1"/>
  <c r="E17" i="9" s="1"/>
  <c r="C17" i="9" a="1"/>
  <c r="C17" i="9" s="1"/>
  <c r="E30" i="9" a="1"/>
  <c r="E30" i="9" s="1"/>
  <c r="D17" i="9" a="1"/>
  <c r="D17" i="9" s="1"/>
  <c r="D30" i="9" a="1"/>
  <c r="D30" i="9" s="1"/>
  <c r="E32" i="9" a="1"/>
  <c r="E32" i="9" s="1"/>
  <c r="M32" i="9" s="1"/>
  <c r="D31" i="9" a="1"/>
  <c r="D31" i="9" s="1"/>
  <c r="C18" i="4" a="1"/>
  <c r="C18" i="4" s="1"/>
  <c r="E30" i="6" a="1"/>
  <c r="E30" i="6" s="1"/>
  <c r="M30" i="6" s="1"/>
  <c r="D32" i="9" a="1"/>
  <c r="D32" i="9" s="1"/>
  <c r="H32" i="9" s="1"/>
  <c r="E18" i="9" a="1"/>
  <c r="E18" i="9" s="1"/>
  <c r="AD46" i="4"/>
  <c r="E18" i="4" a="1"/>
  <c r="E18" i="4" s="1"/>
  <c r="M18" i="4" s="1"/>
  <c r="D31" i="4" a="1"/>
  <c r="D31" i="4" s="1"/>
  <c r="H31" i="4" s="1"/>
  <c r="E19" i="9" a="1"/>
  <c r="E19" i="9" s="1"/>
  <c r="N19" i="9" s="1"/>
  <c r="D31" i="6" a="1"/>
  <c r="D31" i="6" s="1"/>
  <c r="H31" i="6" s="1"/>
  <c r="D18" i="9" a="1"/>
  <c r="D18" i="9" s="1"/>
  <c r="D30" i="4" a="1"/>
  <c r="D30" i="4" s="1"/>
  <c r="H30" i="4" s="1"/>
  <c r="E31" i="9" a="1"/>
  <c r="E31" i="9" s="1"/>
  <c r="C18" i="6" a="1"/>
  <c r="C18" i="6" s="1"/>
  <c r="C17" i="6" a="1"/>
  <c r="C17" i="6" s="1"/>
  <c r="E31" i="6" a="1"/>
  <c r="E31" i="6" s="1"/>
  <c r="N31" i="6" s="1"/>
  <c r="E18" i="6" a="1"/>
  <c r="E18" i="6" s="1"/>
  <c r="N18" i="6" s="1"/>
  <c r="D18" i="6" a="1"/>
  <c r="D18" i="6" s="1"/>
  <c r="H18" i="6" s="1"/>
  <c r="E17" i="6" a="1"/>
  <c r="E17" i="6" s="1"/>
  <c r="N17" i="6" s="1"/>
  <c r="D17" i="6" a="1"/>
  <c r="D17" i="6" s="1"/>
  <c r="H17" i="6" s="1"/>
  <c r="D30" i="6" a="1"/>
  <c r="D30" i="6" s="1"/>
  <c r="G30" i="6" s="1"/>
  <c r="AD44" i="6"/>
  <c r="AD43" i="6"/>
  <c r="E19" i="6" a="1"/>
  <c r="E19" i="6" s="1"/>
  <c r="D32" i="6" a="1"/>
  <c r="D32" i="6" s="1"/>
  <c r="C19" i="6" a="1"/>
  <c r="C19" i="6" s="1"/>
  <c r="D19" i="6" a="1"/>
  <c r="D19" i="6" s="1"/>
  <c r="E32" i="6" a="1"/>
  <c r="E32" i="6" s="1"/>
  <c r="C17" i="4" a="1"/>
  <c r="C17" i="4" s="1"/>
  <c r="G32" i="4"/>
  <c r="I32" i="4" s="1"/>
  <c r="J32" i="4" s="1"/>
  <c r="K32" i="4" s="1"/>
  <c r="M32" i="4"/>
  <c r="O32" i="4" s="1"/>
  <c r="P32" i="4" s="1"/>
  <c r="Q32" i="4" s="1"/>
  <c r="E30" i="4" a="1"/>
  <c r="E30" i="4" s="1"/>
  <c r="N30" i="4" s="1"/>
  <c r="M31" i="4"/>
  <c r="G18" i="4"/>
  <c r="M19" i="4"/>
  <c r="G19" i="4"/>
  <c r="E17" i="4" a="1"/>
  <c r="E17" i="4" s="1"/>
  <c r="N17" i="4" s="1"/>
  <c r="D17" i="4" a="1"/>
  <c r="D17" i="4" s="1"/>
  <c r="H17" i="4" s="1"/>
  <c r="AD47" i="4"/>
  <c r="AT16" i="4"/>
  <c r="AT21" i="4"/>
  <c r="AT17" i="4"/>
  <c r="AS9" i="4"/>
  <c r="AT20" i="4"/>
  <c r="AT15" i="4"/>
  <c r="AT19" i="4"/>
  <c r="AS10" i="4"/>
  <c r="AT18" i="4"/>
  <c r="AU15" i="4"/>
  <c r="AU19" i="4"/>
  <c r="AU18" i="4"/>
  <c r="AT10" i="4"/>
  <c r="AU21" i="4"/>
  <c r="AU17" i="4"/>
  <c r="AT9" i="4"/>
  <c r="AU16" i="4"/>
  <c r="AV21" i="4"/>
  <c r="AV17" i="4"/>
  <c r="AU9" i="4"/>
  <c r="AV20" i="4"/>
  <c r="AV15" i="4"/>
  <c r="AV19" i="4"/>
  <c r="AU10" i="4"/>
  <c r="AV18" i="4"/>
  <c r="E10" i="3"/>
  <c r="E11" i="3" s="1"/>
  <c r="D10" i="3"/>
  <c r="D11" i="3" s="1"/>
  <c r="C10" i="3"/>
  <c r="C11" i="3" s="1"/>
  <c r="G19" i="9" l="1"/>
  <c r="G31" i="4"/>
  <c r="I31" i="4" s="1"/>
  <c r="J31" i="4" s="1"/>
  <c r="K31" i="4" s="1"/>
  <c r="G30" i="4"/>
  <c r="I30" i="4" s="1"/>
  <c r="J30" i="4" s="1"/>
  <c r="K30" i="4" s="1"/>
  <c r="N18" i="4"/>
  <c r="O18" i="4" s="1"/>
  <c r="P18" i="4" s="1"/>
  <c r="Q18" i="4" s="1"/>
  <c r="N30" i="6"/>
  <c r="O30" i="6" s="1"/>
  <c r="P30" i="6" s="1"/>
  <c r="Q30" i="6" s="1"/>
  <c r="M31" i="6"/>
  <c r="O31" i="6" s="1"/>
  <c r="P31" i="6" s="1"/>
  <c r="Q31" i="6" s="1"/>
  <c r="M31" i="9"/>
  <c r="N31" i="9"/>
  <c r="H30" i="9"/>
  <c r="G30" i="9"/>
  <c r="I30" i="9" s="1"/>
  <c r="J30" i="9" s="1"/>
  <c r="K30" i="9" s="1"/>
  <c r="M30" i="9"/>
  <c r="N30" i="9"/>
  <c r="M17" i="9"/>
  <c r="N17" i="9"/>
  <c r="H18" i="9"/>
  <c r="G18" i="9"/>
  <c r="I18" i="9" s="1"/>
  <c r="J18" i="9" s="1"/>
  <c r="K18" i="9" s="1"/>
  <c r="G31" i="6"/>
  <c r="I31" i="6" s="1"/>
  <c r="J31" i="6" s="1"/>
  <c r="K31" i="6" s="1"/>
  <c r="M18" i="9"/>
  <c r="N18" i="9"/>
  <c r="H31" i="9"/>
  <c r="G31" i="9"/>
  <c r="I31" i="9" s="1"/>
  <c r="J31" i="9" s="1"/>
  <c r="K31" i="9" s="1"/>
  <c r="H17" i="9"/>
  <c r="G17" i="9"/>
  <c r="I17" i="9" s="1"/>
  <c r="J17" i="9" s="1"/>
  <c r="K17" i="9" s="1"/>
  <c r="N32" i="9"/>
  <c r="O32" i="9" s="1"/>
  <c r="P32" i="9" s="1"/>
  <c r="Q32" i="9" s="1"/>
  <c r="G32" i="9"/>
  <c r="M19" i="9"/>
  <c r="O19" i="9" s="1"/>
  <c r="P19" i="9" s="1"/>
  <c r="Q19" i="9" s="1"/>
  <c r="M17" i="6"/>
  <c r="O17" i="6" s="1"/>
  <c r="P17" i="6" s="1"/>
  <c r="Q17" i="6" s="1"/>
  <c r="M18" i="6"/>
  <c r="O18" i="6" s="1"/>
  <c r="P18" i="6" s="1"/>
  <c r="Q18" i="6" s="1"/>
  <c r="H30" i="6"/>
  <c r="I30" i="6" s="1"/>
  <c r="J30" i="6" s="1"/>
  <c r="K30" i="6" s="1"/>
  <c r="G18" i="6"/>
  <c r="I18" i="6" s="1"/>
  <c r="J18" i="6" s="1"/>
  <c r="K18" i="6" s="1"/>
  <c r="G17" i="6"/>
  <c r="I17" i="6" s="1"/>
  <c r="J17" i="6" s="1"/>
  <c r="K17" i="6" s="1"/>
  <c r="I32" i="9"/>
  <c r="J32" i="9" s="1"/>
  <c r="K32" i="9" s="1"/>
  <c r="I19" i="9"/>
  <c r="J19" i="9" s="1"/>
  <c r="K19" i="9" s="1"/>
  <c r="M32" i="6"/>
  <c r="N32" i="6"/>
  <c r="H32" i="6"/>
  <c r="G32" i="6"/>
  <c r="G19" i="6"/>
  <c r="H19" i="6"/>
  <c r="N19" i="6"/>
  <c r="M19" i="6"/>
  <c r="O31" i="4"/>
  <c r="P31" i="4" s="1"/>
  <c r="Q31" i="4" s="1"/>
  <c r="M30" i="4"/>
  <c r="I18" i="4"/>
  <c r="J18" i="4" s="1"/>
  <c r="K18" i="4" s="1"/>
  <c r="O19" i="4"/>
  <c r="P19" i="4" s="1"/>
  <c r="Q19" i="4" s="1"/>
  <c r="I19" i="4"/>
  <c r="J19" i="4" s="1"/>
  <c r="K19" i="4" s="1"/>
  <c r="G17" i="4"/>
  <c r="I17" i="4" s="1"/>
  <c r="J17" i="4" s="1"/>
  <c r="K17" i="4" s="1"/>
  <c r="M17" i="4"/>
  <c r="O18" i="9" l="1"/>
  <c r="P18" i="9" s="1"/>
  <c r="Q18" i="9" s="1"/>
  <c r="O30" i="9"/>
  <c r="P30" i="9" s="1"/>
  <c r="Q30" i="9" s="1"/>
  <c r="O17" i="9"/>
  <c r="P17" i="9" s="1"/>
  <c r="Q17" i="9" s="1"/>
  <c r="O31" i="9"/>
  <c r="P31" i="9" s="1"/>
  <c r="Q31" i="9" s="1"/>
  <c r="I32" i="6"/>
  <c r="J32" i="6" s="1"/>
  <c r="K32" i="6" s="1"/>
  <c r="O19" i="6"/>
  <c r="P19" i="6" s="1"/>
  <c r="Q19" i="6" s="1"/>
  <c r="O32" i="6"/>
  <c r="P32" i="6" s="1"/>
  <c r="Q32" i="6" s="1"/>
  <c r="I19" i="6"/>
  <c r="J19" i="6" s="1"/>
  <c r="K19" i="6" s="1"/>
  <c r="O30" i="4"/>
  <c r="P30" i="4" s="1"/>
  <c r="Q30" i="4" s="1"/>
  <c r="O17" i="4"/>
  <c r="P17" i="4" s="1"/>
  <c r="Q1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<sst xmlns="http://schemas.openxmlformats.org/spreadsheetml/2006/main" count="11053" uniqueCount="193">
  <si>
    <t>Fuel Behaviour</t>
  </si>
  <si>
    <t>Fuel Used EOL [l]</t>
  </si>
  <si>
    <t>Avg</t>
  </si>
  <si>
    <t>Ruapuna Raceway, Christchurch Super 440</t>
  </si>
  <si>
    <t>Jack Le Brocq, MSR-005</t>
  </si>
  <si>
    <t>17/04/2026, Practice 1</t>
  </si>
  <si>
    <t xml:space="preserve">9:56:03 AM, Run 2 </t>
  </si>
  <si>
    <t>Lap 1</t>
  </si>
  <si>
    <t>Lap 2</t>
  </si>
  <si>
    <t>Lap 3</t>
  </si>
  <si>
    <t>Lap 4</t>
  </si>
  <si>
    <t>David Reynolds, T18-003</t>
  </si>
  <si>
    <t xml:space="preserve">9:59:25 AM, Run 2 </t>
  </si>
  <si>
    <t>Thomas Randle, TR26</t>
  </si>
  <si>
    <t xml:space="preserve">10:03:25 AM, Run 2 </t>
  </si>
  <si>
    <t>Lap 5</t>
  </si>
  <si>
    <t>Lap 6</t>
  </si>
  <si>
    <t>Lap 7</t>
  </si>
  <si>
    <t>Lap 8</t>
  </si>
  <si>
    <t>Lap 9</t>
  </si>
  <si>
    <t>Cam Waters, TR28</t>
  </si>
  <si>
    <t xml:space="preserve">10:04:10 AM, Run 2 </t>
  </si>
  <si>
    <t>Ruapuna, ITM Christchurch Super440</t>
  </si>
  <si>
    <t>Macauley Jones, BJR018</t>
  </si>
  <si>
    <t xml:space="preserve">9:58:23 AM, Outing 1 and 2 </t>
  </si>
  <si>
    <t>Ruapuna Raceway, Christchurch Super440</t>
  </si>
  <si>
    <t>Andre Heimgartner, BJR019</t>
  </si>
  <si>
    <t xml:space="preserve">10:01:19 AM, Run 02 </t>
  </si>
  <si>
    <t>Fuel Consumption - 04 RUA</t>
  </si>
  <si>
    <t>Toyota</t>
  </si>
  <si>
    <t>GM</t>
  </si>
  <si>
    <t>Ford</t>
  </si>
  <si>
    <t>Cars</t>
  </si>
  <si>
    <t>Driver</t>
  </si>
  <si>
    <t>Make</t>
  </si>
  <si>
    <t>Fuel Used EOL Average [l]</t>
  </si>
  <si>
    <t>Laps</t>
  </si>
  <si>
    <t>Fuel Error</t>
  </si>
  <si>
    <t>61 Laps</t>
  </si>
  <si>
    <t>Av Fuel Used</t>
  </si>
  <si>
    <t>Out, Formation &amp; In Lap</t>
  </si>
  <si>
    <t>Total</t>
  </si>
  <si>
    <t>Fuel to Add (131.5L)</t>
  </si>
  <si>
    <t>17/04/2026, Race 10</t>
  </si>
  <si>
    <t xml:space="preserve">5:35:01 PM, P13 </t>
  </si>
  <si>
    <t>Lap 10</t>
  </si>
  <si>
    <t>Lap 11</t>
  </si>
  <si>
    <t>Lap 12</t>
  </si>
  <si>
    <t>Lap 13</t>
  </si>
  <si>
    <t>Lap 14</t>
  </si>
  <si>
    <t>Lap 15</t>
  </si>
  <si>
    <t>Lap 16</t>
  </si>
  <si>
    <t>Lap 17</t>
  </si>
  <si>
    <t>Lap 18</t>
  </si>
  <si>
    <t>Lap 19</t>
  </si>
  <si>
    <t>Lap 20</t>
  </si>
  <si>
    <t>Lap 21</t>
  </si>
  <si>
    <t>Lap 22</t>
  </si>
  <si>
    <t>Lap 23</t>
  </si>
  <si>
    <t>Lap 25</t>
  </si>
  <si>
    <t>Lap 26</t>
  </si>
  <si>
    <t>Lap 27</t>
  </si>
  <si>
    <t>Lap 28</t>
  </si>
  <si>
    <t>Lap 29</t>
  </si>
  <si>
    <t>Lap 30</t>
  </si>
  <si>
    <t>Lap 31</t>
  </si>
  <si>
    <t>Lap 32</t>
  </si>
  <si>
    <t>Lap 33</t>
  </si>
  <si>
    <t>Lap 34</t>
  </si>
  <si>
    <t>Lap 35</t>
  </si>
  <si>
    <t>Lap 36</t>
  </si>
  <si>
    <t>Lap 37</t>
  </si>
  <si>
    <t>Lap 24</t>
  </si>
  <si>
    <t xml:space="preserve">5:35:29 PM, Run 1 </t>
  </si>
  <si>
    <t>Rylan Gray, DJRS08-MR</t>
  </si>
  <si>
    <t xml:space="preserve">5:35:45 PM, Run 11 </t>
  </si>
  <si>
    <t xml:space="preserve">5:36:03 PM, Run 1 </t>
  </si>
  <si>
    <t>Jayden Ojeda, 888A-064</t>
  </si>
  <si>
    <t xml:space="preserve">5:36:05 PM, Run 1 </t>
  </si>
  <si>
    <t>Broc Feeney, 888A-072</t>
  </si>
  <si>
    <t xml:space="preserve">5:36:07 PM, Race 10 </t>
  </si>
  <si>
    <t>Zach Bates, MSR-006</t>
  </si>
  <si>
    <t xml:space="preserve">5:36:27 PM, Run 1 </t>
  </si>
  <si>
    <t>Will Brown, 888A-073</t>
  </si>
  <si>
    <t xml:space="preserve">5:36:37 PM, Run 1 </t>
  </si>
  <si>
    <t>James Golding, BRT-002</t>
  </si>
  <si>
    <t xml:space="preserve">5:39:01 PM, Run 10 </t>
  </si>
  <si>
    <t>Jackson Walls, 888A-074</t>
  </si>
  <si>
    <t xml:space="preserve">5:39:03 PM, Race 10 </t>
  </si>
  <si>
    <t>Chaz Mostert, WR-032</t>
  </si>
  <si>
    <t xml:space="preserve">5:41:35 PM, Run 10/11 </t>
  </si>
  <si>
    <t>Aaron Cameron, BRT-001</t>
  </si>
  <si>
    <t xml:space="preserve">5:42:28 PM, Run 19 </t>
  </si>
  <si>
    <t>Anton De Pasquale, T18-004</t>
  </si>
  <si>
    <t xml:space="preserve">5:45:32 PM, Run 1 </t>
  </si>
  <si>
    <t>Declan Fraser, 888A-062</t>
  </si>
  <si>
    <t>Brodie Kostecki, DJRS09-MR</t>
  </si>
  <si>
    <t xml:space="preserve">5:57:03 PM, Run 11 </t>
  </si>
  <si>
    <t>Ryan Wood, WR-030</t>
  </si>
  <si>
    <t xml:space="preserve">6:01:54 PM, Run 11/12 </t>
  </si>
  <si>
    <t>Ruapuna Raceway, ITM Christchurch Super440</t>
  </si>
  <si>
    <t>Ruapuna, 2026 Christchurch Super 440</t>
  </si>
  <si>
    <t>Matt Payne, GR02</t>
  </si>
  <si>
    <t xml:space="preserve">5:59:48 PM, Runs all </t>
  </si>
  <si>
    <t>Ruapuna, 2026 Christchurch Super440</t>
  </si>
  <si>
    <t>Kai Allen, GR-03</t>
  </si>
  <si>
    <t xml:space="preserve">6:08:47 PM, Runs all Winner </t>
  </si>
  <si>
    <t>Fuel Used kg EOL [kg]</t>
  </si>
  <si>
    <t>Av Fuel Used [l]</t>
  </si>
  <si>
    <t>Fuel Used ECU Average [l]</t>
  </si>
  <si>
    <t>Fuel Used Dash Average [kg]</t>
  </si>
  <si>
    <t>Error</t>
  </si>
  <si>
    <t>Fuel Used ECU EOL [l]</t>
  </si>
  <si>
    <t>Fuel Used Dash EOL [kg]</t>
  </si>
  <si>
    <t>Fuel Used ECU [l]</t>
  </si>
  <si>
    <t>Fuel Used Dash Average [l]</t>
  </si>
  <si>
    <t>Fuel Density (kg/L)</t>
  </si>
  <si>
    <t>ECU</t>
  </si>
  <si>
    <t>Out, F, In (1.5 Laps)</t>
  </si>
  <si>
    <t>Total Required</t>
  </si>
  <si>
    <t xml:space="preserve">Fuel Requied </t>
  </si>
  <si>
    <t>Churn Required</t>
  </si>
  <si>
    <t>Max</t>
  </si>
  <si>
    <t>Average</t>
  </si>
  <si>
    <t>Lap Count</t>
  </si>
  <si>
    <t>Race Laps</t>
  </si>
  <si>
    <t xml:space="preserve">Churn Limit In Question </t>
  </si>
  <si>
    <t>Churn Size [l]</t>
  </si>
  <si>
    <t>Usable Tank [l]</t>
  </si>
  <si>
    <t>Max Fuel Used [l]</t>
  </si>
  <si>
    <t>DASH</t>
  </si>
  <si>
    <t>Out, Formation, In</t>
  </si>
  <si>
    <t>* ECU Sends Fuel Used in l, then combined with Fuel Error.</t>
  </si>
  <si>
    <t>* Dash Calculates Fuel Used in Kg, Fuel Error is included in the number</t>
  </si>
  <si>
    <t>* PROBLEM: Fuel Error is used to calibrate the Fuel Use from the Dash, no guarantee it is the same with the ECU</t>
  </si>
  <si>
    <t>Fuel Density Calculator</t>
  </si>
  <si>
    <t>Fuel Temp</t>
  </si>
  <si>
    <t>Av Fuel Used [kg]</t>
  </si>
  <si>
    <t>18/04/2026, Race 11</t>
  </si>
  <si>
    <t xml:space="preserve">1:44:48 PM, Run 1 </t>
  </si>
  <si>
    <t xml:space="preserve">1:44:55 PM, Run 1 </t>
  </si>
  <si>
    <t xml:space="preserve">1:45:11 PM, Run 16 </t>
  </si>
  <si>
    <t xml:space="preserve">1:45:18 PM, Run 1 </t>
  </si>
  <si>
    <t xml:space="preserve">1:45:20 PM, Run 1 </t>
  </si>
  <si>
    <t xml:space="preserve">1:45:21 PM, Run 1 </t>
  </si>
  <si>
    <t xml:space="preserve">1:46:13 PM, Run 1 </t>
  </si>
  <si>
    <t xml:space="preserve">1:46:45 PM, Race 11 </t>
  </si>
  <si>
    <t xml:space="preserve">1:46:54 PM, Run 1 </t>
  </si>
  <si>
    <t xml:space="preserve">1:47:17 PM, Run 1 </t>
  </si>
  <si>
    <t xml:space="preserve">1:47:42 PM, Race 11 </t>
  </si>
  <si>
    <t xml:space="preserve">1:47:56 PM, Run 15/16 </t>
  </si>
  <si>
    <t>18/04/2026, Race 12</t>
  </si>
  <si>
    <t xml:space="preserve">1:48:42 PM, Run 16.2 </t>
  </si>
  <si>
    <t xml:space="preserve">1:49:38 PM, Run 17 </t>
  </si>
  <si>
    <t xml:space="preserve">1:55:00 PM, Race 11 </t>
  </si>
  <si>
    <t xml:space="preserve">2:01:13 PM, Run 19/20 </t>
  </si>
  <si>
    <t xml:space="preserve">2:03:37 PM, Run 18 </t>
  </si>
  <si>
    <t xml:space="preserve">1:45:41 PM, Softs </t>
  </si>
  <si>
    <t xml:space="preserve">1:46:10 PM, Runs all </t>
  </si>
  <si>
    <t>Cam Hill, BJR020</t>
  </si>
  <si>
    <t xml:space="preserve">2:03:03 PM, Runs all </t>
  </si>
  <si>
    <t>Out, Formation, In Multiple</t>
  </si>
  <si>
    <t>Stoichiometric ratio for the e85 as 9.386.</t>
  </si>
  <si>
    <t>Molar mass of the e85 as 50.410</t>
  </si>
  <si>
    <t>The estimated Volumetric Coefficient of Thermal Expansion  (1/K) as 0.00107</t>
  </si>
  <si>
    <t>M1 Coeff[TE] as 0.8104 kg/m^3 / deg C</t>
  </si>
  <si>
    <t>Density at 25 deg C as 785.594 kg/m^3</t>
  </si>
  <si>
    <t>Fuel Density (kg/m^3)</t>
  </si>
  <si>
    <t>M1 Co-efficient (kg/m^3/C)</t>
  </si>
  <si>
    <t>Temperature</t>
  </si>
  <si>
    <t>Fuel Density</t>
  </si>
  <si>
    <t>Calculator</t>
  </si>
  <si>
    <t>See 'Fuel Properties' Sheet</t>
  </si>
  <si>
    <t xml:space="preserve">5:10:01 PM, Run 1 </t>
  </si>
  <si>
    <t xml:space="preserve">5:10:08 PM, Run 1 </t>
  </si>
  <si>
    <t xml:space="preserve">5:10:25 PM, Run 1 </t>
  </si>
  <si>
    <t xml:space="preserve">5:10:32 PM, Run 1 </t>
  </si>
  <si>
    <t xml:space="preserve">5:10:34 PM, Run 1 </t>
  </si>
  <si>
    <t xml:space="preserve">5:10:51 PM, Run 21/22 </t>
  </si>
  <si>
    <t xml:space="preserve">5:11:05 PM, Run 1 </t>
  </si>
  <si>
    <t xml:space="preserve">5:11:09 PM, Run 17 </t>
  </si>
  <si>
    <t xml:space="preserve">5:11:23 PM, Run 19 </t>
  </si>
  <si>
    <t xml:space="preserve">5:11:55 PM, Run 18/19 </t>
  </si>
  <si>
    <t xml:space="preserve">5:12:04 PM, Run 1 </t>
  </si>
  <si>
    <t xml:space="preserve">5:12:05 PM, Run 17 </t>
  </si>
  <si>
    <t xml:space="preserve">5:12:06 PM, Race 12 </t>
  </si>
  <si>
    <t xml:space="preserve">5:12:39 PM, Run 1 </t>
  </si>
  <si>
    <t xml:space="preserve">5:12:51 PM, Race 12 </t>
  </si>
  <si>
    <t xml:space="preserve">5:28:48 PM, Race 12 </t>
  </si>
  <si>
    <t xml:space="preserve">5:37:51 PM, Run 18 </t>
  </si>
  <si>
    <t xml:space="preserve">5:10:46 PM, Runs all </t>
  </si>
  <si>
    <t xml:space="preserve">5:11:00 PM, Super Softs </t>
  </si>
  <si>
    <t xml:space="preserve">5:45:56 PM, Runs 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</si>
</sst>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2"/>
      <color rgb="FF00000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2">
    <xf numFmtId="0" fontId="0" fillId="0" borderId="0" xfId="0"/>
    <xf numFmtId="47" fontId="0" fillId="0" borderId="0" xfId="0" applyNumberFormat="1"/>
    <xf numFmtId="0" fontId="2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164" fontId="0" fillId="0" borderId="8" xfId="0" applyNumberFormat="1" applyBorder="1" applyAlignment="1">
      <alignment horizontal="center"/>
    </xf>
    <xf numFmtId="0" fontId="0" fillId="0" borderId="9" xfId="0" applyBorder="1"/>
    <xf numFmtId="164" fontId="0" fillId="0" borderId="10" xfId="0" applyNumberFormat="1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164" fontId="0" fillId="0" borderId="13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19" fontId="0" fillId="0" borderId="0" xfId="0" applyNumberFormat="1"/>
    <xf numFmtId="0" fontId="1" fillId="0" borderId="0" xfId="0" applyFont="1"/>
    <xf numFmtId="0" fontId="0" fillId="0" borderId="1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8" xfId="0" applyFont="1" applyBorder="1"/>
    <xf numFmtId="0" fontId="0" fillId="0" borderId="10" xfId="0" applyBorder="1"/>
    <xf numFmtId="0" fontId="1" fillId="0" borderId="19" xfId="0" applyFont="1" applyBorder="1"/>
    <xf numFmtId="0" fontId="0" fillId="0" borderId="13" xfId="0" applyBorder="1"/>
    <xf numFmtId="0" fontId="1" fillId="0" borderId="20" xfId="0" applyFont="1" applyBorder="1"/>
    <xf numFmtId="0" fontId="0" fillId="0" borderId="21" xfId="0" applyBorder="1"/>
    <xf numFmtId="0" fontId="1" fillId="0" borderId="22" xfId="0" applyFont="1" applyBorder="1"/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10" fontId="0" fillId="0" borderId="31" xfId="1" applyNumberFormat="1" applyFont="1" applyBorder="1"/>
    <xf numFmtId="10" fontId="0" fillId="0" borderId="32" xfId="1" applyNumberFormat="1" applyFont="1" applyBorder="1"/>
    <xf numFmtId="10" fontId="0" fillId="0" borderId="33" xfId="1" applyNumberFormat="1" applyFont="1" applyBorder="1"/>
    <xf numFmtId="0" fontId="0" fillId="0" borderId="34" xfId="0" applyBorder="1"/>
    <xf numFmtId="0" fontId="1" fillId="0" borderId="35" xfId="0" applyFont="1" applyBorder="1" applyAlignment="1">
      <alignment horizontal="center" vertical="center" wrapText="1"/>
    </xf>
    <xf numFmtId="0" fontId="0" fillId="0" borderId="14" xfId="0" applyBorder="1"/>
    <xf numFmtId="0" fontId="0" fillId="0" borderId="36" xfId="0" applyBorder="1"/>
    <xf numFmtId="164" fontId="0" fillId="0" borderId="31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1" fillId="0" borderId="3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1" fillId="0" borderId="31" xfId="0" applyNumberFormat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0" borderId="17" xfId="0" applyNumberFormat="1" applyBorder="1" applyAlignment="1">
      <alignment horizontal="center"/>
    </xf>
    <xf numFmtId="2" fontId="0" fillId="0" borderId="39" xfId="0" applyNumberFormat="1" applyBorder="1" applyAlignment="1">
      <alignment horizontal="center" vertical="center"/>
    </xf>
    <xf numFmtId="2" fontId="0" fillId="2" borderId="39" xfId="0" applyNumberFormat="1" applyFill="1" applyBorder="1" applyAlignment="1">
      <alignment horizontal="center" vertical="center"/>
    </xf>
    <xf numFmtId="2" fontId="0" fillId="3" borderId="27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/>
    </xf>
    <xf numFmtId="2" fontId="0" fillId="3" borderId="28" xfId="0" applyNumberForma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/>
    </xf>
    <xf numFmtId="2" fontId="0" fillId="0" borderId="38" xfId="0" applyNumberFormat="1" applyBorder="1" applyAlignment="1">
      <alignment horizontal="center" vertical="center"/>
    </xf>
    <xf numFmtId="2" fontId="0" fillId="2" borderId="38" xfId="0" applyNumberFormat="1" applyFill="1" applyBorder="1" applyAlignment="1">
      <alignment horizontal="center" vertical="center"/>
    </xf>
    <xf numFmtId="2" fontId="0" fillId="3" borderId="29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4" xfId="0" applyFont="1" applyBorder="1"/>
    <xf numFmtId="0" fontId="0" fillId="0" borderId="34" xfId="0" applyBorder="1" applyAlignment="1">
      <alignment horizontal="center"/>
    </xf>
    <xf numFmtId="0" fontId="4" fillId="0" borderId="0" xfId="0" applyFont="1"/>
    <xf numFmtId="0" fontId="5" fillId="0" borderId="0" xfId="0" applyFont="1"/>
    <xf numFmtId="164" fontId="1" fillId="0" borderId="17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7" fillId="0" borderId="0" xfId="0" applyFont="1" applyAlignment="1">
      <alignment horizontal="left" vertical="center" indent="1"/>
    </xf>
    <xf numFmtId="0" fontId="6" fillId="4" borderId="37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P1'!$I$3:$I$6</c:f>
              <c:numCache>
                <c:formatCode>General</c:formatCode>
                <c:ptCount val="4"/>
                <c:pt idx="0">
                  <c:v>2.9932499999999997</c:v>
                </c:pt>
                <c:pt idx="1">
                  <c:v>3.0030000000000001</c:v>
                </c:pt>
                <c:pt idx="2">
                  <c:v>2.9347499999999997</c:v>
                </c:pt>
                <c:pt idx="3">
                  <c:v>2.9445000000000001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2-4504-8D34-F8AA456C53DC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P1'!$I$7:$I$9</c:f>
              <c:numCache>
                <c:formatCode>General</c:formatCode>
                <c:ptCount val="3"/>
                <c:pt idx="0">
                  <c:v>2.89575</c:v>
                </c:pt>
                <c:pt idx="1">
                  <c:v>2.8762500000000002</c:v>
                </c:pt>
                <c:pt idx="2">
                  <c:v>2.9445000000000001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2-4504-8D34-F8AA456C53DC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P1'!$I$10:$I$18</c:f>
              <c:numCache>
                <c:formatCode>General</c:formatCode>
                <c:ptCount val="9"/>
                <c:pt idx="0">
                  <c:v>2.9605799999999998</c:v>
                </c:pt>
                <c:pt idx="1">
                  <c:v>3.0209999999999999</c:v>
                </c:pt>
                <c:pt idx="2">
                  <c:v>3.0109300000000001</c:v>
                </c:pt>
                <c:pt idx="3">
                  <c:v>2.97065</c:v>
                </c:pt>
                <c:pt idx="4">
                  <c:v>3.0008599999999999</c:v>
                </c:pt>
                <c:pt idx="5">
                  <c:v>2.9605799999999998</c:v>
                </c:pt>
                <c:pt idx="6">
                  <c:v>2.97065</c:v>
                </c:pt>
                <c:pt idx="7">
                  <c:v>2.95051</c:v>
                </c:pt>
                <c:pt idx="8">
                  <c:v>2.9404399999999997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2-4504-8D34-F8AA456C53DC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P1'!$I$19:$I$27</c:f>
              <c:numCache>
                <c:formatCode>General</c:formatCode>
                <c:ptCount val="9"/>
                <c:pt idx="0">
                  <c:v>3.0306599999999997</c:v>
                </c:pt>
                <c:pt idx="1">
                  <c:v>3.0204900000000001</c:v>
                </c:pt>
                <c:pt idx="2">
                  <c:v>3.0204900000000001</c:v>
                </c:pt>
                <c:pt idx="3">
                  <c:v>3.0408300000000001</c:v>
                </c:pt>
                <c:pt idx="4">
                  <c:v>3.0204900000000001</c:v>
                </c:pt>
                <c:pt idx="5">
                  <c:v>3.0408300000000001</c:v>
                </c:pt>
                <c:pt idx="6">
                  <c:v>3.0408300000000001</c:v>
                </c:pt>
                <c:pt idx="7">
                  <c:v>3.0306599999999997</c:v>
                </c:pt>
                <c:pt idx="8">
                  <c:v>3.0408300000000001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12-4504-8D34-F8AA456C53DC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P1'!$I$28:$I$32</c:f>
              <c:numCache>
                <c:formatCode>General</c:formatCode>
                <c:ptCount val="5"/>
                <c:pt idx="0">
                  <c:v>3.0082</c:v>
                </c:pt>
                <c:pt idx="1">
                  <c:v>3.0419999999999998</c:v>
                </c:pt>
                <c:pt idx="2">
                  <c:v>3.0673499999999998</c:v>
                </c:pt>
                <c:pt idx="3">
                  <c:v>2.9236999999999997</c:v>
                </c:pt>
                <c:pt idx="4">
                  <c:v>3.0589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12-4504-8D34-F8AA456C53DC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P1'!$I$33:$I$38</c:f>
              <c:numCache>
                <c:formatCode>General</c:formatCode>
                <c:ptCount val="6"/>
                <c:pt idx="0">
                  <c:v>3.0867200000000001</c:v>
                </c:pt>
                <c:pt idx="1">
                  <c:v>3.1291199999999999</c:v>
                </c:pt>
                <c:pt idx="2">
                  <c:v>3.0782399999999996</c:v>
                </c:pt>
                <c:pt idx="3">
                  <c:v>3.0867200000000001</c:v>
                </c:pt>
                <c:pt idx="4">
                  <c:v>3.0443199999999999</c:v>
                </c:pt>
                <c:pt idx="5">
                  <c:v>2.8323199999999997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12-4504-8D34-F8AA456C53DC}"/>
            </c:ext>
          </c:extLst>
        </c:ser>
        <c:ser>
          <c:idx val="6"/>
          <c:order val="6"/>
          <c:tx>
            <c:v>Toy Av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'Fuel Consumption P1'!$AE$4:$AE$12</c:f>
              <c:numCache>
                <c:formatCode>0.0000</c:formatCode>
                <c:ptCount val="9"/>
                <c:pt idx="0">
                  <c:v>3.0314683333333332</c:v>
                </c:pt>
                <c:pt idx="1">
                  <c:v>3.0314683333333332</c:v>
                </c:pt>
                <c:pt idx="2">
                  <c:v>3.0314683333333332</c:v>
                </c:pt>
                <c:pt idx="3">
                  <c:v>3.0314683333333332</c:v>
                </c:pt>
                <c:pt idx="4">
                  <c:v>3.0314683333333332</c:v>
                </c:pt>
                <c:pt idx="5">
                  <c:v>3.0314683333333332</c:v>
                </c:pt>
                <c:pt idx="6">
                  <c:v>3.0314683333333332</c:v>
                </c:pt>
                <c:pt idx="7">
                  <c:v>3.0314683333333332</c:v>
                </c:pt>
                <c:pt idx="8">
                  <c:v>3.0314683333333332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12-4504-8D34-F8AA456C53DC}"/>
            </c:ext>
          </c:extLst>
        </c:ser>
        <c:ser>
          <c:idx val="7"/>
          <c:order val="7"/>
          <c:tx>
            <c:v>Ford Av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'Fuel Consumption P1'!$AD$4:$AD$12</c:f>
              <c:numCache>
                <c:formatCode>0.0000</c:formatCode>
                <c:ptCount val="9"/>
                <c:pt idx="0">
                  <c:v>3.0040172222222221</c:v>
                </c:pt>
                <c:pt idx="1">
                  <c:v>3.0040172222222221</c:v>
                </c:pt>
                <c:pt idx="2">
                  <c:v>3.0040172222222221</c:v>
                </c:pt>
                <c:pt idx="3">
                  <c:v>3.0040172222222221</c:v>
                </c:pt>
                <c:pt idx="4">
                  <c:v>3.0040172222222221</c:v>
                </c:pt>
                <c:pt idx="5">
                  <c:v>3.0040172222222221</c:v>
                </c:pt>
                <c:pt idx="6">
                  <c:v>3.0040172222222221</c:v>
                </c:pt>
                <c:pt idx="7">
                  <c:v>3.0040172222222221</c:v>
                </c:pt>
                <c:pt idx="8">
                  <c:v>3.0040172222222221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12-4504-8D34-F8AA456C53DC}"/>
            </c:ext>
          </c:extLst>
        </c:ser>
        <c:ser>
          <c:idx val="8"/>
          <c:order val="8"/>
          <c:tx>
            <c:v>GM Av</c:v>
          </c:tx>
          <c:spPr>
            <a:ln w="28575" cap="rnd">
              <a:solidFill>
                <a:srgbClr val="FFC000">
                  <a:alpha val="96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'Fuel Consumption P1'!$AC$4:$AC$12</c:f>
              <c:numCache>
                <c:formatCode>0.0000</c:formatCode>
                <c:ptCount val="9"/>
                <c:pt idx="0">
                  <c:v>2.9371874999999998</c:v>
                </c:pt>
                <c:pt idx="1">
                  <c:v>2.9371874999999998</c:v>
                </c:pt>
                <c:pt idx="2">
                  <c:v>2.9371874999999998</c:v>
                </c:pt>
                <c:pt idx="3">
                  <c:v>2.9371874999999998</c:v>
                </c:pt>
                <c:pt idx="4">
                  <c:v>2.9371874999999998</c:v>
                </c:pt>
                <c:pt idx="5">
                  <c:v>2.9371874999999998</c:v>
                </c:pt>
                <c:pt idx="6">
                  <c:v>2.9371874999999998</c:v>
                </c:pt>
                <c:pt idx="7">
                  <c:v>2.9371874999999998</c:v>
                </c:pt>
                <c:pt idx="8">
                  <c:v>2.9371874999999998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12-4504-8D34-F8AA456C5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Lap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P1'!$F$3:$F$6</c:f>
              <c:numCache>
                <c:formatCode>mm:ss.0</c:formatCode>
                <c:ptCount val="4"/>
                <c:pt idx="0">
                  <c:v>9.6689814814814804E-4</c:v>
                </c:pt>
                <c:pt idx="1">
                  <c:v>9.6436342592592591E-4</c:v>
                </c:pt>
                <c:pt idx="2">
                  <c:v>9.6650462962962966E-4</c:v>
                </c:pt>
                <c:pt idx="3">
                  <c:v>9.6582175925925926E-4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44-4115-A4A1-E900DB952E48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P1'!$F$7:$F$9</c:f>
              <c:numCache>
                <c:formatCode>mm:ss.0</c:formatCode>
                <c:ptCount val="3"/>
                <c:pt idx="0">
                  <c:v>9.5983796296296301E-4</c:v>
                </c:pt>
                <c:pt idx="1">
                  <c:v>9.5952546296296291E-4</c:v>
                </c:pt>
                <c:pt idx="2">
                  <c:v>9.5846064814814828E-4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44-4115-A4A1-E900DB952E48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P1'!$F$10:$F$18</c:f>
              <c:numCache>
                <c:formatCode>mm:ss.0</c:formatCode>
                <c:ptCount val="9"/>
                <c:pt idx="0">
                  <c:v>9.6070601851851851E-4</c:v>
                </c:pt>
                <c:pt idx="1">
                  <c:v>9.5596064814814816E-4</c:v>
                </c:pt>
                <c:pt idx="2">
                  <c:v>9.5956018518518526E-4</c:v>
                </c:pt>
                <c:pt idx="3">
                  <c:v>9.6086805555555563E-4</c:v>
                </c:pt>
                <c:pt idx="4">
                  <c:v>9.6310185185185192E-4</c:v>
                </c:pt>
                <c:pt idx="5">
                  <c:v>9.6378472222222221E-4</c:v>
                </c:pt>
                <c:pt idx="6">
                  <c:v>9.6354166666666669E-4</c:v>
                </c:pt>
                <c:pt idx="7">
                  <c:v>9.6450231481481484E-4</c:v>
                </c:pt>
                <c:pt idx="8">
                  <c:v>9.6423611111111113E-4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44-4115-A4A1-E900DB952E48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P1'!$F$19:$F$27</c:f>
              <c:numCache>
                <c:formatCode>mm:ss.0</c:formatCode>
                <c:ptCount val="9"/>
                <c:pt idx="0">
                  <c:v>9.589930555555556E-4</c:v>
                </c:pt>
                <c:pt idx="1">
                  <c:v>9.5741898148148151E-4</c:v>
                </c:pt>
                <c:pt idx="2">
                  <c:v>9.5932870370370367E-4</c:v>
                </c:pt>
                <c:pt idx="3">
                  <c:v>9.6094907407407403E-4</c:v>
                </c:pt>
                <c:pt idx="4">
                  <c:v>9.6003472222222226E-4</c:v>
                </c:pt>
                <c:pt idx="5">
                  <c:v>9.6181712962962963E-4</c:v>
                </c:pt>
                <c:pt idx="6">
                  <c:v>9.61701388888889E-4</c:v>
                </c:pt>
                <c:pt idx="7">
                  <c:v>9.6583333333333341E-4</c:v>
                </c:pt>
                <c:pt idx="8">
                  <c:v>9.5932870370370367E-4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44-4115-A4A1-E900DB952E48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P1'!$F$28:$F$32</c:f>
              <c:numCache>
                <c:formatCode>mm:ss.0</c:formatCode>
                <c:ptCount val="5"/>
                <c:pt idx="0">
                  <c:v>9.7315972222222226E-4</c:v>
                </c:pt>
                <c:pt idx="1">
                  <c:v>9.6621527777777775E-4</c:v>
                </c:pt>
                <c:pt idx="2">
                  <c:v>9.671990740740741E-4</c:v>
                </c:pt>
                <c:pt idx="3">
                  <c:v>9.9700231481481471E-4</c:v>
                </c:pt>
                <c:pt idx="4">
                  <c:v>9.6980324074074069E-4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44-4115-A4A1-E900DB952E48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P1'!$E$19:$E$27</c:f>
              <c:strCache>
                <c:ptCount val="9"/>
                <c:pt idx="0">
                  <c:v>Lap 1</c:v>
                </c:pt>
                <c:pt idx="1">
                  <c:v>Lap 2</c:v>
                </c:pt>
                <c:pt idx="2">
                  <c:v>Lap 3</c:v>
                </c:pt>
                <c:pt idx="3">
                  <c:v>Lap 4</c:v>
                </c:pt>
                <c:pt idx="4">
                  <c:v>Lap 5</c:v>
                </c:pt>
                <c:pt idx="5">
                  <c:v>Lap 6</c:v>
                </c:pt>
                <c:pt idx="6">
                  <c:v>Lap 7</c:v>
                </c:pt>
                <c:pt idx="7">
                  <c:v>Lap 8</c:v>
                </c:pt>
                <c:pt idx="8">
                  <c:v>Lap 9</c:v>
                </c:pt>
              </c:strCache>
            </c:strRef>
          </c:cat>
          <c:val>
            <c:numRef>
              <c:f>'DUMP P1'!$F$33:$F$38</c:f>
              <c:numCache>
                <c:formatCode>mm:ss.0</c:formatCode>
                <c:ptCount val="6"/>
                <c:pt idx="0">
                  <c:v>9.5938657407407398E-4</c:v>
                </c:pt>
                <c:pt idx="1">
                  <c:v>9.5937500000000005E-4</c:v>
                </c:pt>
                <c:pt idx="2">
                  <c:v>9.6060185185185181E-4</c:v>
                </c:pt>
                <c:pt idx="3">
                  <c:v>9.6292824074074076E-4</c:v>
                </c:pt>
                <c:pt idx="4">
                  <c:v>9.6765046296296302E-4</c:v>
                </c:pt>
                <c:pt idx="5">
                  <c:v>9.8697916666666682E-4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44-4115-A4A1-E900DB952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R10'!$I$3:$I$6</c:f>
              <c:numCache>
                <c:formatCode>General</c:formatCode>
                <c:ptCount val="4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06-421F-AA49-58C8B02CF76D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R10'!$I$7:$I$9</c:f>
              <c:numCache>
                <c:formatCode>General</c:formatCode>
                <c:ptCount val="3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06-421F-AA49-58C8B02CF76D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R10'!$I$10:$I$18</c:f>
              <c:numCache>
                <c:formatCode>General</c:formatCode>
                <c:ptCount val="9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  <c:pt idx="4">
                  <c:v>0.84799999999999998</c:v>
                </c:pt>
                <c:pt idx="5">
                  <c:v>0.84799999999999998</c:v>
                </c:pt>
                <c:pt idx="6">
                  <c:v>0.84799999999999998</c:v>
                </c:pt>
                <c:pt idx="7">
                  <c:v>0.84799999999999998</c:v>
                </c:pt>
                <c:pt idx="8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06-421F-AA49-58C8B02CF76D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R10'!$I$19:$I$27</c:f>
              <c:numCache>
                <c:formatCode>General</c:formatCode>
                <c:ptCount val="9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  <c:pt idx="4">
                  <c:v>0.84799999999999998</c:v>
                </c:pt>
                <c:pt idx="5">
                  <c:v>0.84799999999999998</c:v>
                </c:pt>
                <c:pt idx="6">
                  <c:v>0.84799999999999998</c:v>
                </c:pt>
                <c:pt idx="7">
                  <c:v>0.84799999999999998</c:v>
                </c:pt>
                <c:pt idx="8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06-421F-AA49-58C8B02CF76D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R10'!$I$28:$I$32</c:f>
              <c:numCache>
                <c:formatCode>General</c:formatCode>
                <c:ptCount val="5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  <c:pt idx="4">
                  <c:v>0.84799999999999998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06-421F-AA49-58C8B02CF76D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R10'!$I$33:$I$38</c:f>
              <c:numCache>
                <c:formatCode>General</c:formatCode>
                <c:ptCount val="6"/>
                <c:pt idx="0">
                  <c:v>0.84799999999999998</c:v>
                </c:pt>
                <c:pt idx="1">
                  <c:v>0.84799999999999998</c:v>
                </c:pt>
                <c:pt idx="2">
                  <c:v>0.84799999999999998</c:v>
                </c:pt>
                <c:pt idx="3">
                  <c:v>0.84799999999999998</c:v>
                </c:pt>
                <c:pt idx="4">
                  <c:v>1.0069999999999999</c:v>
                </c:pt>
                <c:pt idx="5">
                  <c:v>1.0069999999999999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06-421F-AA49-58C8B02CF76D}"/>
            </c:ext>
          </c:extLst>
        </c:ser>
        <c:ser>
          <c:idx val="6"/>
          <c:order val="6"/>
          <c:tx>
            <c:v>Toy Av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'FC R10'!$AU$9:$AU$21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06-421F-AA49-58C8B02CF76D}"/>
            </c:ext>
          </c:extLst>
        </c:ser>
        <c:ser>
          <c:idx val="7"/>
          <c:order val="7"/>
          <c:tx>
            <c:v>Ford Av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'FC R10'!$AT$9:$AT$21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806-421F-AA49-58C8B02CF76D}"/>
            </c:ext>
          </c:extLst>
        </c:ser>
        <c:ser>
          <c:idx val="8"/>
          <c:order val="8"/>
          <c:tx>
            <c:v>GM Av</c:v>
          </c:tx>
          <c:spPr>
            <a:ln w="28575" cap="rnd">
              <a:solidFill>
                <a:srgbClr val="FFC000">
                  <a:alpha val="96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'FC R10'!$AS$9:$AS$21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806-421F-AA49-58C8B02CF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Lap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R10'!$F$3:$F$6</c:f>
              <c:numCache>
                <c:formatCode>mm:ss.0</c:formatCode>
                <c:ptCount val="4"/>
                <c:pt idx="0">
                  <c:v>9.9381944444444452E-4</c:v>
                </c:pt>
                <c:pt idx="1">
                  <c:v>9.8560185185185187E-4</c:v>
                </c:pt>
                <c:pt idx="2">
                  <c:v>9.8211805555555552E-4</c:v>
                </c:pt>
                <c:pt idx="3">
                  <c:v>9.822453703703703E-4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70-4CAD-8411-6640ECC530F4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R10'!$F$7:$F$9</c:f>
              <c:numCache>
                <c:formatCode>mm:ss.0</c:formatCode>
                <c:ptCount val="3"/>
                <c:pt idx="0">
                  <c:v>9.7726851851851859E-4</c:v>
                </c:pt>
                <c:pt idx="1">
                  <c:v>9.7600694444444438E-4</c:v>
                </c:pt>
                <c:pt idx="2">
                  <c:v>9.7504629629629634E-4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70-4CAD-8411-6640ECC530F4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R10'!$F$10:$F$18</c:f>
              <c:numCache>
                <c:formatCode>mm:ss.0</c:formatCode>
                <c:ptCount val="9"/>
                <c:pt idx="0">
                  <c:v>9.7607638888888885E-4</c:v>
                </c:pt>
                <c:pt idx="1">
                  <c:v>9.7620370370370363E-4</c:v>
                </c:pt>
                <c:pt idx="2">
                  <c:v>9.7936342592592606E-4</c:v>
                </c:pt>
                <c:pt idx="3">
                  <c:v>9.7829861111111121E-4</c:v>
                </c:pt>
                <c:pt idx="4">
                  <c:v>9.7986111111111104E-4</c:v>
                </c:pt>
                <c:pt idx="5">
                  <c:v>9.7796296296296281E-4</c:v>
                </c:pt>
                <c:pt idx="6">
                  <c:v>9.7787037037037026E-4</c:v>
                </c:pt>
                <c:pt idx="7">
                  <c:v>9.8187500000000011E-4</c:v>
                </c:pt>
                <c:pt idx="8">
                  <c:v>9.7870370370370364E-4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70-4CAD-8411-6640ECC530F4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R10'!$F$19:$F$27</c:f>
              <c:numCache>
                <c:formatCode>mm:ss.0</c:formatCode>
                <c:ptCount val="9"/>
                <c:pt idx="0">
                  <c:v>9.8074074074074079E-4</c:v>
                </c:pt>
                <c:pt idx="1">
                  <c:v>9.7940972222222223E-4</c:v>
                </c:pt>
                <c:pt idx="2">
                  <c:v>9.7835648148148152E-4</c:v>
                </c:pt>
                <c:pt idx="3">
                  <c:v>9.7836805555555567E-4</c:v>
                </c:pt>
                <c:pt idx="4">
                  <c:v>9.798263888888888E-4</c:v>
                </c:pt>
                <c:pt idx="5">
                  <c:v>9.6520833333333343E-4</c:v>
                </c:pt>
                <c:pt idx="6">
                  <c:v>9.6666666666666667E-4</c:v>
                </c:pt>
                <c:pt idx="7">
                  <c:v>9.6870370370370372E-4</c:v>
                </c:pt>
                <c:pt idx="8">
                  <c:v>9.726967592592592E-4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70-4CAD-8411-6640ECC530F4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R10'!$F$28:$F$32</c:f>
              <c:numCache>
                <c:formatCode>mm:ss.0</c:formatCode>
                <c:ptCount val="5"/>
                <c:pt idx="0">
                  <c:v>9.7148148148148159E-4</c:v>
                </c:pt>
                <c:pt idx="1">
                  <c:v>9.7217592592592592E-4</c:v>
                </c:pt>
                <c:pt idx="2">
                  <c:v>9.7194444444444444E-4</c:v>
                </c:pt>
                <c:pt idx="3">
                  <c:v>9.7042824074074078E-4</c:v>
                </c:pt>
                <c:pt idx="4">
                  <c:v>9.6858796296296309E-4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70-4CAD-8411-6640ECC530F4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R10'!$E$19:$E$27</c:f>
              <c:strCache>
                <c:ptCount val="9"/>
                <c:pt idx="0">
                  <c:v>Lap 19</c:v>
                </c:pt>
                <c:pt idx="1">
                  <c:v>Lap 20</c:v>
                </c:pt>
                <c:pt idx="2">
                  <c:v>Lap 21</c:v>
                </c:pt>
                <c:pt idx="3">
                  <c:v>Lap 22</c:v>
                </c:pt>
                <c:pt idx="4">
                  <c:v>Lap 23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R10'!$F$33:$F$38</c:f>
              <c:numCache>
                <c:formatCode>mm:ss.0</c:formatCode>
                <c:ptCount val="6"/>
                <c:pt idx="0">
                  <c:v>9.6968750000000006E-4</c:v>
                </c:pt>
                <c:pt idx="1">
                  <c:v>9.7152777777777775E-4</c:v>
                </c:pt>
                <c:pt idx="2">
                  <c:v>9.7802083333333335E-4</c:v>
                </c:pt>
                <c:pt idx="3">
                  <c:v>9.7740740740740752E-4</c:v>
                </c:pt>
                <c:pt idx="4">
                  <c:v>9.8878472222222228E-4</c:v>
                </c:pt>
                <c:pt idx="5">
                  <c:v>9.8295138888888889E-4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70-4CAD-8411-6640ECC53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R11'!$I$3:$I$6</c:f>
              <c:numCache>
                <c:formatCode>General</c:formatCode>
                <c:ptCount val="4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0.96499999999999997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1-4F43-9861-4DC129C95BAA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R11'!$I$7:$I$9</c:f>
              <c:numCache>
                <c:formatCode>General</c:formatCode>
                <c:ptCount val="3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1-4F43-9861-4DC129C95BAA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R11'!$I$10:$I$18</c:f>
              <c:numCache>
                <c:formatCode>General</c:formatCode>
                <c:ptCount val="9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0.96499999999999997</c:v>
                </c:pt>
                <c:pt idx="4">
                  <c:v>0.96499999999999997</c:v>
                </c:pt>
                <c:pt idx="5">
                  <c:v>0.96499999999999997</c:v>
                </c:pt>
                <c:pt idx="6">
                  <c:v>0.96499999999999997</c:v>
                </c:pt>
                <c:pt idx="7">
                  <c:v>0.96499999999999997</c:v>
                </c:pt>
                <c:pt idx="8">
                  <c:v>0.96499999999999997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1-4F43-9861-4DC129C95BAA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R11'!$I$19:$I$27</c:f>
              <c:numCache>
                <c:formatCode>General</c:formatCode>
                <c:ptCount val="9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0.96499999999999997</c:v>
                </c:pt>
                <c:pt idx="4">
                  <c:v>0.96499999999999997</c:v>
                </c:pt>
                <c:pt idx="5">
                  <c:v>0.96499999999999997</c:v>
                </c:pt>
                <c:pt idx="6">
                  <c:v>0.96499999999999997</c:v>
                </c:pt>
                <c:pt idx="7">
                  <c:v>0.96499999999999997</c:v>
                </c:pt>
                <c:pt idx="8">
                  <c:v>0.96499999999999997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91-4F43-9861-4DC129C95BAA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R11'!$I$28:$I$32</c:f>
              <c:numCache>
                <c:formatCode>General</c:formatCode>
                <c:ptCount val="5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0.96499999999999997</c:v>
                </c:pt>
                <c:pt idx="4">
                  <c:v>0.96499999999999997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91-4F43-9861-4DC129C95BAA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R11'!$I$33:$I$38</c:f>
              <c:numCache>
                <c:formatCode>General</c:formatCode>
                <c:ptCount val="6"/>
                <c:pt idx="0">
                  <c:v>0.96499999999999997</c:v>
                </c:pt>
                <c:pt idx="1">
                  <c:v>0.96499999999999997</c:v>
                </c:pt>
                <c:pt idx="2">
                  <c:v>0.96499999999999997</c:v>
                </c:pt>
                <c:pt idx="3">
                  <c:v>0.96499999999999997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91-4F43-9861-4DC129C95BAA}"/>
            </c:ext>
          </c:extLst>
        </c:ser>
        <c:ser>
          <c:idx val="6"/>
          <c:order val="6"/>
          <c:tx>
            <c:v>Toy Av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'FC R11'!$AU$9:$AU$21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91-4F43-9861-4DC129C95BAA}"/>
            </c:ext>
          </c:extLst>
        </c:ser>
        <c:ser>
          <c:idx val="7"/>
          <c:order val="7"/>
          <c:tx>
            <c:v>Ford Av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'FC R11'!$AT$9:$AT$21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91-4F43-9861-4DC129C95BAA}"/>
            </c:ext>
          </c:extLst>
        </c:ser>
        <c:ser>
          <c:idx val="8"/>
          <c:order val="8"/>
          <c:tx>
            <c:v>GM Av</c:v>
          </c:tx>
          <c:spPr>
            <a:ln w="28575" cap="rnd">
              <a:solidFill>
                <a:srgbClr val="FFC000">
                  <a:alpha val="96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'FC R11'!$AS$9:$AS$21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91-4F43-9861-4DC129C95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Lap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R11'!$F$3:$F$6</c:f>
              <c:numCache>
                <c:formatCode>mm:ss.0</c:formatCode>
                <c:ptCount val="4"/>
                <c:pt idx="0">
                  <c:v>9.9723379629629641E-4</c:v>
                </c:pt>
                <c:pt idx="1">
                  <c:v>9.7789351851851856E-4</c:v>
                </c:pt>
                <c:pt idx="2">
                  <c:v>9.9225694444444448E-4</c:v>
                </c:pt>
                <c:pt idx="3">
                  <c:v>9.7555555555555546E-4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0-4074-A709-79B506409863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R11'!$F$7:$F$9</c:f>
              <c:numCache>
                <c:formatCode>mm:ss.0</c:formatCode>
                <c:ptCount val="3"/>
                <c:pt idx="0">
                  <c:v>9.7498842592592602E-4</c:v>
                </c:pt>
                <c:pt idx="1">
                  <c:v>9.7939814814814829E-4</c:v>
                </c:pt>
                <c:pt idx="2">
                  <c:v>9.7883101851851842E-4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0-4074-A709-79B506409863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R11'!$F$10:$F$18</c:f>
              <c:numCache>
                <c:formatCode>mm:ss.0</c:formatCode>
                <c:ptCount val="9"/>
                <c:pt idx="0">
                  <c:v>9.7726851851851859E-4</c:v>
                </c:pt>
                <c:pt idx="1">
                  <c:v>9.6320601851851851E-4</c:v>
                </c:pt>
                <c:pt idx="2">
                  <c:v>9.6224537037037047E-4</c:v>
                </c:pt>
                <c:pt idx="3">
                  <c:v>9.6289351851851853E-4</c:v>
                </c:pt>
                <c:pt idx="4">
                  <c:v>9.6372685185185179E-4</c:v>
                </c:pt>
                <c:pt idx="5">
                  <c:v>9.6592592592592596E-4</c:v>
                </c:pt>
                <c:pt idx="6">
                  <c:v>9.6597222222222234E-4</c:v>
                </c:pt>
                <c:pt idx="7">
                  <c:v>9.6968750000000006E-4</c:v>
                </c:pt>
                <c:pt idx="8">
                  <c:v>9.7032407407407408E-4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B0-4074-A709-79B506409863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R11'!$F$19:$F$27</c:f>
              <c:numCache>
                <c:formatCode>mm:ss.0</c:formatCode>
                <c:ptCount val="9"/>
                <c:pt idx="0">
                  <c:v>9.7061342592592598E-4</c:v>
                </c:pt>
                <c:pt idx="1">
                  <c:v>9.7489583333333326E-4</c:v>
                </c:pt>
                <c:pt idx="2">
                  <c:v>9.7824074074074068E-4</c:v>
                </c:pt>
                <c:pt idx="3">
                  <c:v>9.7859953703703715E-4</c:v>
                </c:pt>
                <c:pt idx="4">
                  <c:v>9.7402777777777787E-4</c:v>
                </c:pt>
                <c:pt idx="5">
                  <c:v>9.7591435185185183E-4</c:v>
                </c:pt>
                <c:pt idx="6">
                  <c:v>9.7568287037037046E-4</c:v>
                </c:pt>
                <c:pt idx="7">
                  <c:v>9.7789351851851856E-4</c:v>
                </c:pt>
                <c:pt idx="8">
                  <c:v>9.8142361111111108E-4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B0-4074-A709-79B506409863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R11'!$F$28:$F$32</c:f>
              <c:numCache>
                <c:formatCode>mm:ss.0</c:formatCode>
                <c:ptCount val="5"/>
                <c:pt idx="0">
                  <c:v>9.7732638888888891E-4</c:v>
                </c:pt>
                <c:pt idx="1">
                  <c:v>9.7832175925925929E-4</c:v>
                </c:pt>
                <c:pt idx="2">
                  <c:v>9.7740740740740752E-4</c:v>
                </c:pt>
                <c:pt idx="3">
                  <c:v>9.7928240740740745E-4</c:v>
                </c:pt>
                <c:pt idx="4">
                  <c:v>9.8136574074074055E-4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B0-4074-A709-79B506409863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'DUMP R11'!$E$19:$E$27</c:f>
              <c:strCache>
                <c:ptCount val="9"/>
                <c:pt idx="0">
                  <c:v>Lap 20</c:v>
                </c:pt>
                <c:pt idx="1">
                  <c:v>Lap 21</c:v>
                </c:pt>
                <c:pt idx="2">
                  <c:v>Lap 22</c:v>
                </c:pt>
                <c:pt idx="3">
                  <c:v>Lap 23</c:v>
                </c:pt>
                <c:pt idx="4">
                  <c:v>Lap 24</c:v>
                </c:pt>
                <c:pt idx="5">
                  <c:v>Lap 25</c:v>
                </c:pt>
                <c:pt idx="6">
                  <c:v>Lap 26</c:v>
                </c:pt>
                <c:pt idx="7">
                  <c:v>Lap 27</c:v>
                </c:pt>
                <c:pt idx="8">
                  <c:v>Lap 28</c:v>
                </c:pt>
              </c:strCache>
            </c:strRef>
          </c:cat>
          <c:val>
            <c:numRef>
              <c:f>'DUMP R11'!$F$33:$F$38</c:f>
              <c:numCache>
                <c:formatCode>mm:ss.0</c:formatCode>
                <c:ptCount val="6"/>
                <c:pt idx="0">
                  <c:v>9.954166666666668E-4</c:v>
                </c:pt>
                <c:pt idx="1">
                  <c:v>9.8288194444444443E-4</c:v>
                </c:pt>
                <c:pt idx="2">
                  <c:v>9.8241898148148147E-4</c:v>
                </c:pt>
                <c:pt idx="3">
                  <c:v>9.8420138888888884E-4</c:v>
                </c:pt>
                <c:pt idx="4">
                  <c:v>9.7835648148148152E-4</c:v>
                </c:pt>
                <c:pt idx="5">
                  <c:v>9.7651620370370362E-4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CB0-4074-A709-79B506409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Fuel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R12'!$I$3:$I$6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A4-45B3-8AD4-1A73B712D7AA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R12'!$I$7:$I$9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4-45B3-8AD4-1A73B712D7AA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R12'!$I$10:$I$18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4-45B3-8AD4-1A73B712D7AA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R12'!$I$19:$I$27</c:f>
              <c:numCache>
                <c:formatCode>General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4-45B3-8AD4-1A73B712D7AA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R12'!$I$28:$I$32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4-45B3-8AD4-1A73B712D7AA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R12'!$I$33:$I$38</c:f>
              <c:numCache>
                <c:formatCode>General</c:formatCode>
                <c:ptCount val="6"/>
                <c:pt idx="3">
                  <c:v>0.96599999999999997</c:v>
                </c:pt>
                <c:pt idx="4">
                  <c:v>0.96599999999999997</c:v>
                </c:pt>
                <c:pt idx="5">
                  <c:v>0.96599999999999997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4-45B3-8AD4-1A73B712D7AA}"/>
            </c:ext>
          </c:extLst>
        </c:ser>
        <c:ser>
          <c:idx val="6"/>
          <c:order val="6"/>
          <c:tx>
            <c:v>Toy Av</c:v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'FC R12'!$AU$9:$AU$21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A4-45B3-8AD4-1A73B712D7AA}"/>
            </c:ext>
          </c:extLst>
        </c:ser>
        <c:ser>
          <c:idx val="7"/>
          <c:order val="7"/>
          <c:tx>
            <c:v>Ford Av</c:v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'FC R12'!$AT$9:$AT$21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BA4-45B3-8AD4-1A73B712D7AA}"/>
            </c:ext>
          </c:extLst>
        </c:ser>
        <c:ser>
          <c:idx val="8"/>
          <c:order val="8"/>
          <c:tx>
            <c:v>GM Av</c:v>
          </c:tx>
          <c:spPr>
            <a:ln w="28575" cap="rnd">
              <a:solidFill>
                <a:srgbClr val="FFC000">
                  <a:alpha val="96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'FC R12'!$AS$9:$AS$21</c:f>
              <c:numCache>
                <c:formatCode>0.0000</c:formatCode>
                <c:ptCount val="13"/>
                <c:pt idx="0">
                  <c:v>0</c:v>
                </c:pt>
                <c:pt idx="1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BA4-45B3-8AD4-1A73B712D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Lap Times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Car 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FF00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R12'!$F$3:$F$6</c:f>
              <c:numCache>
                <c:formatCode>mm:ss.0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9-42E3-9127-DDABC87B54F9}"/>
            </c:ext>
          </c:extLst>
        </c:ser>
        <c:ser>
          <c:idx val="1"/>
          <c:order val="1"/>
          <c:tx>
            <c:v>Car 20</c:v>
          </c:tx>
          <c:spPr>
            <a:ln w="28575" cap="rnd">
              <a:solidFill>
                <a:srgbClr val="FFC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FFC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R12'!$F$7:$F$9</c:f>
              <c:numCache>
                <c:formatCode>mm:ss.0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19-42E3-9127-DDABC87B54F9}"/>
            </c:ext>
          </c:extLst>
        </c:ser>
        <c:ser>
          <c:idx val="2"/>
          <c:order val="2"/>
          <c:tx>
            <c:v>Car 55</c:v>
          </c:tx>
          <c:spPr>
            <a:ln w="28575" cap="rnd">
              <a:solidFill>
                <a:srgbClr val="0070C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R12'!$F$10:$F$18</c:f>
              <c:numCache>
                <c:formatCode>mm:ss.0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9-42E3-9127-DDABC87B54F9}"/>
            </c:ext>
          </c:extLst>
        </c:ser>
        <c:ser>
          <c:idx val="3"/>
          <c:order val="3"/>
          <c:tx>
            <c:v>Car 6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R12'!$F$19:$F$27</c:f>
              <c:numCache>
                <c:formatCode>mm:ss.0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19-42E3-9127-DDABC87B54F9}"/>
            </c:ext>
          </c:extLst>
        </c:ser>
        <c:ser>
          <c:idx val="4"/>
          <c:order val="4"/>
          <c:tx>
            <c:v>Car 96</c:v>
          </c:tx>
          <c:spPr>
            <a:ln w="28575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R12'!$F$28:$F$32</c:f>
              <c:numCache>
                <c:formatCode>mm:ss.0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19-42E3-9127-DDABC87B54F9}"/>
            </c:ext>
          </c:extLst>
        </c:ser>
        <c:ser>
          <c:idx val="5"/>
          <c:order val="5"/>
          <c:tx>
            <c:v>Car 8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20000"/>
                  <a:lumOff val="80000"/>
                </a:schemeClr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'DUMP R12'!$E$19:$E$27</c:f>
              <c:numCache>
                <c:formatCode>General</c:formatCode>
                <c:ptCount val="9"/>
              </c:numCache>
            </c:numRef>
          </c:cat>
          <c:val>
            <c:numRef>
              <c:f>'DUMP R12'!$F$33:$F$38</c:f>
              <c:numCache>
                <c:formatCode>mm:ss.0</c:formatCode>
                <c:ptCount val="6"/>
                <c:pt idx="3">
                  <c:v>9.919444444444446E-4</c:v>
                </c:pt>
                <c:pt idx="4">
                  <c:v>9.7539351851851856E-4</c:v>
                </c:pt>
                <c:pt idx="5">
                  <c:v>9.7591435185185183E-4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19-42E3-9127-DDABC87B5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732975"/>
        <c:axId val="118737295"/>
      </c:lineChart>
      <c:catAx>
        <c:axId val="118732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7295"/>
        <c:crosses val="autoZero"/>
        <c:auto val="1"/>
        <c:lblAlgn val="ctr"/>
        <c:lblOffset val="100"/>
        <c:noMultiLvlLbl val="0"/>
      </c:catAx>
      <c:valAx>
        <c:axId val="11873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32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515619</xdr:colOff>
      <xdr:row>7</xdr:row>
      <xdr:rowOff>22860</xdr:rowOff>
    </xdr:from>
    <xdr:to>
      <xdr:col>20</xdr:col>
      <xdr:colOff>274319</xdr:colOff>
      <xdr:row>29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42E15-518C-452B-3B6B-BCBD29DBE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679" y="1386840"/>
          <a:ext cx="7683500" cy="425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379336</xdr:colOff>
      <xdr:row>11</xdr:row>
      <xdr:rowOff>108728</xdr:rowOff>
    </xdr:from>
    <xdr:to>
      <xdr:col>9</xdr:col>
      <xdr:colOff>1039907</xdr:colOff>
      <xdr:row>33</xdr:row>
      <xdr:rowOff>98612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AD9EB0-9FBD-4342-B207-79A2A0995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114813</xdr:colOff>
      <xdr:row>11</xdr:row>
      <xdr:rowOff>103093</xdr:rowOff>
    </xdr:from>
    <xdr:to>
      <xdr:col>21</xdr:col>
      <xdr:colOff>152401</xdr:colOff>
      <xdr:row>33</xdr:row>
      <xdr:rowOff>89647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0799FA-E6EE-4B4D-B666-C74954B77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155219</xdr:colOff>
      <xdr:row>37</xdr:row>
      <xdr:rowOff>110357</xdr:rowOff>
    </xdr:from>
    <xdr:to>
      <xdr:col>61</xdr:col>
      <xdr:colOff>259162</xdr:colOff>
      <xdr:row>59</xdr:row>
      <xdr:rowOff>86387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4672F-4A84-481B-BBBB-9D73A00EE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156377</xdr:colOff>
      <xdr:row>3</xdr:row>
      <xdr:rowOff>120207</xdr:rowOff>
    </xdr:from>
    <xdr:to>
      <xdr:col>61</xdr:col>
      <xdr:colOff>275462</xdr:colOff>
      <xdr:row>36</xdr:row>
      <xdr:rowOff>51344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7C3DA-FA6D-49F9-A0FD-9488C2C3C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155219</xdr:colOff>
      <xdr:row>37</xdr:row>
      <xdr:rowOff>110357</xdr:rowOff>
    </xdr:from>
    <xdr:to>
      <xdr:col>61</xdr:col>
      <xdr:colOff>259162</xdr:colOff>
      <xdr:row>59</xdr:row>
      <xdr:rowOff>86387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44C617-64D9-49F2-AC51-278E074A55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156377</xdr:colOff>
      <xdr:row>3</xdr:row>
      <xdr:rowOff>120207</xdr:rowOff>
    </xdr:from>
    <xdr:to>
      <xdr:col>61</xdr:col>
      <xdr:colOff>275462</xdr:colOff>
      <xdr:row>36</xdr:row>
      <xdr:rowOff>51344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7D8EE-6B94-45D2-8F57-D54B3977D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155219</xdr:colOff>
      <xdr:row>37</xdr:row>
      <xdr:rowOff>110357</xdr:rowOff>
    </xdr:from>
    <xdr:to>
      <xdr:col>61</xdr:col>
      <xdr:colOff>259162</xdr:colOff>
      <xdr:row>59</xdr:row>
      <xdr:rowOff>86387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A98479-EF70-4889-AB00-F342C9A5A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48</xdr:col>
      <xdr:colOff>156377</xdr:colOff>
      <xdr:row>3</xdr:row>
      <xdr:rowOff>120207</xdr:rowOff>
    </xdr:from>
    <xdr:to>
      <xdr:col>61</xdr:col>
      <xdr:colOff>275462</xdr:colOff>
      <xdr:row>36</xdr:row>
      <xdr:rowOff>51344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3A6342-A6DA-4D26-BB05-210B21259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4C53B-7A25-4AC0-934D-C5DE66106408}">
  <sheetPr>
    <tabColor theme="1"/>
  </sheetPr>
  <dimension ref="B3:C16"/>
  <sheetViews>
    <sheetView showGridLines="0" workbookViewId="0">
      <selection activeCell="C7" sqref="C7"/>
    </sheetView>
  </sheetViews>
  <sheetFormatPr defaultRowHeight="14.4" x14ac:dyDescent="0.3"/>
  <cols>
    <col min="2" max="2" width="24.6640625" customWidth="1"/>
  </cols>
  <sheetData>
    <row r="3" spans="2:3" x14ac:dyDescent="0.3">
      <c r="B3" s="81" t="s">
        <v>167</v>
      </c>
      <c r="C3" s="82">
        <v>785.59400000000005</v>
      </c>
    </row>
    <row r="4" spans="2:3" x14ac:dyDescent="0.3">
      <c r="B4" s="81" t="s">
        <v>168</v>
      </c>
      <c r="C4" s="50">
        <v>0.81040000000000001</v>
      </c>
    </row>
    <row r="6" spans="2:3" ht="21" x14ac:dyDescent="0.4">
      <c r="B6" s="2" t="s">
        <v>171</v>
      </c>
    </row>
    <row r="7" spans="2:3" x14ac:dyDescent="0.3">
      <c r="B7" s="23" t="s">
        <v>169</v>
      </c>
      <c r="C7">
        <v>20</v>
      </c>
    </row>
    <row r="8" spans="2:3" x14ac:dyDescent="0.3">
      <c r="B8" s="23" t="s">
        <v>170</v>
      </c>
      <c r="C8">
        <f>C3+C4*(25-C7)</f>
        <v>789.64600000000007</v>
      </c>
    </row>
    <row r="12" spans="2:3" ht="15.6" x14ac:dyDescent="0.3">
      <c r="B12" s="88" t="s">
        <v>162</v>
      </c>
    </row>
    <row r="13" spans="2:3" ht="15.6" x14ac:dyDescent="0.3">
      <c r="B13" s="88" t="s">
        <v>163</v>
      </c>
    </row>
    <row r="14" spans="2:3" ht="15.6" x14ac:dyDescent="0.3">
      <c r="B14" s="88" t="s">
        <v>164</v>
      </c>
    </row>
    <row r="15" spans="2:3" ht="15.6" x14ac:dyDescent="0.3">
      <c r="B15" s="88" t="s">
        <v>165</v>
      </c>
    </row>
    <row r="16" spans="2:3" ht="15.6" x14ac:dyDescent="0.3">
      <c r="B16" s="88" t="s">
        <v>166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862F-441A-4320-BC59-B2E43AC806D6}">
  <sheetPr>
    <tabColor theme="0"/>
  </sheetPr>
  <dimension ref="B2:AE12"/>
  <sheetViews>
    <sheetView showGridLines="0" zoomScale="85" zoomScaleNormal="85" workbookViewId="0">
      <selection activeCell="N6" sqref="N6"/>
    </sheetView>
  </sheetViews>
  <sheetFormatPr defaultRowHeight="14.4" x14ac:dyDescent="0.3"/>
  <cols>
    <col min="2" max="2" width="22.109375" customWidth="1"/>
    <col min="8" max="8" width="9.44140625" customWidth="1"/>
    <col min="9" max="9" width="25.88671875" customWidth="1"/>
    <col min="10" max="10" width="8.5546875" customWidth="1"/>
    <col min="11" max="11" width="26.44140625" customWidth="1"/>
    <col min="12" max="20" width="9" customWidth="1"/>
  </cols>
  <sheetData>
    <row r="2" spans="2:31" ht="21.6" thickBot="1" x14ac:dyDescent="0.45">
      <c r="B2" s="2" t="s">
        <v>28</v>
      </c>
    </row>
    <row r="3" spans="2:31" ht="15" thickBot="1" x14ac:dyDescent="0.35">
      <c r="AC3" s="19" t="s">
        <v>30</v>
      </c>
      <c r="AD3" s="7" t="s">
        <v>31</v>
      </c>
      <c r="AE3" s="8" t="s">
        <v>29</v>
      </c>
    </row>
    <row r="4" spans="2:31" ht="15" thickBot="1" x14ac:dyDescent="0.35">
      <c r="C4" s="25" t="s">
        <v>30</v>
      </c>
      <c r="D4" s="26" t="s">
        <v>31</v>
      </c>
      <c r="E4" s="27" t="s">
        <v>29</v>
      </c>
      <c r="G4" s="6" t="s">
        <v>34</v>
      </c>
      <c r="H4" s="7" t="s">
        <v>32</v>
      </c>
      <c r="I4" s="7" t="s">
        <v>33</v>
      </c>
      <c r="J4" s="7" t="s">
        <v>36</v>
      </c>
      <c r="K4" s="8" t="s">
        <v>35</v>
      </c>
      <c r="Z4" s="20"/>
      <c r="AA4" s="3"/>
      <c r="AB4" s="20" t="s">
        <v>7</v>
      </c>
      <c r="AC4" s="3">
        <f t="shared" ref="AC4:AC12" si="0">$C$5</f>
        <v>2.9371874999999998</v>
      </c>
      <c r="AD4" s="3">
        <f t="shared" ref="AD4:AD12" si="1">$D$5</f>
        <v>3.0040172222222221</v>
      </c>
      <c r="AE4" s="3">
        <f t="shared" ref="AE4:AE12" si="2">$E$5</f>
        <v>3.0314683333333332</v>
      </c>
    </row>
    <row r="5" spans="2:31" x14ac:dyDescent="0.3">
      <c r="B5" s="34" t="s">
        <v>39</v>
      </c>
      <c r="C5" s="35" cm="1">
        <f t="array" ref="C5">_xlfn.LET(_xlpm.data, $G$5:$K$10,
     _xlpm.filtered, _xlfn._xlws.FILTER(_xlpm.data, $G$5:$G$10='Fuel Consumption P1'!C4),
     _xlpm.EOL, _xlfn.CHOOSECOLS(_xlpm.filtered,5),
AVERAGE(_xlpm.EOL))</f>
        <v>2.9371874999999998</v>
      </c>
      <c r="D5" s="35" cm="1">
        <f t="array" ref="D5">_xlfn.LET(_xlpm.data, $G$5:$K$10,
     _xlpm.filtered, _xlfn._xlws.FILTER(_xlpm.data, $G$5:$G$10='Fuel Consumption P1'!D4),
     _xlpm.EOL, _xlfn.CHOOSECOLS(_xlpm.filtered,5),
AVERAGE(_xlpm.EOL))</f>
        <v>3.0040172222222221</v>
      </c>
      <c r="E5" s="36" cm="1">
        <f t="array" ref="E5">_xlfn.LET(_xlpm.data, $G$5:$K$10,
     _xlpm.filtered, _xlfn._xlws.FILTER(_xlpm.data, $G$5:$G$10='Fuel Consumption P1'!E4),
     _xlpm.EOL, _xlfn.CHOOSECOLS(_xlpm.filtered,5),
AVERAGE(_xlpm.EOL))</f>
        <v>3.0314683333333332</v>
      </c>
      <c r="G5" s="9" t="s">
        <v>29</v>
      </c>
      <c r="H5" s="10">
        <v>8</v>
      </c>
      <c r="I5" s="11" t="s">
        <v>26</v>
      </c>
      <c r="J5" s="10">
        <v>6</v>
      </c>
      <c r="K5" s="12" cm="1">
        <f t="array" ref="K5">_xlfn.LET(_xlpm.data, 'DUMP P1'!$A$3:$H$10000,
     _xlpm.filtered, _xlfn._xlws.FILTER(_xlpm.data,'DUMP P1'!$B$3:$B$10000='Fuel Consumption P1'!I5),
     _xlpm.EOL, _xlfn.CHOOSECOLS(_xlpm.filtered,7),
     _xlpm.Error, _xlfn.CHOOSECOLS(_xlpm.filtered,8),
AVERAGE(_xlpm.Error*_xlpm.EOL))</f>
        <v>3.0429066666666666</v>
      </c>
      <c r="Z5" s="20"/>
      <c r="AA5" s="3"/>
      <c r="AB5" s="20" t="s">
        <v>8</v>
      </c>
      <c r="AC5" s="3">
        <f t="shared" si="0"/>
        <v>2.9371874999999998</v>
      </c>
      <c r="AD5" s="3">
        <f t="shared" si="1"/>
        <v>3.0040172222222221</v>
      </c>
      <c r="AE5" s="3">
        <f t="shared" si="2"/>
        <v>3.0314683333333332</v>
      </c>
    </row>
    <row r="6" spans="2:31" x14ac:dyDescent="0.3">
      <c r="B6" s="28"/>
      <c r="C6" s="5"/>
      <c r="D6" s="5"/>
      <c r="E6" s="29"/>
      <c r="G6" s="13" t="s">
        <v>29</v>
      </c>
      <c r="H6" s="4">
        <v>96</v>
      </c>
      <c r="I6" s="5" t="s">
        <v>23</v>
      </c>
      <c r="J6" s="4">
        <v>5</v>
      </c>
      <c r="K6" s="14" cm="1">
        <f t="array" ref="K6">_xlfn.LET(_xlpm.data, 'DUMP P1'!$A$3:$H$10000,
     _xlpm.filtered, _xlfn._xlws.FILTER(_xlpm.data,'DUMP P1'!$B$3:$B$10000='Fuel Consumption P1'!I6),
     _xlpm.EOL, _xlfn.CHOOSECOLS(_xlpm.filtered,7),
     _xlpm.Error, _xlfn.CHOOSECOLS(_xlpm.filtered,8),
AVERAGE(_xlpm.Error*_xlpm.EOL))</f>
        <v>3.0200299999999998</v>
      </c>
      <c r="Z6" s="20"/>
      <c r="AA6" s="3"/>
      <c r="AB6" s="20" t="s">
        <v>9</v>
      </c>
      <c r="AC6" s="3">
        <f t="shared" si="0"/>
        <v>2.9371874999999998</v>
      </c>
      <c r="AD6" s="3">
        <f t="shared" si="1"/>
        <v>3.0040172222222221</v>
      </c>
      <c r="AE6" s="3">
        <f t="shared" si="2"/>
        <v>3.0314683333333332</v>
      </c>
    </row>
    <row r="7" spans="2:31" x14ac:dyDescent="0.3">
      <c r="B7" s="32" t="s">
        <v>38</v>
      </c>
      <c r="C7" s="24">
        <f>C5*61</f>
        <v>179.16843749999998</v>
      </c>
      <c r="D7" s="24">
        <f t="shared" ref="D7:E7" si="3">D5*61</f>
        <v>183.24505055555554</v>
      </c>
      <c r="E7" s="33">
        <f t="shared" si="3"/>
        <v>184.91956833333333</v>
      </c>
      <c r="G7" s="13" t="s">
        <v>31</v>
      </c>
      <c r="H7" s="4">
        <v>6</v>
      </c>
      <c r="I7" s="5" t="s">
        <v>20</v>
      </c>
      <c r="J7" s="4">
        <v>9</v>
      </c>
      <c r="K7" s="14" cm="1">
        <f t="array" ref="K7">_xlfn.LET(_xlpm.data, 'DUMP P1'!$A$3:$H$10000,
     _xlpm.filtered, _xlfn._xlws.FILTER(_xlpm.data,'DUMP P1'!$B$3:$B$10000='Fuel Consumption P1'!I7),
     _xlpm.EOL, _xlfn.CHOOSECOLS(_xlpm.filtered,7),
     _xlpm.Error, _xlfn.CHOOSECOLS(_xlpm.filtered,8),
AVERAGE(_xlpm.Error*_xlpm.EOL))</f>
        <v>3.03179</v>
      </c>
      <c r="Z7" s="20"/>
      <c r="AA7" s="3"/>
      <c r="AB7" s="20" t="s">
        <v>10</v>
      </c>
      <c r="AC7" s="3">
        <f t="shared" si="0"/>
        <v>2.9371874999999998</v>
      </c>
      <c r="AD7" s="3">
        <f t="shared" si="1"/>
        <v>3.0040172222222221</v>
      </c>
      <c r="AE7" s="3">
        <f t="shared" si="2"/>
        <v>3.0314683333333332</v>
      </c>
    </row>
    <row r="8" spans="2:31" x14ac:dyDescent="0.3">
      <c r="B8" s="28" t="s">
        <v>40</v>
      </c>
      <c r="C8" s="5">
        <f>1.5*C5</f>
        <v>4.4057812499999995</v>
      </c>
      <c r="D8" s="5">
        <f t="shared" ref="D8:E8" si="4">1.5*D5</f>
        <v>4.5060258333333332</v>
      </c>
      <c r="E8" s="29">
        <f t="shared" si="4"/>
        <v>4.5472025</v>
      </c>
      <c r="G8" s="13" t="s">
        <v>31</v>
      </c>
      <c r="H8" s="4">
        <v>55</v>
      </c>
      <c r="I8" s="5" t="s">
        <v>13</v>
      </c>
      <c r="J8" s="4">
        <v>9</v>
      </c>
      <c r="K8" s="14" cm="1">
        <f t="array" ref="K8">_xlfn.LET(_xlpm.data, 'DUMP P1'!$A$3:$H$10000,
     _xlpm.filtered, _xlfn._xlws.FILTER(_xlpm.data,'DUMP P1'!$B$3:$B$10000='Fuel Consumption P1'!I8),
     _xlpm.EOL, _xlfn.CHOOSECOLS(_xlpm.filtered,7),
     _xlpm.Error, _xlfn.CHOOSECOLS(_xlpm.filtered,8),
AVERAGE(_xlpm.Error*_xlpm.EOL))</f>
        <v>2.9762444444444442</v>
      </c>
      <c r="Z8" s="20"/>
      <c r="AA8" s="3"/>
      <c r="AB8" s="20" t="s">
        <v>15</v>
      </c>
      <c r="AC8" s="3">
        <f t="shared" si="0"/>
        <v>2.9371874999999998</v>
      </c>
      <c r="AD8" s="3">
        <f t="shared" si="1"/>
        <v>3.0040172222222221</v>
      </c>
      <c r="AE8" s="3">
        <f t="shared" si="2"/>
        <v>3.0314683333333332</v>
      </c>
    </row>
    <row r="9" spans="2:31" x14ac:dyDescent="0.3">
      <c r="B9" s="28"/>
      <c r="C9" s="5"/>
      <c r="D9" s="5"/>
      <c r="E9" s="29"/>
      <c r="G9" s="13" t="s">
        <v>30</v>
      </c>
      <c r="H9" s="4">
        <v>4</v>
      </c>
      <c r="I9" s="5" t="s">
        <v>4</v>
      </c>
      <c r="J9" s="4">
        <v>4</v>
      </c>
      <c r="K9" s="14" cm="1">
        <f t="array" ref="K9">_xlfn.LET(_xlpm.data, 'DUMP P1'!$A$3:$H$10000,
     _xlpm.filtered, _xlfn._xlws.FILTER(_xlpm.data,'DUMP P1'!$B$3:$B$10000='Fuel Consumption P1'!I9),
     _xlpm.EOL, _xlfn.CHOOSECOLS(_xlpm.filtered,7),
     _xlpm.Error, _xlfn.CHOOSECOLS(_xlpm.filtered,8),
AVERAGE(_xlpm.Error*_xlpm.EOL))</f>
        <v>2.9688749999999997</v>
      </c>
      <c r="Z9" s="20"/>
      <c r="AA9" s="3"/>
      <c r="AB9" s="20" t="s">
        <v>16</v>
      </c>
      <c r="AC9" s="3">
        <f t="shared" si="0"/>
        <v>2.9371874999999998</v>
      </c>
      <c r="AD9" s="3">
        <f t="shared" si="1"/>
        <v>3.0040172222222221</v>
      </c>
      <c r="AE9" s="3">
        <f t="shared" si="2"/>
        <v>3.0314683333333332</v>
      </c>
    </row>
    <row r="10" spans="2:31" ht="15" thickBot="1" x14ac:dyDescent="0.35">
      <c r="B10" s="32" t="s">
        <v>41</v>
      </c>
      <c r="C10" s="24">
        <f>C7+C8</f>
        <v>183.57421874999997</v>
      </c>
      <c r="D10" s="24">
        <f t="shared" ref="D10:E10" si="5">D7+D8</f>
        <v>187.75107638888886</v>
      </c>
      <c r="E10" s="33">
        <f t="shared" si="5"/>
        <v>189.46677083333333</v>
      </c>
      <c r="G10" s="15" t="s">
        <v>30</v>
      </c>
      <c r="H10" s="16">
        <v>20</v>
      </c>
      <c r="I10" s="17" t="s">
        <v>11</v>
      </c>
      <c r="J10" s="16">
        <v>3</v>
      </c>
      <c r="K10" s="18" cm="1">
        <f t="array" ref="K10">_xlfn.LET(_xlpm.data, 'DUMP P1'!$A$3:$H$10000,
     _xlpm.filtered, _xlfn._xlws.FILTER(_xlpm.data,'DUMP P1'!$B$3:$B$10000='Fuel Consumption P1'!I10),
     _xlpm.EOL, _xlfn.CHOOSECOLS(_xlpm.filtered,7),
     _xlpm.Error, _xlfn.CHOOSECOLS(_xlpm.filtered,8),
AVERAGE(_xlpm.Error*_xlpm.EOL))</f>
        <v>2.9055</v>
      </c>
      <c r="Z10" s="20"/>
      <c r="AA10" s="3"/>
      <c r="AB10" s="20" t="s">
        <v>17</v>
      </c>
      <c r="AC10" s="3">
        <f t="shared" si="0"/>
        <v>2.9371874999999998</v>
      </c>
      <c r="AD10" s="3">
        <f t="shared" si="1"/>
        <v>3.0040172222222221</v>
      </c>
      <c r="AE10" s="3">
        <f t="shared" si="2"/>
        <v>3.0314683333333332</v>
      </c>
    </row>
    <row r="11" spans="2:31" ht="15" thickBot="1" x14ac:dyDescent="0.35">
      <c r="B11" s="30" t="s">
        <v>42</v>
      </c>
      <c r="C11" s="17">
        <f>C10-131.5</f>
        <v>52.074218749999972</v>
      </c>
      <c r="D11" s="17">
        <f t="shared" ref="D11:E11" si="6">D10-131.5</f>
        <v>56.251076388888862</v>
      </c>
      <c r="E11" s="31">
        <f t="shared" si="6"/>
        <v>57.966770833333328</v>
      </c>
      <c r="Z11" s="20"/>
      <c r="AA11" s="3"/>
      <c r="AB11" s="20" t="s">
        <v>18</v>
      </c>
      <c r="AC11" s="3">
        <f t="shared" si="0"/>
        <v>2.9371874999999998</v>
      </c>
      <c r="AD11" s="3">
        <f t="shared" si="1"/>
        <v>3.0040172222222221</v>
      </c>
      <c r="AE11" s="3">
        <f t="shared" si="2"/>
        <v>3.0314683333333332</v>
      </c>
    </row>
    <row r="12" spans="2:31" x14ac:dyDescent="0.3">
      <c r="B12" s="23"/>
      <c r="Z12" s="20"/>
      <c r="AA12" s="3"/>
      <c r="AB12" s="20" t="s">
        <v>19</v>
      </c>
      <c r="AC12" s="3">
        <f t="shared" si="0"/>
        <v>2.9371874999999998</v>
      </c>
      <c r="AD12" s="3">
        <f t="shared" si="1"/>
        <v>3.0040172222222221</v>
      </c>
      <c r="AE12" s="3">
        <f t="shared" si="2"/>
        <v>3.0314683333333332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1CEA-353C-4629-B3E9-526E30F1C67D}">
  <dimension ref="A1:I39"/>
  <sheetViews>
    <sheetView workbookViewId="0">
      <selection activeCell="N6" sqref="N6"/>
    </sheetView>
  </sheetViews>
  <sheetFormatPr defaultRowHeight="14.4" x14ac:dyDescent="0.3"/>
  <cols>
    <col min="1" max="1" width="37.109375" customWidth="1"/>
    <col min="2" max="2" width="12.21875" customWidth="1"/>
    <col min="3" max="3" width="13" customWidth="1"/>
    <col min="4" max="4" width="23.88671875" customWidth="1"/>
    <col min="6" max="6" width="7.109375" bestFit="1" customWidth="1"/>
    <col min="7" max="7" width="14.44140625" bestFit="1" customWidth="1"/>
  </cols>
  <sheetData>
    <row r="1" spans="1:9" x14ac:dyDescent="0.3">
      <c r="A1" t="s">
        <v>0</v>
      </c>
      <c r="G1" t="s">
        <v>1</v>
      </c>
      <c r="H1" t="s">
        <v>37</v>
      </c>
    </row>
    <row r="2" spans="1:9" x14ac:dyDescent="0.3">
      <c r="G2" t="s">
        <v>2</v>
      </c>
      <c r="H2" t="s">
        <v>2</v>
      </c>
    </row>
    <row r="3" spans="1:9" x14ac:dyDescent="0.3">
      <c r="A3" t="s">
        <v>3</v>
      </c>
      <c r="B3" t="s">
        <v>4</v>
      </c>
      <c r="C3" t="s">
        <v>5</v>
      </c>
      <c r="D3" t="s">
        <v>6</v>
      </c>
      <c r="E3" t="s">
        <v>7</v>
      </c>
      <c r="F3" s="1">
        <v>9.6689814814814804E-4</v>
      </c>
      <c r="G3">
        <v>3.07</v>
      </c>
      <c r="H3">
        <v>0.97499999999999998</v>
      </c>
      <c r="I3">
        <f>G3*H3</f>
        <v>2.9932499999999997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8</v>
      </c>
      <c r="F4" s="1">
        <v>9.6436342592592591E-4</v>
      </c>
      <c r="G4">
        <v>3.08</v>
      </c>
      <c r="H4">
        <v>0.97499999999999998</v>
      </c>
      <c r="I4">
        <f t="shared" ref="I4:I38" si="0">G4*H4</f>
        <v>3.0030000000000001</v>
      </c>
    </row>
    <row r="5" spans="1:9" x14ac:dyDescent="0.3">
      <c r="A5" t="s">
        <v>3</v>
      </c>
      <c r="B5" t="s">
        <v>4</v>
      </c>
      <c r="C5" t="s">
        <v>5</v>
      </c>
      <c r="D5" t="s">
        <v>6</v>
      </c>
      <c r="E5" t="s">
        <v>9</v>
      </c>
      <c r="F5" s="1">
        <v>9.6650462962962966E-4</v>
      </c>
      <c r="G5">
        <v>3.01</v>
      </c>
      <c r="H5">
        <v>0.97499999999999998</v>
      </c>
      <c r="I5">
        <f t="shared" si="0"/>
        <v>2.9347499999999997</v>
      </c>
    </row>
    <row r="6" spans="1:9" x14ac:dyDescent="0.3">
      <c r="A6" t="s">
        <v>3</v>
      </c>
      <c r="B6" t="s">
        <v>4</v>
      </c>
      <c r="C6" t="s">
        <v>5</v>
      </c>
      <c r="D6" t="s">
        <v>6</v>
      </c>
      <c r="E6" t="s">
        <v>10</v>
      </c>
      <c r="F6" s="1">
        <v>9.6582175925925926E-4</v>
      </c>
      <c r="G6">
        <v>3.02</v>
      </c>
      <c r="H6">
        <v>0.97499999999999998</v>
      </c>
      <c r="I6">
        <f t="shared" si="0"/>
        <v>2.9445000000000001</v>
      </c>
    </row>
    <row r="7" spans="1:9" x14ac:dyDescent="0.3">
      <c r="A7" t="s">
        <v>3</v>
      </c>
      <c r="B7" t="s">
        <v>11</v>
      </c>
      <c r="C7" t="s">
        <v>5</v>
      </c>
      <c r="D7" t="s">
        <v>12</v>
      </c>
      <c r="E7" t="s">
        <v>7</v>
      </c>
      <c r="F7" s="1">
        <v>9.5983796296296301E-4</v>
      </c>
      <c r="G7">
        <v>2.97</v>
      </c>
      <c r="H7">
        <v>0.97499999999999998</v>
      </c>
      <c r="I7">
        <f t="shared" si="0"/>
        <v>2.89575</v>
      </c>
    </row>
    <row r="8" spans="1:9" x14ac:dyDescent="0.3">
      <c r="A8" t="s">
        <v>3</v>
      </c>
      <c r="B8" t="s">
        <v>11</v>
      </c>
      <c r="C8" t="s">
        <v>5</v>
      </c>
      <c r="D8" t="s">
        <v>12</v>
      </c>
      <c r="E8" t="s">
        <v>8</v>
      </c>
      <c r="F8" s="1">
        <v>9.5952546296296291E-4</v>
      </c>
      <c r="G8">
        <v>2.95</v>
      </c>
      <c r="H8">
        <v>0.97499999999999998</v>
      </c>
      <c r="I8">
        <f t="shared" si="0"/>
        <v>2.8762500000000002</v>
      </c>
    </row>
    <row r="9" spans="1:9" x14ac:dyDescent="0.3">
      <c r="A9" t="s">
        <v>3</v>
      </c>
      <c r="B9" t="s">
        <v>11</v>
      </c>
      <c r="C9" t="s">
        <v>5</v>
      </c>
      <c r="D9" t="s">
        <v>12</v>
      </c>
      <c r="E9" t="s">
        <v>9</v>
      </c>
      <c r="F9" s="1">
        <v>9.5846064814814828E-4</v>
      </c>
      <c r="G9">
        <v>3.02</v>
      </c>
      <c r="H9">
        <v>0.97499999999999998</v>
      </c>
      <c r="I9">
        <f t="shared" si="0"/>
        <v>2.9445000000000001</v>
      </c>
    </row>
    <row r="10" spans="1:9" x14ac:dyDescent="0.3">
      <c r="A10" t="s">
        <v>3</v>
      </c>
      <c r="B10" t="s">
        <v>13</v>
      </c>
      <c r="C10" t="s">
        <v>5</v>
      </c>
      <c r="D10" t="s">
        <v>14</v>
      </c>
      <c r="E10" t="s">
        <v>7</v>
      </c>
      <c r="F10" s="1">
        <v>9.6070601851851851E-4</v>
      </c>
      <c r="G10">
        <v>2.94</v>
      </c>
      <c r="H10">
        <v>1.0069999999999999</v>
      </c>
      <c r="I10">
        <f t="shared" si="0"/>
        <v>2.9605799999999998</v>
      </c>
    </row>
    <row r="11" spans="1:9" x14ac:dyDescent="0.3">
      <c r="A11" t="s">
        <v>3</v>
      </c>
      <c r="B11" t="s">
        <v>13</v>
      </c>
      <c r="C11" t="s">
        <v>5</v>
      </c>
      <c r="D11" t="s">
        <v>14</v>
      </c>
      <c r="E11" t="s">
        <v>8</v>
      </c>
      <c r="F11" s="1">
        <v>9.5596064814814816E-4</v>
      </c>
      <c r="G11">
        <v>3</v>
      </c>
      <c r="H11">
        <v>1.0069999999999999</v>
      </c>
      <c r="I11">
        <f t="shared" si="0"/>
        <v>3.0209999999999999</v>
      </c>
    </row>
    <row r="12" spans="1:9" x14ac:dyDescent="0.3">
      <c r="A12" t="s">
        <v>3</v>
      </c>
      <c r="B12" t="s">
        <v>13</v>
      </c>
      <c r="C12" t="s">
        <v>5</v>
      </c>
      <c r="D12" t="s">
        <v>14</v>
      </c>
      <c r="E12" t="s">
        <v>9</v>
      </c>
      <c r="F12" s="1">
        <v>9.5956018518518526E-4</v>
      </c>
      <c r="G12">
        <v>2.99</v>
      </c>
      <c r="H12">
        <v>1.0069999999999999</v>
      </c>
      <c r="I12">
        <f t="shared" si="0"/>
        <v>3.0109300000000001</v>
      </c>
    </row>
    <row r="13" spans="1:9" x14ac:dyDescent="0.3">
      <c r="A13" t="s">
        <v>3</v>
      </c>
      <c r="B13" t="s">
        <v>13</v>
      </c>
      <c r="C13" t="s">
        <v>5</v>
      </c>
      <c r="D13" t="s">
        <v>14</v>
      </c>
      <c r="E13" t="s">
        <v>10</v>
      </c>
      <c r="F13" s="1">
        <v>9.6086805555555563E-4</v>
      </c>
      <c r="G13">
        <v>2.95</v>
      </c>
      <c r="H13">
        <v>1.0069999999999999</v>
      </c>
      <c r="I13">
        <f t="shared" si="0"/>
        <v>2.97065</v>
      </c>
    </row>
    <row r="14" spans="1:9" x14ac:dyDescent="0.3">
      <c r="A14" t="s">
        <v>3</v>
      </c>
      <c r="B14" t="s">
        <v>13</v>
      </c>
      <c r="C14" t="s">
        <v>5</v>
      </c>
      <c r="D14" t="s">
        <v>14</v>
      </c>
      <c r="E14" t="s">
        <v>15</v>
      </c>
      <c r="F14" s="1">
        <v>9.6310185185185192E-4</v>
      </c>
      <c r="G14">
        <v>2.98</v>
      </c>
      <c r="H14">
        <v>1.0069999999999999</v>
      </c>
      <c r="I14">
        <f t="shared" si="0"/>
        <v>3.0008599999999999</v>
      </c>
    </row>
    <row r="15" spans="1:9" x14ac:dyDescent="0.3">
      <c r="A15" t="s">
        <v>3</v>
      </c>
      <c r="B15" t="s">
        <v>13</v>
      </c>
      <c r="C15" t="s">
        <v>5</v>
      </c>
      <c r="D15" t="s">
        <v>14</v>
      </c>
      <c r="E15" t="s">
        <v>16</v>
      </c>
      <c r="F15" s="1">
        <v>9.6378472222222221E-4</v>
      </c>
      <c r="G15">
        <v>2.94</v>
      </c>
      <c r="H15">
        <v>1.0069999999999999</v>
      </c>
      <c r="I15">
        <f t="shared" si="0"/>
        <v>2.9605799999999998</v>
      </c>
    </row>
    <row r="16" spans="1:9" x14ac:dyDescent="0.3">
      <c r="A16" t="s">
        <v>3</v>
      </c>
      <c r="B16" t="s">
        <v>13</v>
      </c>
      <c r="C16" t="s">
        <v>5</v>
      </c>
      <c r="D16" t="s">
        <v>14</v>
      </c>
      <c r="E16" t="s">
        <v>17</v>
      </c>
      <c r="F16" s="1">
        <v>9.6354166666666669E-4</v>
      </c>
      <c r="G16">
        <v>2.95</v>
      </c>
      <c r="H16">
        <v>1.0069999999999999</v>
      </c>
      <c r="I16">
        <f t="shared" si="0"/>
        <v>2.97065</v>
      </c>
    </row>
    <row r="17" spans="1:9" x14ac:dyDescent="0.3">
      <c r="A17" t="s">
        <v>3</v>
      </c>
      <c r="B17" t="s">
        <v>13</v>
      </c>
      <c r="C17" t="s">
        <v>5</v>
      </c>
      <c r="D17" t="s">
        <v>14</v>
      </c>
      <c r="E17" t="s">
        <v>18</v>
      </c>
      <c r="F17" s="1">
        <v>9.6450231481481484E-4</v>
      </c>
      <c r="G17">
        <v>2.93</v>
      </c>
      <c r="H17">
        <v>1.0069999999999999</v>
      </c>
      <c r="I17">
        <f t="shared" si="0"/>
        <v>2.95051</v>
      </c>
    </row>
    <row r="18" spans="1:9" x14ac:dyDescent="0.3">
      <c r="A18" t="s">
        <v>3</v>
      </c>
      <c r="B18" t="s">
        <v>13</v>
      </c>
      <c r="C18" t="s">
        <v>5</v>
      </c>
      <c r="D18" t="s">
        <v>14</v>
      </c>
      <c r="E18" t="s">
        <v>19</v>
      </c>
      <c r="F18" s="1">
        <v>9.6423611111111113E-4</v>
      </c>
      <c r="G18">
        <v>2.92</v>
      </c>
      <c r="H18">
        <v>1.0069999999999999</v>
      </c>
      <c r="I18">
        <f t="shared" si="0"/>
        <v>2.9404399999999997</v>
      </c>
    </row>
    <row r="19" spans="1:9" x14ac:dyDescent="0.3">
      <c r="A19" t="s">
        <v>3</v>
      </c>
      <c r="B19" t="s">
        <v>20</v>
      </c>
      <c r="C19" t="s">
        <v>5</v>
      </c>
      <c r="D19" t="s">
        <v>21</v>
      </c>
      <c r="E19" t="s">
        <v>7</v>
      </c>
      <c r="F19" s="1">
        <v>9.589930555555556E-4</v>
      </c>
      <c r="G19">
        <v>2.98</v>
      </c>
      <c r="H19">
        <v>1.0169999999999999</v>
      </c>
      <c r="I19">
        <f t="shared" si="0"/>
        <v>3.0306599999999997</v>
      </c>
    </row>
    <row r="20" spans="1:9" x14ac:dyDescent="0.3">
      <c r="A20" t="s">
        <v>3</v>
      </c>
      <c r="B20" t="s">
        <v>20</v>
      </c>
      <c r="C20" t="s">
        <v>5</v>
      </c>
      <c r="D20" t="s">
        <v>21</v>
      </c>
      <c r="E20" t="s">
        <v>8</v>
      </c>
      <c r="F20" s="1">
        <v>9.5741898148148151E-4</v>
      </c>
      <c r="G20">
        <v>2.97</v>
      </c>
      <c r="H20">
        <v>1.0169999999999999</v>
      </c>
      <c r="I20">
        <f t="shared" si="0"/>
        <v>3.0204900000000001</v>
      </c>
    </row>
    <row r="21" spans="1:9" x14ac:dyDescent="0.3">
      <c r="A21" t="s">
        <v>3</v>
      </c>
      <c r="B21" t="s">
        <v>20</v>
      </c>
      <c r="C21" t="s">
        <v>5</v>
      </c>
      <c r="D21" t="s">
        <v>21</v>
      </c>
      <c r="E21" t="s">
        <v>9</v>
      </c>
      <c r="F21" s="1">
        <v>9.5932870370370367E-4</v>
      </c>
      <c r="G21">
        <v>2.97</v>
      </c>
      <c r="H21">
        <v>1.0169999999999999</v>
      </c>
      <c r="I21">
        <f t="shared" si="0"/>
        <v>3.0204900000000001</v>
      </c>
    </row>
    <row r="22" spans="1:9" x14ac:dyDescent="0.3">
      <c r="A22" t="s">
        <v>3</v>
      </c>
      <c r="B22" t="s">
        <v>20</v>
      </c>
      <c r="C22" t="s">
        <v>5</v>
      </c>
      <c r="D22" t="s">
        <v>21</v>
      </c>
      <c r="E22" t="s">
        <v>10</v>
      </c>
      <c r="F22" s="1">
        <v>9.6094907407407403E-4</v>
      </c>
      <c r="G22">
        <v>2.99</v>
      </c>
      <c r="H22">
        <v>1.0169999999999999</v>
      </c>
      <c r="I22">
        <f t="shared" si="0"/>
        <v>3.0408300000000001</v>
      </c>
    </row>
    <row r="23" spans="1:9" x14ac:dyDescent="0.3">
      <c r="A23" t="s">
        <v>3</v>
      </c>
      <c r="B23" t="s">
        <v>20</v>
      </c>
      <c r="C23" t="s">
        <v>5</v>
      </c>
      <c r="D23" t="s">
        <v>21</v>
      </c>
      <c r="E23" t="s">
        <v>15</v>
      </c>
      <c r="F23" s="1">
        <v>9.6003472222222226E-4</v>
      </c>
      <c r="G23">
        <v>2.97</v>
      </c>
      <c r="H23">
        <v>1.0169999999999999</v>
      </c>
      <c r="I23">
        <f t="shared" si="0"/>
        <v>3.0204900000000001</v>
      </c>
    </row>
    <row r="24" spans="1:9" x14ac:dyDescent="0.3">
      <c r="A24" t="s">
        <v>3</v>
      </c>
      <c r="B24" t="s">
        <v>20</v>
      </c>
      <c r="C24" t="s">
        <v>5</v>
      </c>
      <c r="D24" t="s">
        <v>21</v>
      </c>
      <c r="E24" t="s">
        <v>16</v>
      </c>
      <c r="F24" s="1">
        <v>9.6181712962962963E-4</v>
      </c>
      <c r="G24">
        <v>2.99</v>
      </c>
      <c r="H24">
        <v>1.0169999999999999</v>
      </c>
      <c r="I24">
        <f t="shared" si="0"/>
        <v>3.0408300000000001</v>
      </c>
    </row>
    <row r="25" spans="1:9" x14ac:dyDescent="0.3">
      <c r="A25" t="s">
        <v>3</v>
      </c>
      <c r="B25" t="s">
        <v>20</v>
      </c>
      <c r="C25" t="s">
        <v>5</v>
      </c>
      <c r="D25" t="s">
        <v>21</v>
      </c>
      <c r="E25" t="s">
        <v>17</v>
      </c>
      <c r="F25" s="1">
        <v>9.61701388888889E-4</v>
      </c>
      <c r="G25">
        <v>2.99</v>
      </c>
      <c r="H25">
        <v>1.0169999999999999</v>
      </c>
      <c r="I25">
        <f t="shared" si="0"/>
        <v>3.0408300000000001</v>
      </c>
    </row>
    <row r="26" spans="1:9" x14ac:dyDescent="0.3">
      <c r="A26" t="s">
        <v>3</v>
      </c>
      <c r="B26" t="s">
        <v>20</v>
      </c>
      <c r="C26" t="s">
        <v>5</v>
      </c>
      <c r="D26" t="s">
        <v>21</v>
      </c>
      <c r="E26" t="s">
        <v>18</v>
      </c>
      <c r="F26" s="1">
        <v>9.6583333333333341E-4</v>
      </c>
      <c r="G26">
        <v>2.98</v>
      </c>
      <c r="H26">
        <v>1.0169999999999999</v>
      </c>
      <c r="I26">
        <f t="shared" si="0"/>
        <v>3.0306599999999997</v>
      </c>
    </row>
    <row r="27" spans="1:9" x14ac:dyDescent="0.3">
      <c r="A27" t="s">
        <v>3</v>
      </c>
      <c r="B27" t="s">
        <v>20</v>
      </c>
      <c r="C27" t="s">
        <v>5</v>
      </c>
      <c r="D27" t="s">
        <v>21</v>
      </c>
      <c r="E27" t="s">
        <v>19</v>
      </c>
      <c r="F27" s="1">
        <v>9.5932870370370367E-4</v>
      </c>
      <c r="G27">
        <v>2.99</v>
      </c>
      <c r="H27">
        <v>1.0169999999999999</v>
      </c>
      <c r="I27">
        <f t="shared" si="0"/>
        <v>3.0408300000000001</v>
      </c>
    </row>
    <row r="28" spans="1:9" x14ac:dyDescent="0.3">
      <c r="A28" t="s">
        <v>22</v>
      </c>
      <c r="B28" t="s">
        <v>23</v>
      </c>
      <c r="C28" t="s">
        <v>5</v>
      </c>
      <c r="D28" t="s">
        <v>24</v>
      </c>
      <c r="E28" t="s">
        <v>9</v>
      </c>
      <c r="F28" s="1">
        <v>9.7315972222222226E-4</v>
      </c>
      <c r="G28">
        <v>3.56</v>
      </c>
      <c r="H28">
        <v>0.84499999999999997</v>
      </c>
      <c r="I28">
        <f t="shared" si="0"/>
        <v>3.0082</v>
      </c>
    </row>
    <row r="29" spans="1:9" x14ac:dyDescent="0.3">
      <c r="A29" t="s">
        <v>22</v>
      </c>
      <c r="B29" t="s">
        <v>23</v>
      </c>
      <c r="C29" t="s">
        <v>5</v>
      </c>
      <c r="D29" t="s">
        <v>24</v>
      </c>
      <c r="E29" t="s">
        <v>10</v>
      </c>
      <c r="F29" s="1">
        <v>9.6621527777777775E-4</v>
      </c>
      <c r="G29">
        <v>3.6</v>
      </c>
      <c r="H29">
        <v>0.84499999999999997</v>
      </c>
      <c r="I29">
        <f t="shared" si="0"/>
        <v>3.0419999999999998</v>
      </c>
    </row>
    <row r="30" spans="1:9" x14ac:dyDescent="0.3">
      <c r="A30" t="s">
        <v>22</v>
      </c>
      <c r="B30" t="s">
        <v>23</v>
      </c>
      <c r="C30" t="s">
        <v>5</v>
      </c>
      <c r="D30" t="s">
        <v>24</v>
      </c>
      <c r="E30" t="s">
        <v>15</v>
      </c>
      <c r="F30" s="1">
        <v>9.671990740740741E-4</v>
      </c>
      <c r="G30">
        <v>3.63</v>
      </c>
      <c r="H30">
        <v>0.84499999999999997</v>
      </c>
      <c r="I30">
        <f t="shared" si="0"/>
        <v>3.0673499999999998</v>
      </c>
    </row>
    <row r="31" spans="1:9" x14ac:dyDescent="0.3">
      <c r="A31" t="s">
        <v>22</v>
      </c>
      <c r="B31" t="s">
        <v>23</v>
      </c>
      <c r="C31" t="s">
        <v>5</v>
      </c>
      <c r="D31" t="s">
        <v>24</v>
      </c>
      <c r="E31" t="s">
        <v>16</v>
      </c>
      <c r="F31" s="1">
        <v>9.9700231481481471E-4</v>
      </c>
      <c r="G31">
        <v>3.46</v>
      </c>
      <c r="H31">
        <v>0.84499999999999997</v>
      </c>
      <c r="I31">
        <f t="shared" si="0"/>
        <v>2.9236999999999997</v>
      </c>
    </row>
    <row r="32" spans="1:9" x14ac:dyDescent="0.3">
      <c r="A32" t="s">
        <v>22</v>
      </c>
      <c r="B32" t="s">
        <v>23</v>
      </c>
      <c r="C32" t="s">
        <v>5</v>
      </c>
      <c r="D32" t="s">
        <v>24</v>
      </c>
      <c r="E32" t="s">
        <v>17</v>
      </c>
      <c r="F32" s="1">
        <v>9.6980324074074069E-4</v>
      </c>
      <c r="G32">
        <v>3.62</v>
      </c>
      <c r="H32">
        <v>0.84499999999999997</v>
      </c>
      <c r="I32">
        <f t="shared" si="0"/>
        <v>3.0589</v>
      </c>
    </row>
    <row r="33" spans="1:9" x14ac:dyDescent="0.3">
      <c r="A33" t="s">
        <v>25</v>
      </c>
      <c r="B33" t="s">
        <v>26</v>
      </c>
      <c r="C33" t="s">
        <v>5</v>
      </c>
      <c r="D33" t="s">
        <v>27</v>
      </c>
      <c r="E33" t="s">
        <v>7</v>
      </c>
      <c r="F33" s="1">
        <v>9.5938657407407398E-4</v>
      </c>
      <c r="G33">
        <v>3.64</v>
      </c>
      <c r="H33">
        <v>0.84799999999999998</v>
      </c>
      <c r="I33">
        <f t="shared" si="0"/>
        <v>3.0867200000000001</v>
      </c>
    </row>
    <row r="34" spans="1:9" x14ac:dyDescent="0.3">
      <c r="A34" t="s">
        <v>25</v>
      </c>
      <c r="B34" t="s">
        <v>26</v>
      </c>
      <c r="C34" t="s">
        <v>5</v>
      </c>
      <c r="D34" t="s">
        <v>27</v>
      </c>
      <c r="E34" t="s">
        <v>8</v>
      </c>
      <c r="F34" s="1">
        <v>9.5937500000000005E-4</v>
      </c>
      <c r="G34">
        <v>3.69</v>
      </c>
      <c r="H34">
        <v>0.84799999999999998</v>
      </c>
      <c r="I34">
        <f t="shared" si="0"/>
        <v>3.1291199999999999</v>
      </c>
    </row>
    <row r="35" spans="1:9" x14ac:dyDescent="0.3">
      <c r="A35" t="s">
        <v>25</v>
      </c>
      <c r="B35" t="s">
        <v>26</v>
      </c>
      <c r="C35" t="s">
        <v>5</v>
      </c>
      <c r="D35" t="s">
        <v>27</v>
      </c>
      <c r="E35" t="s">
        <v>9</v>
      </c>
      <c r="F35" s="1">
        <v>9.6060185185185181E-4</v>
      </c>
      <c r="G35">
        <v>3.63</v>
      </c>
      <c r="H35">
        <v>0.84799999999999998</v>
      </c>
      <c r="I35">
        <f t="shared" si="0"/>
        <v>3.0782399999999996</v>
      </c>
    </row>
    <row r="36" spans="1:9" x14ac:dyDescent="0.3">
      <c r="A36" t="s">
        <v>25</v>
      </c>
      <c r="B36" t="s">
        <v>26</v>
      </c>
      <c r="C36" t="s">
        <v>5</v>
      </c>
      <c r="D36" t="s">
        <v>27</v>
      </c>
      <c r="E36" t="s">
        <v>10</v>
      </c>
      <c r="F36" s="1">
        <v>9.6292824074074076E-4</v>
      </c>
      <c r="G36">
        <v>3.64</v>
      </c>
      <c r="H36">
        <v>0.84799999999999998</v>
      </c>
      <c r="I36">
        <f t="shared" si="0"/>
        <v>3.0867200000000001</v>
      </c>
    </row>
    <row r="37" spans="1:9" x14ac:dyDescent="0.3">
      <c r="A37" t="s">
        <v>25</v>
      </c>
      <c r="B37" t="s">
        <v>26</v>
      </c>
      <c r="C37" t="s">
        <v>5</v>
      </c>
      <c r="D37" t="s">
        <v>27</v>
      </c>
      <c r="E37" t="s">
        <v>15</v>
      </c>
      <c r="F37" s="1">
        <v>9.6765046296296302E-4</v>
      </c>
      <c r="G37">
        <v>3.59</v>
      </c>
      <c r="H37">
        <v>0.84799999999999998</v>
      </c>
      <c r="I37">
        <f t="shared" si="0"/>
        <v>3.0443199999999999</v>
      </c>
    </row>
    <row r="38" spans="1:9" x14ac:dyDescent="0.3">
      <c r="A38" t="s">
        <v>25</v>
      </c>
      <c r="B38" t="s">
        <v>26</v>
      </c>
      <c r="C38" t="s">
        <v>5</v>
      </c>
      <c r="D38" t="s">
        <v>27</v>
      </c>
      <c r="E38" t="s">
        <v>16</v>
      </c>
      <c r="F38" s="1">
        <v>9.8697916666666682E-4</v>
      </c>
      <c r="G38">
        <v>3.34</v>
      </c>
      <c r="H38">
        <v>0.84799999999999998</v>
      </c>
      <c r="I38">
        <f t="shared" si="0"/>
        <v>2.8323199999999997</v>
      </c>
    </row>
    <row r="39" spans="1:9" x14ac:dyDescent="0.3">
      <c r="F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416E4-62A1-4DED-A4E5-68EF17CCFEB7}">
  <sheetPr>
    <tabColor theme="0"/>
  </sheetPr>
  <dimension ref="B2:AV62"/>
  <sheetViews>
    <sheetView showGridLines="0" topLeftCell="A3" zoomScaleNormal="100" workbookViewId="0">
      <selection activeCell="Q17" sqref="Q17:Q19"/>
    </sheetView>
  </sheetViews>
  <sheetFormatPr defaultRowHeight="14.4" x14ac:dyDescent="0.3"/>
  <cols>
    <col min="2" max="2" width="22.109375" customWidth="1"/>
    <col min="5" max="5" width="8.77734375" customWidth="1"/>
    <col min="6" max="6" width="9.6640625" customWidth="1"/>
    <col min="10" max="10" width="9.21875" customWidth="1"/>
    <col min="12" max="12" width="10.109375" customWidth="1"/>
    <col min="13" max="13" width="10.33203125" customWidth="1"/>
    <col min="14" max="14" width="9.77734375" customWidth="1"/>
    <col min="16" max="16" width="9.21875" customWidth="1"/>
    <col min="17" max="17" width="9.5546875" customWidth="1"/>
    <col min="20" max="20" width="8.77734375" customWidth="1"/>
    <col min="24" max="24" width="25.88671875" customWidth="1"/>
    <col min="25" max="25" width="16.21875" customWidth="1"/>
    <col min="26" max="26" width="4.44140625" customWidth="1"/>
    <col min="27" max="27" width="16.88671875" bestFit="1" customWidth="1"/>
    <col min="28" max="28" width="13.88671875" customWidth="1"/>
    <col min="29" max="29" width="3.6640625" customWidth="1"/>
    <col min="30" max="30" width="13.44140625" customWidth="1"/>
    <col min="31" max="36" width="9" customWidth="1"/>
  </cols>
  <sheetData>
    <row r="2" spans="2:48" ht="21" x14ac:dyDescent="0.4">
      <c r="B2" s="2" t="s">
        <v>28</v>
      </c>
    </row>
    <row r="3" spans="2:48" ht="21" x14ac:dyDescent="0.4">
      <c r="B3" s="2"/>
    </row>
    <row r="4" spans="2:48" x14ac:dyDescent="0.3">
      <c r="B4" s="81" t="s">
        <v>124</v>
      </c>
      <c r="C4" s="50">
        <v>61</v>
      </c>
      <c r="AA4" s="23"/>
      <c r="AB4" s="60"/>
    </row>
    <row r="5" spans="2:48" x14ac:dyDescent="0.3">
      <c r="B5" s="81" t="s">
        <v>131</v>
      </c>
      <c r="C5" s="50">
        <v>1.5</v>
      </c>
      <c r="AA5" s="23"/>
      <c r="AB5" s="60"/>
    </row>
    <row r="6" spans="2:48" ht="15" thickBot="1" x14ac:dyDescent="0.35">
      <c r="B6" s="81" t="s">
        <v>128</v>
      </c>
      <c r="C6" s="50">
        <v>130.5</v>
      </c>
      <c r="AA6" s="23"/>
      <c r="AB6" s="60"/>
    </row>
    <row r="7" spans="2:48" ht="15" thickBot="1" x14ac:dyDescent="0.35">
      <c r="B7" s="81" t="s">
        <v>127</v>
      </c>
      <c r="C7" s="50">
        <v>25</v>
      </c>
      <c r="AS7" s="19" t="s">
        <v>30</v>
      </c>
      <c r="AT7" s="7" t="s">
        <v>31</v>
      </c>
      <c r="AU7" s="8" t="s">
        <v>29</v>
      </c>
    </row>
    <row r="8" spans="2:48" x14ac:dyDescent="0.3">
      <c r="B8" s="81" t="s">
        <v>126</v>
      </c>
      <c r="C8" s="50">
        <v>2</v>
      </c>
      <c r="AS8" s="20"/>
      <c r="AT8" s="20"/>
      <c r="AU8" s="20"/>
    </row>
    <row r="9" spans="2:48" s="38" customFormat="1" x14ac:dyDescent="0.3">
      <c r="B9" s="81" t="s">
        <v>116</v>
      </c>
      <c r="C9" s="82">
        <f>FuelDensity/1000</f>
        <v>0.78964600000000007</v>
      </c>
      <c r="F9" s="41"/>
      <c r="V9"/>
      <c r="AP9" s="41"/>
      <c r="AQ9" s="42"/>
      <c r="AR9" s="41" t="s">
        <v>7</v>
      </c>
      <c r="AS9" s="42" t="e">
        <f>#REF!</f>
        <v>#REF!</v>
      </c>
      <c r="AT9" s="42" t="e">
        <f>#REF!</f>
        <v>#REF!</v>
      </c>
      <c r="AU9" s="42" t="e">
        <f>#REF!</f>
        <v>#REF!</v>
      </c>
    </row>
    <row r="10" spans="2:48" ht="17.399999999999999" customHeight="1" x14ac:dyDescent="0.3"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AP10" s="20"/>
      <c r="AQ10" s="3"/>
      <c r="AR10" s="20" t="s">
        <v>8</v>
      </c>
      <c r="AS10" s="3" t="e">
        <f>#REF!</f>
        <v>#REF!</v>
      </c>
      <c r="AT10" s="3" t="e">
        <f>#REF!</f>
        <v>#REF!</v>
      </c>
      <c r="AU10" s="3" t="e">
        <f>#REF!</f>
        <v>#REF!</v>
      </c>
    </row>
    <row r="11" spans="2:48" ht="17.399999999999999" customHeight="1" x14ac:dyDescent="0.35">
      <c r="B11" s="84" t="s">
        <v>135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AP11" s="20"/>
      <c r="AQ11" s="3"/>
      <c r="AR11" s="20"/>
      <c r="AS11" s="3"/>
      <c r="AT11" s="3"/>
      <c r="AU11" s="3"/>
    </row>
    <row r="12" spans="2:48" ht="17.399999999999999" customHeight="1" x14ac:dyDescent="0.3">
      <c r="B12" s="23" t="s">
        <v>136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AP12" s="20"/>
      <c r="AQ12" s="3"/>
      <c r="AR12" s="20"/>
      <c r="AS12" s="3"/>
      <c r="AT12" s="3"/>
      <c r="AU12" s="3"/>
    </row>
    <row r="13" spans="2:48" ht="17.399999999999999" customHeight="1" x14ac:dyDescent="0.3">
      <c r="B13" t="s">
        <v>172</v>
      </c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AP13" s="20"/>
      <c r="AQ13" s="3"/>
      <c r="AR13" s="20"/>
      <c r="AS13" s="3"/>
      <c r="AT13" s="3"/>
      <c r="AU13" s="3"/>
    </row>
    <row r="14" spans="2:48" ht="17.399999999999999" customHeight="1" thickBot="1" x14ac:dyDescent="0.35">
      <c r="B14" s="23"/>
      <c r="C14" s="23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AQ14" s="20"/>
      <c r="AR14" s="3"/>
      <c r="AS14" s="20"/>
      <c r="AT14" s="3"/>
      <c r="AU14" s="3"/>
      <c r="AV14" s="3"/>
    </row>
    <row r="15" spans="2:48" ht="21.6" thickBot="1" x14ac:dyDescent="0.35">
      <c r="F15" s="38"/>
      <c r="G15" s="89" t="s">
        <v>123</v>
      </c>
      <c r="H15" s="90"/>
      <c r="I15" s="90"/>
      <c r="J15" s="90"/>
      <c r="K15" s="91"/>
      <c r="L15" s="38"/>
      <c r="M15" s="89" t="s">
        <v>122</v>
      </c>
      <c r="N15" s="90"/>
      <c r="O15" s="90"/>
      <c r="P15" s="90"/>
      <c r="Q15" s="91"/>
      <c r="AQ15" s="20"/>
      <c r="AR15" s="3"/>
      <c r="AS15" s="20" t="s">
        <v>9</v>
      </c>
      <c r="AT15" s="3" t="e">
        <f>#REF!</f>
        <v>#REF!</v>
      </c>
      <c r="AU15" s="3" t="e">
        <f>#REF!</f>
        <v>#REF!</v>
      </c>
      <c r="AV15" s="3" t="e">
        <f>#REF!</f>
        <v>#REF!</v>
      </c>
    </row>
    <row r="16" spans="2:48" ht="43.8" thickBot="1" x14ac:dyDescent="0.35">
      <c r="B16" s="80" t="s">
        <v>130</v>
      </c>
      <c r="C16" s="39" t="s">
        <v>137</v>
      </c>
      <c r="D16" s="57" t="s">
        <v>108</v>
      </c>
      <c r="E16" s="46" t="s">
        <v>129</v>
      </c>
      <c r="F16" s="38"/>
      <c r="G16" s="76" t="s">
        <v>125</v>
      </c>
      <c r="H16" s="40" t="s">
        <v>118</v>
      </c>
      <c r="I16" s="40" t="s">
        <v>119</v>
      </c>
      <c r="J16" s="40" t="s">
        <v>120</v>
      </c>
      <c r="K16" s="58" t="s">
        <v>121</v>
      </c>
      <c r="L16" s="38"/>
      <c r="M16" s="76" t="s">
        <v>125</v>
      </c>
      <c r="N16" s="40" t="s">
        <v>118</v>
      </c>
      <c r="O16" s="40" t="s">
        <v>119</v>
      </c>
      <c r="P16" s="40" t="s">
        <v>120</v>
      </c>
      <c r="Q16" s="58" t="s">
        <v>121</v>
      </c>
      <c r="AQ16" s="20"/>
      <c r="AR16" s="3"/>
      <c r="AS16" s="20" t="s">
        <v>10</v>
      </c>
      <c r="AT16" s="3" t="e">
        <f>#REF!</f>
        <v>#REF!</v>
      </c>
      <c r="AU16" s="3" t="e">
        <f>#REF!</f>
        <v>#REF!</v>
      </c>
      <c r="AV16" s="3" t="e">
        <f>#REF!</f>
        <v>#REF!</v>
      </c>
    </row>
    <row r="17" spans="2:48" x14ac:dyDescent="0.3">
      <c r="B17" s="61" t="s">
        <v>30</v>
      </c>
      <c r="C17" s="66" cm="1">
        <f t="array" ref="C17">_xlfn.LET(_xlpm.data, $W$43:$AB$62,
     _xlpm.filtered, _xlfn._xlws.FILTER(_xlpm.data, $W$43:$W$62='FC R10'!$B17),
     _xlpm.EOL, _xlfn.CHOOSECOLS(_xlpm.filtered,3),
AVERAGE(_xlpm.EOL))</f>
        <v>2.223060606060606</v>
      </c>
      <c r="D17" s="66" cm="1">
        <f t="array" ref="D17">_xlfn.LET(_xlpm.data, $W$43:$AB$62,
     _xlpm.filtered, _xlfn._xlws.FILTER(_xlpm.data, $W$43:$W$62='FC R10'!$B17),
     _xlpm.EOL, _xlfn.CHOOSECOLS(_xlpm.filtered,5),
AVERAGE(_xlpm.EOL))</f>
        <v>2.8152622897609887</v>
      </c>
      <c r="E17" s="54" cm="1">
        <f t="array" ref="E17">_xlfn.LET(_xlpm.data, $W$43:$AB$62,
     _xlpm.filtered, _xlfn._xlws.FILTER(_xlpm.data, $W$43:$W$62='FC R10'!$B17),
     _xlpm.EOL, _xlfn.CHOOSECOLS(_xlpm.filtered,5),
MAX(_xlpm.EOL))</f>
        <v>2.8590622365256451</v>
      </c>
      <c r="F17" s="38"/>
      <c r="G17" s="77">
        <f>D17*$C$4</f>
        <v>171.73099967542032</v>
      </c>
      <c r="H17" s="67">
        <f>D17*$C$5</f>
        <v>4.2228934346414828</v>
      </c>
      <c r="I17" s="68">
        <f>SUM(G17:H17)</f>
        <v>175.95389311006181</v>
      </c>
      <c r="J17" s="67">
        <f>I17-$C$6</f>
        <v>45.453893110061813</v>
      </c>
      <c r="K17" s="69">
        <f>J17/$C$7</f>
        <v>1.8181557244024724</v>
      </c>
      <c r="L17" s="38"/>
      <c r="M17" s="77">
        <f>E17*$C$4</f>
        <v>174.40279642806433</v>
      </c>
      <c r="N17" s="67">
        <f>E17*1.5</f>
        <v>4.2885933547884676</v>
      </c>
      <c r="O17" s="68">
        <f>SUM(M17:N17)</f>
        <v>178.69138978285281</v>
      </c>
      <c r="P17" s="67">
        <f>O17-$C$6</f>
        <v>48.191389782852809</v>
      </c>
      <c r="Q17" s="69">
        <f>P17/$C$7</f>
        <v>1.9276555913141125</v>
      </c>
      <c r="AQ17" s="20"/>
      <c r="AR17" s="3"/>
      <c r="AS17" s="20" t="s">
        <v>15</v>
      </c>
      <c r="AT17" s="3" t="e">
        <f>#REF!</f>
        <v>#REF!</v>
      </c>
      <c r="AU17" s="3" t="e">
        <f>#REF!</f>
        <v>#REF!</v>
      </c>
      <c r="AV17" s="3" t="e">
        <f>#REF!</f>
        <v>#REF!</v>
      </c>
    </row>
    <row r="18" spans="2:48" x14ac:dyDescent="0.3">
      <c r="B18" s="62" t="s">
        <v>31</v>
      </c>
      <c r="C18" s="70" cm="1">
        <f t="array" ref="C18">_xlfn.LET(_xlpm.data, $W$43:$AB$62,
     _xlpm.filtered, _xlfn._xlws.FILTER(_xlpm.data, $W$43:$W$62='FC R10'!$B18),
     _xlpm.EOL, _xlfn.CHOOSECOLS(_xlpm.filtered,3),
AVERAGE(_xlpm.EOL))</f>
        <v>2.1823099983795169</v>
      </c>
      <c r="D18" s="70" cm="1">
        <f t="array" ref="D18">_xlfn.LET(_xlpm.data, $W$43:$AB$62,
     _xlpm.filtered, _xlfn._xlws.FILTER(_xlpm.data, $W$43:$W$62='FC R10'!$B18),
     _xlpm.EOL, _xlfn.CHOOSECOLS(_xlpm.filtered,5),
AVERAGE(_xlpm.EOL))</f>
        <v>2.7636561172721912</v>
      </c>
      <c r="E18" s="55" cm="1">
        <f t="array" ref="E18">_xlfn.LET(_xlpm.data, $W$43:$AB$62,
     _xlpm.filtered, _xlfn._xlws.FILTER(_xlpm.data, $W$43:$W$62='FC R10'!$B18),
     _xlpm.EOL, _xlfn.CHOOSECOLS(_xlpm.filtered,5),
MAX(_xlpm.EOL))</f>
        <v>2.866139123249718</v>
      </c>
      <c r="F18" s="38"/>
      <c r="G18" s="78">
        <f>D18*$C$4</f>
        <v>168.58302315360368</v>
      </c>
      <c r="H18" s="64">
        <f t="shared" ref="H18:H19" si="0">D18*$C$5</f>
        <v>4.1454841759082868</v>
      </c>
      <c r="I18" s="65">
        <f t="shared" ref="I18:I19" si="1">SUM(G18:H18)</f>
        <v>172.72850732951196</v>
      </c>
      <c r="J18" s="64">
        <f>I18-$C$6</f>
        <v>42.228507329511956</v>
      </c>
      <c r="K18" s="71">
        <f>J18/$C$7</f>
        <v>1.6891402931804782</v>
      </c>
      <c r="L18" s="38"/>
      <c r="M18" s="78">
        <f>E18*$C$4</f>
        <v>174.83448651823281</v>
      </c>
      <c r="N18" s="64">
        <f t="shared" ref="N18:N19" si="2">E18*1.5</f>
        <v>4.2992086848745767</v>
      </c>
      <c r="O18" s="65">
        <f t="shared" ref="O18:O19" si="3">SUM(M18:N18)</f>
        <v>179.13369520310738</v>
      </c>
      <c r="P18" s="64">
        <f>O18-$C$6</f>
        <v>48.633695203107379</v>
      </c>
      <c r="Q18" s="71">
        <f>P18/$C$7</f>
        <v>1.9453478081242952</v>
      </c>
      <c r="AQ18" s="20"/>
      <c r="AR18" s="3"/>
      <c r="AS18" s="20" t="s">
        <v>16</v>
      </c>
      <c r="AT18" s="3" t="e">
        <f>#REF!</f>
        <v>#REF!</v>
      </c>
      <c r="AU18" s="3" t="e">
        <f>#REF!</f>
        <v>#REF!</v>
      </c>
      <c r="AV18" s="3" t="e">
        <f>#REF!</f>
        <v>#REF!</v>
      </c>
    </row>
    <row r="19" spans="2:48" ht="15" thickBot="1" x14ac:dyDescent="0.35">
      <c r="B19" s="63" t="s">
        <v>29</v>
      </c>
      <c r="C19" s="72" cm="1">
        <f t="array" ref="C19">_xlfn.LET(_xlpm.data, $W$43:$AB$62,
     _xlpm.filtered, _xlfn._xlws.FILTER(_xlpm.data, $W$43:$W$62='FC R10'!$B19),
     _xlpm.EOL, _xlfn.CHOOSECOLS(_xlpm.filtered,3),
AVERAGE(_xlpm.EOL))</f>
        <v>2.210323529411764</v>
      </c>
      <c r="D19" s="72" cm="1">
        <f t="array" ref="D19">_xlfn.LET(_xlpm.data, $W$43:$AB$62,
     _xlpm.filtered, _xlfn._xlws.FILTER(_xlpm.data, $W$43:$W$62='FC R10'!$B19),
     _xlpm.EOL, _xlfn.CHOOSECOLS(_xlpm.filtered,5),
AVERAGE(_xlpm.EOL))</f>
        <v>2.799132180004412</v>
      </c>
      <c r="E19" s="56" cm="1">
        <f t="array" ref="E19">_xlfn.LET(_xlpm.data, $W$43:$AB$62,
     _xlpm.filtered, _xlfn._xlws.FILTER(_xlpm.data, $W$43:$W$62='FC R10'!$B19),
     _xlpm.EOL, _xlfn.CHOOSECOLS(_xlpm.filtered,5),
MAX(_xlpm.EOL))</f>
        <v>2.9013000762366925</v>
      </c>
      <c r="F19" s="38"/>
      <c r="G19" s="79">
        <f>D19*$C$4</f>
        <v>170.74706298026913</v>
      </c>
      <c r="H19" s="73">
        <f t="shared" si="0"/>
        <v>4.1986982700066182</v>
      </c>
      <c r="I19" s="74">
        <f t="shared" si="1"/>
        <v>174.94576125027575</v>
      </c>
      <c r="J19" s="73">
        <f>I19-$C$6</f>
        <v>44.445761250275751</v>
      </c>
      <c r="K19" s="75">
        <f>J19/$C$7</f>
        <v>1.77783045001103</v>
      </c>
      <c r="L19" s="38"/>
      <c r="M19" s="79">
        <f>E19*$C$4</f>
        <v>176.97930465043825</v>
      </c>
      <c r="N19" s="73">
        <f t="shared" si="2"/>
        <v>4.3519501143550388</v>
      </c>
      <c r="O19" s="74">
        <f t="shared" si="3"/>
        <v>181.3312547647933</v>
      </c>
      <c r="P19" s="73">
        <f>O19-$C$6</f>
        <v>50.8312547647933</v>
      </c>
      <c r="Q19" s="75">
        <f>P19/$C$7</f>
        <v>2.033250190591732</v>
      </c>
      <c r="AQ19" s="20"/>
      <c r="AR19" s="3"/>
      <c r="AS19" s="20" t="s">
        <v>17</v>
      </c>
      <c r="AT19" s="3" t="e">
        <f>#REF!</f>
        <v>#REF!</v>
      </c>
      <c r="AU19" s="3" t="e">
        <f>#REF!</f>
        <v>#REF!</v>
      </c>
      <c r="AV19" s="3" t="e">
        <f>#REF!</f>
        <v>#REF!</v>
      </c>
    </row>
    <row r="20" spans="2:48" x14ac:dyDescent="0.3">
      <c r="B20" t="s">
        <v>133</v>
      </c>
      <c r="L20" s="38"/>
      <c r="AQ20" s="20"/>
      <c r="AR20" s="3"/>
      <c r="AS20" s="20" t="s">
        <v>18</v>
      </c>
      <c r="AT20" s="3" t="e">
        <f>#REF!</f>
        <v>#REF!</v>
      </c>
      <c r="AU20" s="3" t="e">
        <f>#REF!</f>
        <v>#REF!</v>
      </c>
      <c r="AV20" s="3" t="e">
        <f>#REF!</f>
        <v>#REF!</v>
      </c>
    </row>
    <row r="21" spans="2:48" x14ac:dyDescent="0.3">
      <c r="AQ21" s="20"/>
      <c r="AR21" s="3"/>
      <c r="AS21" s="20" t="s">
        <v>19</v>
      </c>
      <c r="AT21" s="3" t="e">
        <f>#REF!</f>
        <v>#REF!</v>
      </c>
      <c r="AU21" s="3" t="e">
        <f>#REF!</f>
        <v>#REF!</v>
      </c>
      <c r="AV21" s="3" t="e">
        <f>#REF!</f>
        <v>#REF!</v>
      </c>
    </row>
    <row r="22" spans="2:48" x14ac:dyDescent="0.3">
      <c r="AQ22" s="20"/>
      <c r="AR22" s="3"/>
      <c r="AS22" s="20"/>
      <c r="AT22" s="3"/>
      <c r="AU22" s="3"/>
      <c r="AV22" s="3"/>
    </row>
    <row r="23" spans="2:48" x14ac:dyDescent="0.3">
      <c r="AQ23" s="20"/>
      <c r="AR23" s="3"/>
      <c r="AS23" s="20"/>
      <c r="AT23" s="3"/>
      <c r="AU23" s="3"/>
      <c r="AV23" s="3"/>
    </row>
    <row r="24" spans="2:48" x14ac:dyDescent="0.3">
      <c r="AQ24" s="20"/>
      <c r="AR24" s="3"/>
      <c r="AS24" s="20"/>
      <c r="AT24" s="3"/>
      <c r="AU24" s="3"/>
      <c r="AV24" s="3"/>
    </row>
    <row r="25" spans="2:48" x14ac:dyDescent="0.3">
      <c r="AQ25" s="20"/>
      <c r="AR25" s="3"/>
      <c r="AS25" s="20"/>
      <c r="AT25" s="3"/>
      <c r="AU25" s="3"/>
      <c r="AV25" s="3"/>
    </row>
    <row r="26" spans="2:48" x14ac:dyDescent="0.3">
      <c r="AQ26" s="20"/>
      <c r="AR26" s="3"/>
      <c r="AS26" s="20"/>
      <c r="AT26" s="3"/>
      <c r="AU26" s="3"/>
      <c r="AV26" s="3"/>
    </row>
    <row r="27" spans="2:48" ht="15" thickBot="1" x14ac:dyDescent="0.35">
      <c r="AQ27" s="20"/>
      <c r="AR27" s="3"/>
      <c r="AS27" s="20"/>
      <c r="AT27" s="3"/>
      <c r="AU27" s="3"/>
      <c r="AV27" s="3"/>
    </row>
    <row r="28" spans="2:48" ht="21.6" thickBot="1" x14ac:dyDescent="0.35">
      <c r="F28" s="38"/>
      <c r="G28" s="89" t="s">
        <v>123</v>
      </c>
      <c r="H28" s="90"/>
      <c r="I28" s="90"/>
      <c r="J28" s="90"/>
      <c r="K28" s="91"/>
      <c r="L28" s="38"/>
      <c r="M28" s="89" t="s">
        <v>122</v>
      </c>
      <c r="N28" s="90"/>
      <c r="O28" s="90"/>
      <c r="P28" s="90"/>
      <c r="Q28" s="91"/>
    </row>
    <row r="29" spans="2:48" ht="43.8" thickBot="1" x14ac:dyDescent="0.35">
      <c r="B29" s="80" t="s">
        <v>117</v>
      </c>
      <c r="C29" s="80"/>
      <c r="D29" s="39" t="s">
        <v>108</v>
      </c>
      <c r="E29" s="58" t="s">
        <v>129</v>
      </c>
      <c r="F29" s="38"/>
      <c r="G29" s="76" t="s">
        <v>125</v>
      </c>
      <c r="H29" s="40" t="s">
        <v>118</v>
      </c>
      <c r="I29" s="40" t="s">
        <v>119</v>
      </c>
      <c r="J29" s="40" t="s">
        <v>120</v>
      </c>
      <c r="K29" s="58" t="s">
        <v>121</v>
      </c>
      <c r="L29" s="38"/>
      <c r="M29" s="76" t="s">
        <v>125</v>
      </c>
      <c r="N29" s="40" t="s">
        <v>118</v>
      </c>
      <c r="O29" s="40" t="s">
        <v>119</v>
      </c>
      <c r="P29" s="40" t="s">
        <v>120</v>
      </c>
      <c r="Q29" s="58" t="s">
        <v>121</v>
      </c>
      <c r="R29" s="20"/>
      <c r="S29" s="20"/>
      <c r="T29" s="20"/>
      <c r="U29" s="20"/>
    </row>
    <row r="30" spans="2:48" x14ac:dyDescent="0.3">
      <c r="B30" s="61" t="s">
        <v>30</v>
      </c>
      <c r="C30" s="85"/>
      <c r="D30" s="66" cm="1">
        <f t="array" ref="D30">_xlfn.LET(_xlpm.data, $W$43:$AB$62,
     _xlpm.filtered, _xlfn._xlws.FILTER(_xlpm.data, $W$43:$W$62='FC R10'!$B30),
     _xlpm.EOL, _xlfn.CHOOSECOLS(_xlpm.filtered,6),
AVERAGE(_xlpm.EOL))</f>
        <v>2.7768138502673794</v>
      </c>
      <c r="E30" s="43" cm="1">
        <f t="array" ref="E30">_xlfn.LET(_xlpm.data, $W$43:$AB$62,
     _xlpm.filtered, _xlfn._xlws.FILTER(_xlpm.data, $W$43:$W$62='FC R10'!$B30),
     _xlpm.EOL, _xlfn.CHOOSECOLS(_xlpm.filtered,6),
MAX(_xlpm.EOL))</f>
        <v>2.8252676470588232</v>
      </c>
      <c r="F30" s="38"/>
      <c r="G30" s="77">
        <f>D30*$C$4</f>
        <v>169.38564486631014</v>
      </c>
      <c r="H30" s="67">
        <f>D30*$C$5</f>
        <v>4.1652207754010693</v>
      </c>
      <c r="I30" s="68">
        <f>SUM(G30:H30)</f>
        <v>173.55086564171123</v>
      </c>
      <c r="J30" s="67">
        <f>I30-$C$6</f>
        <v>43.050865641711226</v>
      </c>
      <c r="K30" s="69">
        <f>J30/$C$7</f>
        <v>1.7220346256684491</v>
      </c>
      <c r="L30" s="38"/>
      <c r="M30" s="77">
        <f>E30*$C$4</f>
        <v>172.3413264705882</v>
      </c>
      <c r="N30" s="67">
        <f>E30*1.5</f>
        <v>4.237901470588235</v>
      </c>
      <c r="O30" s="68">
        <f>SUM(M30:N30)</f>
        <v>176.57922794117644</v>
      </c>
      <c r="P30" s="67">
        <f>O30-$C$6</f>
        <v>46.079227941176441</v>
      </c>
      <c r="Q30" s="69">
        <f>P30/$C$7</f>
        <v>1.8431691176470577</v>
      </c>
      <c r="R30" s="59"/>
      <c r="S30" s="59"/>
      <c r="T30" s="59"/>
      <c r="U30" s="59"/>
    </row>
    <row r="31" spans="2:48" x14ac:dyDescent="0.3">
      <c r="B31" s="62" t="s">
        <v>31</v>
      </c>
      <c r="C31" s="86"/>
      <c r="D31" s="70" cm="1">
        <f t="array" ref="D31">_xlfn.LET(_xlpm.data, $W$43:$AB$62,
     _xlpm.filtered, _xlfn._xlws.FILTER(_xlpm.data, $W$43:$W$62='FC R10'!$B31),
     _xlpm.EOL, _xlfn.CHOOSECOLS(_xlpm.filtered,6),
AVERAGE(_xlpm.EOL))</f>
        <v>2.8262709577053964</v>
      </c>
      <c r="E31" s="44" cm="1">
        <f t="array" ref="E31">_xlfn.LET(_xlpm.data, $W$43:$AB$62,
     _xlpm.filtered, _xlfn._xlws.FILTER(_xlpm.data, $W$43:$W$62='FC R10'!$B31),
     _xlpm.EOL, _xlfn.CHOOSECOLS(_xlpm.filtered,6),
MAX(_xlpm.EOL))</f>
        <v>2.9269205882352947</v>
      </c>
      <c r="F31" s="38"/>
      <c r="G31" s="78">
        <f>D31*$C$4</f>
        <v>172.40252842002917</v>
      </c>
      <c r="H31" s="64">
        <f t="shared" ref="H31:H32" si="4">D31*$C$5</f>
        <v>4.2394064365580943</v>
      </c>
      <c r="I31" s="65">
        <f t="shared" ref="I31:I32" si="5">SUM(G31:H31)</f>
        <v>176.64193485658726</v>
      </c>
      <c r="J31" s="64">
        <f>I31-$C$6</f>
        <v>46.141934856587255</v>
      </c>
      <c r="K31" s="71">
        <f>J31/$C$7</f>
        <v>1.8456773942634903</v>
      </c>
      <c r="L31" s="38"/>
      <c r="M31" s="78">
        <f>E31*$C$4</f>
        <v>178.54215588235297</v>
      </c>
      <c r="N31" s="64">
        <f t="shared" ref="N31:N32" si="6">E31*1.5</f>
        <v>4.3903808823529422</v>
      </c>
      <c r="O31" s="65">
        <f t="shared" ref="O31:O32" si="7">SUM(M31:N31)</f>
        <v>182.9325367647059</v>
      </c>
      <c r="P31" s="64">
        <f>O31-$C$6</f>
        <v>52.432536764705901</v>
      </c>
      <c r="Q31" s="71">
        <f>P31/$C$7</f>
        <v>2.0973014705882362</v>
      </c>
    </row>
    <row r="32" spans="2:48" ht="15" thickBot="1" x14ac:dyDescent="0.35">
      <c r="B32" s="63" t="s">
        <v>29</v>
      </c>
      <c r="C32" s="87"/>
      <c r="D32" s="72" cm="1">
        <f t="array" ref="D32">_xlfn.LET(_xlpm.data, $W$43:$AB$62,
     _xlpm.filtered, _xlfn._xlws.FILTER(_xlpm.data, $W$43:$W$62='FC R10'!$B32),
     _xlpm.EOL, _xlfn.CHOOSECOLS(_xlpm.filtered,6),
AVERAGE(_xlpm.EOL))</f>
        <v>2.9084410784313723</v>
      </c>
      <c r="E32" s="45" cm="1">
        <f t="array" ref="E32">_xlfn.LET(_xlpm.data, $W$43:$AB$62,
     _xlpm.filtered, _xlfn._xlws.FILTER(_xlpm.data, $W$43:$W$62='FC R10'!$B32),
     _xlpm.EOL, _xlfn.CHOOSECOLS(_xlpm.filtered,6),
MAX(_xlpm.EOL))</f>
        <v>3.005946666666667</v>
      </c>
      <c r="F32" s="38"/>
      <c r="G32" s="79">
        <f>D32*$C$4</f>
        <v>177.4149057843137</v>
      </c>
      <c r="H32" s="73">
        <f t="shared" si="4"/>
        <v>4.3626616176470581</v>
      </c>
      <c r="I32" s="74">
        <f t="shared" si="5"/>
        <v>181.77756740196077</v>
      </c>
      <c r="J32" s="73">
        <f>I32-$C$6</f>
        <v>51.277567401960766</v>
      </c>
      <c r="K32" s="75">
        <f>J32/$C$7</f>
        <v>2.0511026960784307</v>
      </c>
      <c r="L32" s="38"/>
      <c r="M32" s="79">
        <f>E32*$C$4</f>
        <v>183.36274666666668</v>
      </c>
      <c r="N32" s="73">
        <f t="shared" si="6"/>
        <v>4.5089200000000007</v>
      </c>
      <c r="O32" s="74">
        <f t="shared" si="7"/>
        <v>187.87166666666667</v>
      </c>
      <c r="P32" s="73">
        <f>O32-$C$6</f>
        <v>57.37166666666667</v>
      </c>
      <c r="Q32" s="75">
        <f>P32/$C$7</f>
        <v>2.2948666666666666</v>
      </c>
    </row>
    <row r="33" spans="2:30" x14ac:dyDescent="0.3">
      <c r="B33" t="s">
        <v>132</v>
      </c>
    </row>
    <row r="34" spans="2:30" x14ac:dyDescent="0.3">
      <c r="B34" s="83" t="s">
        <v>134</v>
      </c>
      <c r="C34" s="83"/>
    </row>
    <row r="41" spans="2:30" ht="15" thickBot="1" x14ac:dyDescent="0.35"/>
    <row r="42" spans="2:30" ht="29.4" thickBot="1" x14ac:dyDescent="0.35">
      <c r="W42" s="39" t="s">
        <v>34</v>
      </c>
      <c r="X42" s="51" t="s">
        <v>33</v>
      </c>
      <c r="Y42" s="46" t="s">
        <v>110</v>
      </c>
      <c r="AA42" s="57" t="s">
        <v>115</v>
      </c>
      <c r="AB42" s="58" t="s">
        <v>109</v>
      </c>
      <c r="AC42" s="38"/>
      <c r="AD42" s="46" t="s">
        <v>111</v>
      </c>
    </row>
    <row r="43" spans="2:30" x14ac:dyDescent="0.3">
      <c r="W43" s="9" t="s">
        <v>29</v>
      </c>
      <c r="X43" s="52" t="str" cm="1">
        <f t="array" ref="X43:X62">_xlfn._xlws.FILTER(_xlfn.UNIQUE('DUMP R10'!B:B),_xlfn.UNIQUE('DUMP R10'!B:B)&lt;&gt;0)</f>
        <v>Andre Heimgartner, BJR019</v>
      </c>
      <c r="Y43" s="54" cm="1">
        <f t="array" ref="Y43">_xlfn.LET(_xlpm.data, 'DUMP R10'!$A$3:$J$10000,
     _xlpm.filtered, _xlfn._xlws.FILTER(_xlpm.data,'DUMP R10'!$B$3:$B$10000=$X43),
     _xlpm.EOL_Dash, _xlfn.CHOOSECOLS(_xlpm.filtered,7),
AVERAGE(_xlpm.EOL_Dash))</f>
        <v>2.2226470588235294</v>
      </c>
      <c r="AA43" s="54">
        <f t="shared" ref="AA43:AA62" si="8">Y43/$C$9</f>
        <v>2.8147385775696061</v>
      </c>
      <c r="AB43" s="12" cm="1">
        <f t="array" ref="AB43">_xlfn.LET(_xlpm.data, 'DUMP R10'!$A$3:$J$10000,
     _xlpm.filtered, _xlfn._xlws.FILTER(_xlpm.data,'DUMP R10'!$B$3:$B$10000=$X43),
     _xlpm.EOL_w_Error, _xlfn.CHOOSECOLS(_xlpm.filtered,10),
AVERAGE(_xlpm.EOL_w_Error))</f>
        <v>2.9298400000000004</v>
      </c>
      <c r="AD43" s="47">
        <f t="shared" ref="AD43:AD62" si="9">1-AB43/AA43</f>
        <v>-4.0892402352256552E-2</v>
      </c>
    </row>
    <row r="44" spans="2:30" x14ac:dyDescent="0.3">
      <c r="W44" s="13" t="s">
        <v>31</v>
      </c>
      <c r="X44" s="21" t="str">
        <v>Thomas Randle, TR26</v>
      </c>
      <c r="Y44" s="55" cm="1">
        <f t="array" ref="Y44">_xlfn.LET(_xlpm.data, 'DUMP R10'!$A$3:$J$10000,
     _xlpm.filtered, _xlfn._xlws.FILTER(_xlpm.data,'DUMP R10'!$B$3:$B$10000=$X44),
     _xlpm.EOL_Dash, _xlfn.CHOOSECOLS(_xlpm.filtered,7),
AVERAGE(_xlpm.EOL_Dash))</f>
        <v>2.1544117647058822</v>
      </c>
      <c r="AA44" s="55">
        <f t="shared" si="8"/>
        <v>2.728326065991447</v>
      </c>
      <c r="AB44" s="14" cm="1">
        <f t="array" ref="AB44">_xlfn.LET(_xlpm.data, 'DUMP R10'!$A$3:$J$10000,
     _xlpm.filtered, _xlfn._xlws.FILTER(_xlpm.data,'DUMP R10'!$B$3:$B$10000=X44),
     _xlpm.EOL_w_Error, _xlfn.CHOOSECOLS(_xlpm.filtered,10),
AVERAGE(_xlpm.EOL_w_Error))</f>
        <v>2.7950173529411755</v>
      </c>
      <c r="AD44" s="48">
        <f t="shared" si="9"/>
        <v>-2.4444031005323996E-2</v>
      </c>
    </row>
    <row r="45" spans="2:30" x14ac:dyDescent="0.3">
      <c r="W45" s="13" t="s">
        <v>31</v>
      </c>
      <c r="X45" s="21" t="str">
        <v>Rylan Gray, DJRS08-MR</v>
      </c>
      <c r="Y45" s="55" cm="1">
        <f t="array" ref="Y45">_xlfn.LET(_xlpm.data, 'DUMP R10'!$A$3:$J$10000,
     _xlpm.filtered, _xlfn._xlws.FILTER(_xlpm.data,'DUMP R10'!$B$3:$B$10000=$X45),
     _xlpm.EOL_Dash, _xlfn.CHOOSECOLS(_xlpm.filtered,7),
AVERAGE(_xlpm.EOL_Dash))</f>
        <v>2.1291176470588233</v>
      </c>
      <c r="AA45" s="55">
        <f t="shared" si="8"/>
        <v>2.6962938418719569</v>
      </c>
      <c r="AB45" s="14" cm="1">
        <f t="array" ref="AB45">_xlfn.LET(_xlpm.data, 'DUMP R10'!$A$3:$J$10000,
     _xlpm.filtered, _xlfn._xlws.FILTER(_xlpm.data,'DUMP R10'!$B$3:$B$10000=X45),
     _xlpm.EOL_w_Error, _xlfn.CHOOSECOLS(_xlpm.filtered,10),
AVERAGE(_xlpm.EOL_w_Error))</f>
        <v>2.7597058823529408</v>
      </c>
      <c r="AD45" s="48">
        <f t="shared" si="9"/>
        <v>-2.3518223235253544E-2</v>
      </c>
    </row>
    <row r="46" spans="2:30" x14ac:dyDescent="0.3">
      <c r="W46" s="13" t="s">
        <v>31</v>
      </c>
      <c r="X46" s="21" t="str">
        <v>Cam Waters, TR28</v>
      </c>
      <c r="Y46" s="55" cm="1">
        <f t="array" ref="Y46">_xlfn.LET(_xlpm.data, 'DUMP R10'!$A$3:$J$10000,
     _xlpm.filtered, _xlfn._xlws.FILTER(_xlpm.data,'DUMP R10'!$B$3:$B$10000=$X46),
     _xlpm.EOL_Dash, _xlfn.CHOOSECOLS(_xlpm.filtered,7),
AVERAGE(_xlpm.EOL_Dash))</f>
        <v>2.2167647058823525</v>
      </c>
      <c r="AA46" s="55">
        <f t="shared" si="8"/>
        <v>2.8072892231232127</v>
      </c>
      <c r="AB46" s="14" cm="1">
        <f t="array" ref="AB46">_xlfn.LET(_xlpm.data, 'DUMP R10'!$A$3:$J$10000,
     _xlpm.filtered, _xlfn._xlws.FILTER(_xlpm.data,'DUMP R10'!$B$3:$B$10000=X46),
     _xlpm.EOL_w_Error, _xlfn.CHOOSECOLS(_xlpm.filtered,10),
AVERAGE(_xlpm.EOL_w_Error))</f>
        <v>2.8760161764705887</v>
      </c>
      <c r="AD46" s="48">
        <f t="shared" si="9"/>
        <v>-2.4481607659546656E-2</v>
      </c>
    </row>
    <row r="47" spans="2:30" x14ac:dyDescent="0.3">
      <c r="W47" s="13" t="s">
        <v>30</v>
      </c>
      <c r="X47" s="21" t="str">
        <v>Jayden Ojeda, 888A-064</v>
      </c>
      <c r="Y47" s="55" cm="1">
        <f t="array" ref="Y47">_xlfn.LET(_xlpm.data, 'DUMP R10'!$A$3:$J$10000,
     _xlpm.filtered, _xlfn._xlws.FILTER(_xlpm.data,'DUMP R10'!$B$3:$B$10000=$X47),
     _xlpm.EOL_Dash, _xlfn.CHOOSECOLS(_xlpm.filtered,7),
AVERAGE(_xlpm.EOL_Dash))</f>
        <v>2.171470588235294</v>
      </c>
      <c r="AA47" s="55">
        <f t="shared" si="8"/>
        <v>2.7499291938859867</v>
      </c>
      <c r="AB47" s="14" cm="1">
        <f t="array" ref="AB47">_xlfn.LET(_xlpm.data, 'DUMP R10'!$A$3:$J$10000,
     _xlpm.filtered, _xlfn._xlws.FILTER(_xlpm.data,'DUMP R10'!$B$3:$B$10000=X47),
     _xlpm.EOL_w_Error, _xlfn.CHOOSECOLS(_xlpm.filtered,10),
AVERAGE(_xlpm.EOL_w_Error))</f>
        <v>2.7059117647058821</v>
      </c>
      <c r="AD47" s="48">
        <f t="shared" si="9"/>
        <v>1.6006750020316929E-2</v>
      </c>
    </row>
    <row r="48" spans="2:30" x14ac:dyDescent="0.3">
      <c r="W48" s="13" t="s">
        <v>31</v>
      </c>
      <c r="X48" s="21" t="str">
        <v>Broc Feeney, 888A-072</v>
      </c>
      <c r="Y48" s="55" cm="1">
        <f t="array" ref="Y48">_xlfn.LET(_xlpm.data, 'DUMP R10'!$A$3:$J$10000,
     _xlpm.filtered, _xlfn._xlws.FILTER(_xlpm.data,'DUMP R10'!$B$3:$B$10000=$X48),
     _xlpm.EOL_Dash, _xlfn.CHOOSECOLS(_xlpm.filtered,7),
AVERAGE(_xlpm.EOL_Dash))</f>
        <v>2.1549999999999998</v>
      </c>
      <c r="AA48" s="55">
        <f t="shared" si="8"/>
        <v>2.7290710014360862</v>
      </c>
      <c r="AB48" s="14" cm="1">
        <f t="array" ref="AB48">_xlfn.LET(_xlpm.data, 'DUMP R10'!$A$3:$J$10000,
     _xlpm.filtered, _xlfn._xlws.FILTER(_xlpm.data,'DUMP R10'!$B$3:$B$10000=X48),
     _xlpm.EOL_w_Error, _xlfn.CHOOSECOLS(_xlpm.filtered,10),
AVERAGE(_xlpm.EOL_w_Error))</f>
        <v>2.7937588235294117</v>
      </c>
      <c r="AD48" s="48">
        <f t="shared" si="9"/>
        <v>-2.3703238962740736E-2</v>
      </c>
    </row>
    <row r="49" spans="23:30" x14ac:dyDescent="0.3">
      <c r="W49" s="13" t="s">
        <v>30</v>
      </c>
      <c r="X49" s="21" t="str">
        <v>Zach Bates, MSR-006</v>
      </c>
      <c r="Y49" s="55" cm="1">
        <f t="array" ref="Y49">_xlfn.LET(_xlpm.data, 'DUMP R10'!$A$3:$J$10000,
     _xlpm.filtered, _xlfn._xlws.FILTER(_xlpm.data,'DUMP R10'!$B$3:$B$10000=$X49),
     _xlpm.EOL_Dash, _xlfn.CHOOSECOLS(_xlpm.filtered,7),
AVERAGE(_xlpm.EOL_Dash))</f>
        <v>2.2476470588235298</v>
      </c>
      <c r="AA49" s="55">
        <f t="shared" si="8"/>
        <v>2.8463983339667771</v>
      </c>
      <c r="AB49" s="14" cm="1">
        <f t="array" ref="AB49">_xlfn.LET(_xlpm.data, 'DUMP R10'!$A$3:$J$10000,
     _xlpm.filtered, _xlfn._xlws.FILTER(_xlpm.data,'DUMP R10'!$B$3:$B$10000=X49),
     _xlpm.EOL_w_Error, _xlfn.CHOOSECOLS(_xlpm.filtered,10),
AVERAGE(_xlpm.EOL_w_Error))</f>
        <v>2.8013029411764698</v>
      </c>
      <c r="AD49" s="48">
        <f t="shared" si="9"/>
        <v>1.5842966267993086E-2</v>
      </c>
    </row>
    <row r="50" spans="23:30" x14ac:dyDescent="0.3">
      <c r="W50" s="13" t="s">
        <v>31</v>
      </c>
      <c r="X50" s="21" t="str">
        <v>Will Brown, 888A-073</v>
      </c>
      <c r="Y50" s="55" cm="1">
        <f t="array" ref="Y50">_xlfn.LET(_xlpm.data, 'DUMP R10'!$A$3:$J$10000,
     _xlpm.filtered, _xlfn._xlws.FILTER(_xlpm.data,'DUMP R10'!$B$3:$B$10000=$X50),
     _xlpm.EOL_Dash, _xlfn.CHOOSECOLS(_xlpm.filtered,7),
AVERAGE(_xlpm.EOL_Dash))</f>
        <v>2.1994117647058822</v>
      </c>
      <c r="AA50" s="55">
        <f t="shared" si="8"/>
        <v>2.7853136275063535</v>
      </c>
      <c r="AB50" s="14" cm="1">
        <f t="array" ref="AB50">_xlfn.LET(_xlpm.data, 'DUMP R10'!$A$3:$J$10000,
     _xlpm.filtered, _xlfn._xlws.FILTER(_xlpm.data,'DUMP R10'!$B$3:$B$10000=X50),
     _xlpm.EOL_w_Error, _xlfn.CHOOSECOLS(_xlpm.filtered,10),
AVERAGE(_xlpm.EOL_w_Error))</f>
        <v>2.8432941176470585</v>
      </c>
      <c r="AD50" s="48">
        <f t="shared" si="9"/>
        <v>-2.0816503236159356E-2</v>
      </c>
    </row>
    <row r="51" spans="23:30" x14ac:dyDescent="0.3">
      <c r="W51" s="13" t="s">
        <v>30</v>
      </c>
      <c r="X51" s="21" t="str">
        <v>Jack Le Brocq, MSR-005</v>
      </c>
      <c r="Y51" s="55" cm="1">
        <f t="array" ref="Y51">_xlfn.LET(_xlpm.data, 'DUMP R10'!$A$3:$J$10000,
     _xlpm.filtered, _xlfn._xlws.FILTER(_xlpm.data,'DUMP R10'!$B$3:$B$10000=$X51),
     _xlpm.EOL_Dash, _xlfn.CHOOSECOLS(_xlpm.filtered,7),
AVERAGE(_xlpm.EOL_Dash))</f>
        <v>2.2082352941176464</v>
      </c>
      <c r="AA51" s="55">
        <f t="shared" si="8"/>
        <v>2.7964876591759422</v>
      </c>
      <c r="AB51" s="14" cm="1">
        <f t="array" ref="AB51">_xlfn.LET(_xlpm.data, 'DUMP R10'!$A$3:$J$10000,
     _xlpm.filtered, _xlfn._xlws.FILTER(_xlpm.data,'DUMP R10'!$B$3:$B$10000=X51),
     _xlpm.EOL_w_Error, _xlfn.CHOOSECOLS(_xlpm.filtered,10),
AVERAGE(_xlpm.EOL_w_Error))</f>
        <v>2.7661323529411761</v>
      </c>
      <c r="AD51" s="48">
        <f t="shared" si="9"/>
        <v>1.0854797136387595E-2</v>
      </c>
    </row>
    <row r="52" spans="23:30" x14ac:dyDescent="0.3">
      <c r="W52" s="13" t="s">
        <v>31</v>
      </c>
      <c r="X52" s="21" t="str">
        <v>James Golding, BRT-002</v>
      </c>
      <c r="Y52" s="55" cm="1">
        <f t="array" ref="Y52">_xlfn.LET(_xlpm.data, 'DUMP R10'!$A$3:$J$10000,
     _xlpm.filtered, _xlfn._xlws.FILTER(_xlpm.data,'DUMP R10'!$B$3:$B$10000=$X52),
     _xlpm.EOL_Dash, _xlfn.CHOOSECOLS(_xlpm.filtered,7),
AVERAGE(_xlpm.EOL_Dash))</f>
        <v>2.2038235294117645</v>
      </c>
      <c r="AA52" s="55">
        <f t="shared" si="8"/>
        <v>2.7909006433411481</v>
      </c>
      <c r="AB52" s="14" cm="1">
        <f t="array" ref="AB52">_xlfn.LET(_xlpm.data, 'DUMP R10'!$A$3:$J$10000,
     _xlpm.filtered, _xlfn._xlws.FILTER(_xlpm.data,'DUMP R10'!$B$3:$B$10000=X52),
     _xlpm.EOL_w_Error, _xlfn.CHOOSECOLS(_xlpm.filtered,10),
AVERAGE(_xlpm.EOL_w_Error))</f>
        <v>2.8560235294117637</v>
      </c>
      <c r="AD52" s="48">
        <f t="shared" si="9"/>
        <v>-2.3334003747497611E-2</v>
      </c>
    </row>
    <row r="53" spans="23:30" x14ac:dyDescent="0.3">
      <c r="W53" s="13" t="s">
        <v>31</v>
      </c>
      <c r="X53" s="21" t="str">
        <v>Jackson Walls, 888A-074</v>
      </c>
      <c r="Y53" s="55" cm="1">
        <f t="array" ref="Y53">_xlfn.LET(_xlpm.data, 'DUMP R10'!$A$3:$J$10000,
     _xlpm.filtered, _xlfn._xlws.FILTER(_xlpm.data,'DUMP R10'!$B$3:$B$10000=$X53),
     _xlpm.EOL_Dash, _xlfn.CHOOSECOLS(_xlpm.filtered,7),
AVERAGE(_xlpm.EOL_Dash))</f>
        <v>2.1164705882352948</v>
      </c>
      <c r="AA53" s="55">
        <f t="shared" si="8"/>
        <v>2.6802777298122127</v>
      </c>
      <c r="AB53" s="14" cm="1">
        <f t="array" ref="AB53">_xlfn.LET(_xlpm.data, 'DUMP R10'!$A$3:$J$10000,
     _xlpm.filtered, _xlfn._xlws.FILTER(_xlpm.data,'DUMP R10'!$B$3:$B$10000=X53),
     _xlpm.EOL_w_Error, _xlfn.CHOOSECOLS(_xlpm.filtered,10),
AVERAGE(_xlpm.EOL_w_Error))</f>
        <v>2.7363200000000005</v>
      </c>
      <c r="AD53" s="48">
        <f t="shared" si="9"/>
        <v>-2.0909128022234658E-2</v>
      </c>
    </row>
    <row r="54" spans="23:30" x14ac:dyDescent="0.3">
      <c r="W54" s="13" t="s">
        <v>29</v>
      </c>
      <c r="X54" s="21" t="str">
        <v>Chaz Mostert, WR-032</v>
      </c>
      <c r="Y54" s="55" cm="1">
        <f t="array" ref="Y54">_xlfn.LET(_xlpm.data, 'DUMP R10'!$A$3:$J$10000,
     _xlpm.filtered, _xlfn._xlws.FILTER(_xlpm.data,'DUMP R10'!$B$3:$B$10000=$X54),
     _xlpm.EOL_Dash, _xlfn.CHOOSECOLS(_xlpm.filtered,7),
AVERAGE(_xlpm.EOL_Dash))</f>
        <v>2.1591176470588231</v>
      </c>
      <c r="AA54" s="55">
        <f t="shared" si="8"/>
        <v>2.7342855495485607</v>
      </c>
      <c r="AB54" s="14" cm="1">
        <f t="array" ref="AB54">_xlfn.LET(_xlpm.data, 'DUMP R10'!$A$3:$J$10000,
     _xlpm.filtered, _xlfn._xlws.FILTER(_xlpm.data,'DUMP R10'!$B$3:$B$10000=X54),
     _xlpm.EOL_w_Error, _xlfn.CHOOSECOLS(_xlpm.filtered,10),
AVERAGE(_xlpm.EOL_w_Error))</f>
        <v>2.8395670588235289</v>
      </c>
      <c r="AD54" s="48">
        <f t="shared" si="9"/>
        <v>-3.8504211563547441E-2</v>
      </c>
    </row>
    <row r="55" spans="23:30" x14ac:dyDescent="0.3">
      <c r="W55" s="13" t="s">
        <v>31</v>
      </c>
      <c r="X55" s="21" t="str">
        <v>Aaron Cameron, BRT-001</v>
      </c>
      <c r="Y55" s="55" cm="1">
        <f t="array" ref="Y55">_xlfn.LET(_xlpm.data, 'DUMP R10'!$A$3:$J$10000,
     _xlpm.filtered, _xlfn._xlws.FILTER(_xlpm.data,'DUMP R10'!$B$3:$B$10000=$X55),
     _xlpm.EOL_Dash, _xlfn.CHOOSECOLS(_xlpm.filtered,7),
AVERAGE(_xlpm.EOL_Dash))</f>
        <v>2.2139393939393943</v>
      </c>
      <c r="AA55" s="55">
        <f t="shared" si="8"/>
        <v>2.8037112756088098</v>
      </c>
      <c r="AB55" s="14" cm="1">
        <f t="array" ref="AB55">_xlfn.LET(_xlpm.data, 'DUMP R10'!$A$3:$J$10000,
     _xlpm.filtered, _xlfn._xlws.FILTER(_xlpm.data,'DUMP R10'!$B$3:$B$10000=X55),
     _xlpm.EOL_w_Error, _xlfn.CHOOSECOLS(_xlpm.filtered,10),
AVERAGE(_xlpm.EOL_w_Error))</f>
        <v>2.8630181818181821</v>
      </c>
      <c r="AD55" s="48">
        <f t="shared" si="9"/>
        <v>-2.1153000569394953E-2</v>
      </c>
    </row>
    <row r="56" spans="23:30" x14ac:dyDescent="0.3">
      <c r="W56" s="13" t="s">
        <v>30</v>
      </c>
      <c r="X56" s="21" t="str">
        <v>Anton De Pasquale, T18-004</v>
      </c>
      <c r="Y56" s="55" cm="1">
        <f t="array" ref="Y56">_xlfn.LET(_xlpm.data, 'DUMP R10'!$A$3:$J$10000,
     _xlpm.filtered, _xlfn._xlws.FILTER(_xlpm.data,'DUMP R10'!$B$3:$B$10000=$X56),
     _xlpm.EOL_Dash, _xlfn.CHOOSECOLS(_xlpm.filtered,7),
AVERAGE(_xlpm.EOL_Dash))</f>
        <v>2.2576470588235296</v>
      </c>
      <c r="AA56" s="55">
        <f t="shared" si="8"/>
        <v>2.8590622365256451</v>
      </c>
      <c r="AB56" s="14" cm="1">
        <f t="array" ref="AB56">_xlfn.LET(_xlpm.data, 'DUMP R10'!$A$3:$J$10000,
     _xlpm.filtered, _xlfn._xlws.FILTER(_xlpm.data,'DUMP R10'!$B$3:$B$10000=X56),
     _xlpm.EOL_w_Error, _xlfn.CHOOSECOLS(_xlpm.filtered,10),
AVERAGE(_xlpm.EOL_w_Error))</f>
        <v>2.8252676470588232</v>
      </c>
      <c r="AD56" s="48">
        <f t="shared" si="9"/>
        <v>1.1820165729546805E-2</v>
      </c>
    </row>
    <row r="57" spans="23:30" x14ac:dyDescent="0.3">
      <c r="W57" s="13" t="s">
        <v>30</v>
      </c>
      <c r="X57" s="21" t="str">
        <v>Declan Fraser, 888A-062</v>
      </c>
      <c r="Y57" s="55" cm="1">
        <f t="array" ref="Y57">_xlfn.LET(_xlpm.data, 'DUMP R10'!$A$3:$J$10000,
     _xlpm.filtered, _xlfn._xlws.FILTER(_xlpm.data,'DUMP R10'!$B$3:$B$10000=$X57),
     _xlpm.EOL_Dash, _xlfn.CHOOSECOLS(_xlpm.filtered,7),
AVERAGE(_xlpm.EOL_Dash))</f>
        <v>2.2303030303030305</v>
      </c>
      <c r="AA57" s="55">
        <f t="shared" si="8"/>
        <v>2.8244340252505937</v>
      </c>
      <c r="AB57" s="14" cm="1">
        <f t="array" ref="AB57">_xlfn.LET(_xlpm.data, 'DUMP R10'!$A$3:$J$10000,
     _xlpm.filtered, _xlfn._xlws.FILTER(_xlpm.data,'DUMP R10'!$B$3:$B$10000=X57),
     _xlpm.EOL_w_Error, _xlfn.CHOOSECOLS(_xlpm.filtered,10),
AVERAGE(_xlpm.EOL_w_Error))</f>
        <v>2.7854545454545452</v>
      </c>
      <c r="AD57" s="48">
        <f t="shared" si="9"/>
        <v>1.3800810869565305E-2</v>
      </c>
    </row>
    <row r="58" spans="23:30" x14ac:dyDescent="0.3">
      <c r="W58" s="13" t="s">
        <v>31</v>
      </c>
      <c r="X58" s="21" t="str">
        <v>Brodie Kostecki, DJRS09-MR</v>
      </c>
      <c r="Y58" s="55" cm="1">
        <f t="array" ref="Y58">_xlfn.LET(_xlpm.data, 'DUMP R10'!$A$3:$J$10000,
     _xlpm.filtered, _xlfn._xlws.FILTER(_xlpm.data,'DUMP R10'!$B$3:$B$10000=$X58),
     _xlpm.EOL_Dash, _xlfn.CHOOSECOLS(_xlpm.filtered,7),
AVERAGE(_xlpm.EOL_Dash))</f>
        <v>2.1429411764705888</v>
      </c>
      <c r="AA58" s="55">
        <f t="shared" si="8"/>
        <v>2.7137998248209811</v>
      </c>
      <c r="AB58" s="14" cm="1">
        <f t="array" ref="AB58">_xlfn.LET(_xlpm.data, 'DUMP R10'!$A$3:$J$10000,
     _xlpm.filtered, _xlfn._xlws.FILTER(_xlpm.data,'DUMP R10'!$B$3:$B$10000=X58),
     _xlpm.EOL_w_Error, _xlfn.CHOOSECOLS(_xlpm.filtered,10),
AVERAGE(_xlpm.EOL_w_Error))</f>
        <v>2.7788235294117651</v>
      </c>
      <c r="AD58" s="48">
        <f t="shared" si="9"/>
        <v>-2.3960390886631933E-2</v>
      </c>
    </row>
    <row r="59" spans="23:30" x14ac:dyDescent="0.3">
      <c r="W59" s="13" t="s">
        <v>29</v>
      </c>
      <c r="X59" s="21" t="str">
        <v>Ryan Wood, WR-030</v>
      </c>
      <c r="Y59" s="55" cm="1">
        <f t="array" ref="Y59">_xlfn.LET(_xlpm.data, 'DUMP R10'!$A$3:$J$10000,
     _xlpm.filtered, _xlfn._xlws.FILTER(_xlpm.data,'DUMP R10'!$B$3:$B$10000=$X59),
     _xlpm.EOL_Dash, _xlfn.CHOOSECOLS(_xlpm.filtered,7),
AVERAGE(_xlpm.EOL_Dash))</f>
        <v>2.1685294117647054</v>
      </c>
      <c r="AA59" s="55">
        <f t="shared" si="8"/>
        <v>2.7462045166627895</v>
      </c>
      <c r="AB59" s="14" cm="1">
        <f t="array" ref="AB59">_xlfn.LET(_xlpm.data, 'DUMP R10'!$A$3:$J$10000,
     _xlpm.filtered, _xlfn._xlws.FILTER(_xlpm.data,'DUMP R10'!$B$3:$B$10000=X59),
     _xlpm.EOL_w_Error, _xlfn.CHOOSECOLS(_xlpm.filtered,10),
AVERAGE(_xlpm.EOL_w_Error))</f>
        <v>2.8584105882352944</v>
      </c>
      <c r="AD59" s="48">
        <f t="shared" si="9"/>
        <v>-4.0858599893666581E-2</v>
      </c>
    </row>
    <row r="60" spans="23:30" x14ac:dyDescent="0.3">
      <c r="W60" s="13" t="s">
        <v>29</v>
      </c>
      <c r="X60" s="21" t="str">
        <v>Macauley Jones, BJR018</v>
      </c>
      <c r="Y60" s="55" cm="1">
        <f t="array" ref="Y60">_xlfn.LET(_xlpm.data, 'DUMP R10'!$A$3:$J$10000,
     _xlpm.filtered, _xlfn._xlws.FILTER(_xlpm.data,'DUMP R10'!$B$3:$B$10000=$X60),
     _xlpm.EOL_Dash, _xlfn.CHOOSECOLS(_xlpm.filtered,7),
AVERAGE(_xlpm.EOL_Dash))</f>
        <v>2.2909999999999995</v>
      </c>
      <c r="AA60" s="55">
        <f t="shared" si="8"/>
        <v>2.9013000762366925</v>
      </c>
      <c r="AB60" s="14" cm="1">
        <f t="array" ref="AB60">_xlfn.LET(_xlpm.data, 'DUMP R10'!$A$3:$J$10000,
     _xlpm.filtered, _xlfn._xlws.FILTER(_xlpm.data,'DUMP R10'!$B$3:$B$10000=X60),
     _xlpm.EOL_w_Error, _xlfn.CHOOSECOLS(_xlpm.filtered,10),
AVERAGE(_xlpm.EOL_w_Error))</f>
        <v>3.005946666666667</v>
      </c>
      <c r="AD60" s="48">
        <f t="shared" si="9"/>
        <v>-3.6068861434599642E-2</v>
      </c>
    </row>
    <row r="61" spans="23:30" x14ac:dyDescent="0.3">
      <c r="W61" s="13" t="s">
        <v>31</v>
      </c>
      <c r="X61" s="21" t="str">
        <v>Matt Payne, GR02</v>
      </c>
      <c r="Y61" s="55" cm="1">
        <f t="array" ref="Y61">_xlfn.LET(_xlpm.data, 'DUMP R10'!$A$3:$J$10000,
     _xlpm.filtered, _xlfn._xlws.FILTER(_xlpm.data,'DUMP R10'!$B$3:$B$10000=$X61),
     _xlpm.EOL_Dash, _xlfn.CHOOSECOLS(_xlpm.filtered,7),
AVERAGE(_xlpm.EOL_Dash))</f>
        <v>2.263235294117647</v>
      </c>
      <c r="AA61" s="55">
        <f t="shared" si="8"/>
        <v>2.866139123249718</v>
      </c>
      <c r="AB61" s="14" cm="1">
        <f t="array" ref="AB61">_xlfn.LET(_xlpm.data, 'DUMP R10'!$A$3:$J$10000,
     _xlpm.filtered, _xlfn._xlws.FILTER(_xlpm.data,'DUMP R10'!$B$3:$B$10000=X61),
     _xlpm.EOL_w_Error, _xlfn.CHOOSECOLS(_xlpm.filtered,10),
AVERAGE(_xlpm.EOL_w_Error))</f>
        <v>2.9269205882352947</v>
      </c>
      <c r="AD61" s="48">
        <f t="shared" si="9"/>
        <v>-2.1206739230669625E-2</v>
      </c>
    </row>
    <row r="62" spans="23:30" ht="15" thickBot="1" x14ac:dyDescent="0.35">
      <c r="W62" s="15" t="s">
        <v>31</v>
      </c>
      <c r="X62" s="53" t="str">
        <v>Kai Allen, GR-03</v>
      </c>
      <c r="Y62" s="56" cm="1">
        <f t="array" ref="Y62">_xlfn.LET(_xlpm.data, 'DUMP R10'!$A$3:$J$10000,
     _xlpm.filtered, _xlfn._xlws.FILTER(_xlpm.data,'DUMP R10'!$B$3:$B$10000=$X62),
     _xlpm.EOL_Dash, _xlfn.CHOOSECOLS(_xlpm.filtered,7),
AVERAGE(_xlpm.EOL_Dash))</f>
        <v>2.210294117647059</v>
      </c>
      <c r="AA62" s="56">
        <f t="shared" si="8"/>
        <v>2.7990949332321811</v>
      </c>
      <c r="AB62" s="18" cm="1">
        <f t="array" ref="AB62">_xlfn.LET(_xlpm.data, 'DUMP R10'!$A$3:$J$10000,
     _xlpm.filtered, _xlfn._xlws.FILTER(_xlpm.data,'DUMP R10'!$B$3:$B$10000=X62),
     _xlpm.EOL_w_Error, _xlfn.CHOOSECOLS(_xlpm.filtered,10),
AVERAGE(_xlpm.EOL_w_Error))</f>
        <v>2.8600823529411765</v>
      </c>
      <c r="AD62" s="49">
        <f t="shared" si="9"/>
        <v>-2.1788264122421852E-2</v>
      </c>
    </row>
  </sheetData>
  <mergeCells count="4">
    <mergeCell ref="G15:K15"/>
    <mergeCell ref="M15:Q15"/>
    <mergeCell ref="G28:K28"/>
    <mergeCell ref="M28:Q28"/>
  </mergeCells>
  <conditionalFormatting sqref="AD43:AD62">
    <cfRule type="colorScale" priority="1">
      <colorScale>
        <cfvo type="min"/>
        <cfvo type="num" val="0"/>
        <cfvo type="max"/>
        <color rgb="FFFF0000"/>
        <color theme="0" tint="-4.9989318521683403E-2"/>
        <color theme="6" tint="0.39997558519241921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6EEE-EB33-4B61-975B-68CD2CAE4608}">
  <dimension ref="A1:J742"/>
  <sheetViews>
    <sheetView topLeftCell="A398" workbookViewId="0">
      <selection activeCell="D22" sqref="D22"/>
    </sheetView>
  </sheetViews>
  <sheetFormatPr defaultRowHeight="14.4" x14ac:dyDescent="0.3"/>
  <cols>
    <col min="1" max="1" width="37.109375" customWidth="1"/>
    <col min="2" max="2" width="12.21875" customWidth="1"/>
    <col min="3" max="3" width="13" customWidth="1"/>
    <col min="4" max="4" width="23.88671875" customWidth="1"/>
    <col min="6" max="6" width="7.109375" bestFit="1" customWidth="1"/>
    <col min="7" max="7" width="20.33203125" style="37" bestFit="1" customWidth="1"/>
    <col min="8" max="8" width="18.33203125" bestFit="1" customWidth="1"/>
    <col min="9" max="9" width="8.88671875" style="37"/>
    <col min="10" max="10" width="15.6640625" bestFit="1" customWidth="1"/>
  </cols>
  <sheetData>
    <row r="1" spans="1:10" x14ac:dyDescent="0.3">
      <c r="A1" t="s">
        <v>0</v>
      </c>
      <c r="G1" s="37" t="s">
        <v>113</v>
      </c>
      <c r="H1" t="s">
        <v>112</v>
      </c>
      <c r="I1" s="37" t="s">
        <v>37</v>
      </c>
      <c r="J1" s="23" t="s">
        <v>114</v>
      </c>
    </row>
    <row r="2" spans="1:10" x14ac:dyDescent="0.3">
      <c r="G2" s="37" t="s">
        <v>2</v>
      </c>
      <c r="H2" t="s">
        <v>2</v>
      </c>
      <c r="I2" s="37" t="s">
        <v>2</v>
      </c>
    </row>
    <row r="3" spans="1:10" x14ac:dyDescent="0.3">
      <c r="A3" t="s">
        <v>25</v>
      </c>
      <c r="B3" t="s">
        <v>26</v>
      </c>
      <c r="C3" t="s">
        <v>43</v>
      </c>
      <c r="D3" t="s">
        <v>44</v>
      </c>
      <c r="E3" t="s">
        <v>9</v>
      </c>
      <c r="F3" s="1">
        <v>9.9381944444444452E-4</v>
      </c>
      <c r="G3" s="37">
        <v>2.14</v>
      </c>
      <c r="H3">
        <v>3.32</v>
      </c>
      <c r="I3" s="37">
        <v>0.84799999999999998</v>
      </c>
      <c r="J3">
        <f>H3*I3</f>
        <v>2.8153599999999996</v>
      </c>
    </row>
    <row r="4" spans="1:10" x14ac:dyDescent="0.3">
      <c r="A4" t="s">
        <v>25</v>
      </c>
      <c r="B4" t="s">
        <v>26</v>
      </c>
      <c r="C4" t="s">
        <v>43</v>
      </c>
      <c r="D4" t="s">
        <v>44</v>
      </c>
      <c r="E4" t="s">
        <v>10</v>
      </c>
      <c r="F4" s="1">
        <v>9.8560185185185187E-4</v>
      </c>
      <c r="G4" s="37">
        <v>2.09</v>
      </c>
      <c r="H4">
        <v>3.27</v>
      </c>
      <c r="I4" s="37">
        <v>0.84799999999999998</v>
      </c>
      <c r="J4">
        <f t="shared" ref="J4:J67" si="0">H4*I4</f>
        <v>2.7729599999999999</v>
      </c>
    </row>
    <row r="5" spans="1:10" x14ac:dyDescent="0.3">
      <c r="A5" t="s">
        <v>25</v>
      </c>
      <c r="B5" t="s">
        <v>26</v>
      </c>
      <c r="C5" t="s">
        <v>43</v>
      </c>
      <c r="D5" t="s">
        <v>44</v>
      </c>
      <c r="E5" t="s">
        <v>15</v>
      </c>
      <c r="F5" s="1">
        <v>9.8211805555555552E-4</v>
      </c>
      <c r="G5" s="37">
        <v>2.11</v>
      </c>
      <c r="H5">
        <v>3.3</v>
      </c>
      <c r="I5" s="37">
        <v>0.84799999999999998</v>
      </c>
      <c r="J5">
        <f t="shared" si="0"/>
        <v>2.7983999999999996</v>
      </c>
    </row>
    <row r="6" spans="1:10" x14ac:dyDescent="0.3">
      <c r="A6" t="s">
        <v>25</v>
      </c>
      <c r="B6" t="s">
        <v>26</v>
      </c>
      <c r="C6" t="s">
        <v>43</v>
      </c>
      <c r="D6" t="s">
        <v>44</v>
      </c>
      <c r="E6" t="s">
        <v>16</v>
      </c>
      <c r="F6" s="1">
        <v>9.822453703703703E-4</v>
      </c>
      <c r="G6" s="37">
        <v>2.12</v>
      </c>
      <c r="H6">
        <v>3.3</v>
      </c>
      <c r="I6" s="37">
        <v>0.84799999999999998</v>
      </c>
      <c r="J6">
        <f t="shared" si="0"/>
        <v>2.7983999999999996</v>
      </c>
    </row>
    <row r="7" spans="1:10" x14ac:dyDescent="0.3">
      <c r="A7" t="s">
        <v>25</v>
      </c>
      <c r="B7" t="s">
        <v>26</v>
      </c>
      <c r="C7" t="s">
        <v>43</v>
      </c>
      <c r="D7" t="s">
        <v>44</v>
      </c>
      <c r="E7" t="s">
        <v>17</v>
      </c>
      <c r="F7" s="1">
        <v>9.7726851851851859E-4</v>
      </c>
      <c r="G7" s="37">
        <v>2.2200000000000002</v>
      </c>
      <c r="H7">
        <v>3.45</v>
      </c>
      <c r="I7" s="37">
        <v>0.84799999999999998</v>
      </c>
      <c r="J7">
        <f t="shared" si="0"/>
        <v>2.9256000000000002</v>
      </c>
    </row>
    <row r="8" spans="1:10" x14ac:dyDescent="0.3">
      <c r="A8" t="s">
        <v>25</v>
      </c>
      <c r="B8" t="s">
        <v>26</v>
      </c>
      <c r="C8" t="s">
        <v>43</v>
      </c>
      <c r="D8" t="s">
        <v>44</v>
      </c>
      <c r="E8" t="s">
        <v>18</v>
      </c>
      <c r="F8" s="1">
        <v>9.7600694444444438E-4</v>
      </c>
      <c r="G8" s="37">
        <v>2.23</v>
      </c>
      <c r="H8">
        <v>3.46</v>
      </c>
      <c r="I8" s="37">
        <v>0.84799999999999998</v>
      </c>
      <c r="J8">
        <f t="shared" si="0"/>
        <v>2.9340799999999998</v>
      </c>
    </row>
    <row r="9" spans="1:10" x14ac:dyDescent="0.3">
      <c r="A9" t="s">
        <v>25</v>
      </c>
      <c r="B9" t="s">
        <v>26</v>
      </c>
      <c r="C9" t="s">
        <v>43</v>
      </c>
      <c r="D9" t="s">
        <v>44</v>
      </c>
      <c r="E9" t="s">
        <v>19</v>
      </c>
      <c r="F9" s="1">
        <v>9.7504629629629634E-4</v>
      </c>
      <c r="G9" s="37">
        <v>2.2200000000000002</v>
      </c>
      <c r="H9">
        <v>3.43</v>
      </c>
      <c r="I9" s="37">
        <v>0.84799999999999998</v>
      </c>
      <c r="J9">
        <f t="shared" si="0"/>
        <v>2.9086400000000001</v>
      </c>
    </row>
    <row r="10" spans="1:10" x14ac:dyDescent="0.3">
      <c r="A10" t="s">
        <v>25</v>
      </c>
      <c r="B10" t="s">
        <v>26</v>
      </c>
      <c r="C10" t="s">
        <v>43</v>
      </c>
      <c r="D10" t="s">
        <v>44</v>
      </c>
      <c r="E10" t="s">
        <v>45</v>
      </c>
      <c r="F10" s="1">
        <v>9.7607638888888885E-4</v>
      </c>
      <c r="G10" s="37">
        <v>2.2200000000000002</v>
      </c>
      <c r="H10">
        <v>3.44</v>
      </c>
      <c r="I10" s="37">
        <v>0.84799999999999998</v>
      </c>
      <c r="J10">
        <f t="shared" si="0"/>
        <v>2.9171199999999997</v>
      </c>
    </row>
    <row r="11" spans="1:10" x14ac:dyDescent="0.3">
      <c r="A11" t="s">
        <v>25</v>
      </c>
      <c r="B11" t="s">
        <v>26</v>
      </c>
      <c r="C11" t="s">
        <v>43</v>
      </c>
      <c r="D11" t="s">
        <v>44</v>
      </c>
      <c r="E11" t="s">
        <v>46</v>
      </c>
      <c r="F11" s="1">
        <v>9.7620370370370363E-4</v>
      </c>
      <c r="G11" s="37">
        <v>2.21</v>
      </c>
      <c r="H11">
        <v>3.43</v>
      </c>
      <c r="I11" s="37">
        <v>0.84799999999999998</v>
      </c>
      <c r="J11">
        <f t="shared" si="0"/>
        <v>2.9086400000000001</v>
      </c>
    </row>
    <row r="12" spans="1:10" x14ac:dyDescent="0.3">
      <c r="A12" t="s">
        <v>25</v>
      </c>
      <c r="B12" t="s">
        <v>26</v>
      </c>
      <c r="C12" t="s">
        <v>43</v>
      </c>
      <c r="D12" t="s">
        <v>44</v>
      </c>
      <c r="E12" t="s">
        <v>47</v>
      </c>
      <c r="F12" s="1">
        <v>9.7936342592592606E-4</v>
      </c>
      <c r="G12" s="37">
        <v>2.21</v>
      </c>
      <c r="H12">
        <v>3.44</v>
      </c>
      <c r="I12" s="37">
        <v>0.84799999999999998</v>
      </c>
      <c r="J12">
        <f t="shared" si="0"/>
        <v>2.9171199999999997</v>
      </c>
    </row>
    <row r="13" spans="1:10" x14ac:dyDescent="0.3">
      <c r="A13" t="s">
        <v>25</v>
      </c>
      <c r="B13" t="s">
        <v>26</v>
      </c>
      <c r="C13" t="s">
        <v>43</v>
      </c>
      <c r="D13" t="s">
        <v>44</v>
      </c>
      <c r="E13" t="s">
        <v>48</v>
      </c>
      <c r="F13" s="1">
        <v>9.7829861111111121E-4</v>
      </c>
      <c r="G13" s="37">
        <v>2.23</v>
      </c>
      <c r="H13">
        <v>3.46</v>
      </c>
      <c r="I13" s="37">
        <v>0.84799999999999998</v>
      </c>
      <c r="J13">
        <f t="shared" si="0"/>
        <v>2.9340799999999998</v>
      </c>
    </row>
    <row r="14" spans="1:10" x14ac:dyDescent="0.3">
      <c r="A14" t="s">
        <v>25</v>
      </c>
      <c r="B14" t="s">
        <v>26</v>
      </c>
      <c r="C14" t="s">
        <v>43</v>
      </c>
      <c r="D14" t="s">
        <v>44</v>
      </c>
      <c r="E14" t="s">
        <v>49</v>
      </c>
      <c r="F14" s="1">
        <v>9.7986111111111104E-4</v>
      </c>
      <c r="G14" s="37">
        <v>2.21</v>
      </c>
      <c r="H14">
        <v>3.43</v>
      </c>
      <c r="I14" s="37">
        <v>0.84799999999999998</v>
      </c>
      <c r="J14">
        <f t="shared" si="0"/>
        <v>2.9086400000000001</v>
      </c>
    </row>
    <row r="15" spans="1:10" x14ac:dyDescent="0.3">
      <c r="A15" t="s">
        <v>25</v>
      </c>
      <c r="B15" t="s">
        <v>26</v>
      </c>
      <c r="C15" t="s">
        <v>43</v>
      </c>
      <c r="D15" t="s">
        <v>44</v>
      </c>
      <c r="E15" t="s">
        <v>50</v>
      </c>
      <c r="F15" s="1">
        <v>9.7796296296296281E-4</v>
      </c>
      <c r="G15" s="37">
        <v>2.2200000000000002</v>
      </c>
      <c r="H15">
        <v>3.47</v>
      </c>
      <c r="I15" s="37">
        <v>0.84799999999999998</v>
      </c>
      <c r="J15">
        <f t="shared" si="0"/>
        <v>2.9425600000000003</v>
      </c>
    </row>
    <row r="16" spans="1:10" x14ac:dyDescent="0.3">
      <c r="A16" t="s">
        <v>25</v>
      </c>
      <c r="B16" t="s">
        <v>26</v>
      </c>
      <c r="C16" t="s">
        <v>43</v>
      </c>
      <c r="D16" t="s">
        <v>44</v>
      </c>
      <c r="E16" t="s">
        <v>51</v>
      </c>
      <c r="F16" s="1">
        <v>9.7787037037037026E-4</v>
      </c>
      <c r="G16" s="37">
        <v>2.2200000000000002</v>
      </c>
      <c r="H16">
        <v>3.47</v>
      </c>
      <c r="I16" s="37">
        <v>0.84799999999999998</v>
      </c>
      <c r="J16">
        <f t="shared" si="0"/>
        <v>2.9425600000000003</v>
      </c>
    </row>
    <row r="17" spans="1:10" x14ac:dyDescent="0.3">
      <c r="A17" t="s">
        <v>25</v>
      </c>
      <c r="B17" t="s">
        <v>26</v>
      </c>
      <c r="C17" t="s">
        <v>43</v>
      </c>
      <c r="D17" t="s">
        <v>44</v>
      </c>
      <c r="E17" t="s">
        <v>52</v>
      </c>
      <c r="F17" s="1">
        <v>9.8187500000000011E-4</v>
      </c>
      <c r="G17" s="37">
        <v>2.21</v>
      </c>
      <c r="H17">
        <v>3.45</v>
      </c>
      <c r="I17" s="37">
        <v>0.84799999999999998</v>
      </c>
      <c r="J17">
        <f t="shared" si="0"/>
        <v>2.9256000000000002</v>
      </c>
    </row>
    <row r="18" spans="1:10" x14ac:dyDescent="0.3">
      <c r="A18" t="s">
        <v>25</v>
      </c>
      <c r="B18" t="s">
        <v>26</v>
      </c>
      <c r="C18" t="s">
        <v>43</v>
      </c>
      <c r="D18" t="s">
        <v>44</v>
      </c>
      <c r="E18" t="s">
        <v>53</v>
      </c>
      <c r="F18" s="1">
        <v>9.7870370370370364E-4</v>
      </c>
      <c r="G18" s="37">
        <v>2.23</v>
      </c>
      <c r="H18">
        <v>3.46</v>
      </c>
      <c r="I18" s="37">
        <v>0.84799999999999998</v>
      </c>
      <c r="J18">
        <f t="shared" si="0"/>
        <v>2.9340799999999998</v>
      </c>
    </row>
    <row r="19" spans="1:10" x14ac:dyDescent="0.3">
      <c r="A19" t="s">
        <v>25</v>
      </c>
      <c r="B19" t="s">
        <v>26</v>
      </c>
      <c r="C19" t="s">
        <v>43</v>
      </c>
      <c r="D19" t="s">
        <v>44</v>
      </c>
      <c r="E19" t="s">
        <v>54</v>
      </c>
      <c r="F19" s="1">
        <v>9.8074074074074079E-4</v>
      </c>
      <c r="G19" s="37">
        <v>2.21</v>
      </c>
      <c r="H19">
        <v>3.44</v>
      </c>
      <c r="I19" s="37">
        <v>0.84799999999999998</v>
      </c>
      <c r="J19">
        <f t="shared" si="0"/>
        <v>2.9171199999999997</v>
      </c>
    </row>
    <row r="20" spans="1:10" x14ac:dyDescent="0.3">
      <c r="A20" t="s">
        <v>25</v>
      </c>
      <c r="B20" t="s">
        <v>26</v>
      </c>
      <c r="C20" t="s">
        <v>43</v>
      </c>
      <c r="D20" t="s">
        <v>44</v>
      </c>
      <c r="E20" t="s">
        <v>55</v>
      </c>
      <c r="F20" s="1">
        <v>9.7940972222222223E-4</v>
      </c>
      <c r="G20" s="37">
        <v>2.2400000000000002</v>
      </c>
      <c r="H20">
        <v>3.49</v>
      </c>
      <c r="I20" s="37">
        <v>0.84799999999999998</v>
      </c>
      <c r="J20">
        <f t="shared" si="0"/>
        <v>2.9595199999999999</v>
      </c>
    </row>
    <row r="21" spans="1:10" x14ac:dyDescent="0.3">
      <c r="A21" t="s">
        <v>25</v>
      </c>
      <c r="B21" t="s">
        <v>26</v>
      </c>
      <c r="C21" t="s">
        <v>43</v>
      </c>
      <c r="D21" t="s">
        <v>44</v>
      </c>
      <c r="E21" t="s">
        <v>56</v>
      </c>
      <c r="F21" s="1">
        <v>9.7835648148148152E-4</v>
      </c>
      <c r="G21" s="37">
        <v>2.27</v>
      </c>
      <c r="H21">
        <v>3.52</v>
      </c>
      <c r="I21" s="37">
        <v>0.84799999999999998</v>
      </c>
      <c r="J21">
        <f t="shared" si="0"/>
        <v>2.9849600000000001</v>
      </c>
    </row>
    <row r="22" spans="1:10" x14ac:dyDescent="0.3">
      <c r="A22" t="s">
        <v>25</v>
      </c>
      <c r="B22" t="s">
        <v>26</v>
      </c>
      <c r="C22" t="s">
        <v>43</v>
      </c>
      <c r="D22" t="s">
        <v>44</v>
      </c>
      <c r="E22" t="s">
        <v>57</v>
      </c>
      <c r="F22" s="1">
        <v>9.7836805555555567E-4</v>
      </c>
      <c r="G22" s="37">
        <v>2.2400000000000002</v>
      </c>
      <c r="H22">
        <v>3.47</v>
      </c>
      <c r="I22" s="37">
        <v>0.84799999999999998</v>
      </c>
      <c r="J22">
        <f t="shared" si="0"/>
        <v>2.9425600000000003</v>
      </c>
    </row>
    <row r="23" spans="1:10" x14ac:dyDescent="0.3">
      <c r="A23" t="s">
        <v>25</v>
      </c>
      <c r="B23" t="s">
        <v>26</v>
      </c>
      <c r="C23" t="s">
        <v>43</v>
      </c>
      <c r="D23" t="s">
        <v>44</v>
      </c>
      <c r="E23" t="s">
        <v>58</v>
      </c>
      <c r="F23" s="1">
        <v>9.798263888888888E-4</v>
      </c>
      <c r="G23" s="37">
        <v>2.2400000000000002</v>
      </c>
      <c r="H23">
        <v>3.49</v>
      </c>
      <c r="I23" s="37">
        <v>0.84799999999999998</v>
      </c>
      <c r="J23">
        <f t="shared" si="0"/>
        <v>2.9595199999999999</v>
      </c>
    </row>
    <row r="24" spans="1:10" x14ac:dyDescent="0.3">
      <c r="A24" t="s">
        <v>25</v>
      </c>
      <c r="B24" t="s">
        <v>26</v>
      </c>
      <c r="C24" t="s">
        <v>43</v>
      </c>
      <c r="D24" t="s">
        <v>44</v>
      </c>
      <c r="E24" t="s">
        <v>59</v>
      </c>
      <c r="F24" s="1">
        <v>9.6520833333333343E-4</v>
      </c>
      <c r="G24" s="37">
        <v>2.2400000000000002</v>
      </c>
      <c r="H24">
        <v>3.47</v>
      </c>
      <c r="I24" s="37">
        <v>0.84799999999999998</v>
      </c>
      <c r="J24">
        <f t="shared" si="0"/>
        <v>2.9425600000000003</v>
      </c>
    </row>
    <row r="25" spans="1:10" x14ac:dyDescent="0.3">
      <c r="A25" t="s">
        <v>25</v>
      </c>
      <c r="B25" t="s">
        <v>26</v>
      </c>
      <c r="C25" t="s">
        <v>43</v>
      </c>
      <c r="D25" t="s">
        <v>44</v>
      </c>
      <c r="E25" t="s">
        <v>60</v>
      </c>
      <c r="F25" s="1">
        <v>9.6666666666666667E-4</v>
      </c>
      <c r="G25" s="37">
        <v>2.25</v>
      </c>
      <c r="H25">
        <v>3.5</v>
      </c>
      <c r="I25" s="37">
        <v>0.84799999999999998</v>
      </c>
      <c r="J25">
        <f t="shared" si="0"/>
        <v>2.968</v>
      </c>
    </row>
    <row r="26" spans="1:10" x14ac:dyDescent="0.3">
      <c r="A26" t="s">
        <v>25</v>
      </c>
      <c r="B26" t="s">
        <v>26</v>
      </c>
      <c r="C26" t="s">
        <v>43</v>
      </c>
      <c r="D26" t="s">
        <v>44</v>
      </c>
      <c r="E26" t="s">
        <v>61</v>
      </c>
      <c r="F26" s="1">
        <v>9.6870370370370372E-4</v>
      </c>
      <c r="G26" s="37">
        <v>2.23</v>
      </c>
      <c r="H26">
        <v>3.48</v>
      </c>
      <c r="I26" s="37">
        <v>0.84799999999999998</v>
      </c>
      <c r="J26">
        <f t="shared" si="0"/>
        <v>2.9510399999999999</v>
      </c>
    </row>
    <row r="27" spans="1:10" x14ac:dyDescent="0.3">
      <c r="A27" t="s">
        <v>25</v>
      </c>
      <c r="B27" t="s">
        <v>26</v>
      </c>
      <c r="C27" t="s">
        <v>43</v>
      </c>
      <c r="D27" t="s">
        <v>44</v>
      </c>
      <c r="E27" t="s">
        <v>62</v>
      </c>
      <c r="F27" s="1">
        <v>9.726967592592592E-4</v>
      </c>
      <c r="G27" s="37">
        <v>2.23</v>
      </c>
      <c r="H27">
        <v>3.47</v>
      </c>
      <c r="I27" s="37">
        <v>0.84799999999999998</v>
      </c>
      <c r="J27">
        <f t="shared" si="0"/>
        <v>2.9425600000000003</v>
      </c>
    </row>
    <row r="28" spans="1:10" x14ac:dyDescent="0.3">
      <c r="A28" t="s">
        <v>25</v>
      </c>
      <c r="B28" t="s">
        <v>26</v>
      </c>
      <c r="C28" t="s">
        <v>43</v>
      </c>
      <c r="D28" t="s">
        <v>44</v>
      </c>
      <c r="E28" t="s">
        <v>63</v>
      </c>
      <c r="F28" s="1">
        <v>9.7148148148148159E-4</v>
      </c>
      <c r="G28" s="37">
        <v>2.25</v>
      </c>
      <c r="H28">
        <v>3.49</v>
      </c>
      <c r="I28" s="37">
        <v>0.84799999999999998</v>
      </c>
      <c r="J28">
        <f t="shared" si="0"/>
        <v>2.9595199999999999</v>
      </c>
    </row>
    <row r="29" spans="1:10" x14ac:dyDescent="0.3">
      <c r="A29" t="s">
        <v>25</v>
      </c>
      <c r="B29" t="s">
        <v>26</v>
      </c>
      <c r="C29" t="s">
        <v>43</v>
      </c>
      <c r="D29" t="s">
        <v>44</v>
      </c>
      <c r="E29" t="s">
        <v>64</v>
      </c>
      <c r="F29" s="1">
        <v>9.7217592592592592E-4</v>
      </c>
      <c r="G29" s="37">
        <v>2.2799999999999998</v>
      </c>
      <c r="H29">
        <v>3.55</v>
      </c>
      <c r="I29" s="37">
        <v>0.84799999999999998</v>
      </c>
      <c r="J29">
        <f t="shared" si="0"/>
        <v>3.0103999999999997</v>
      </c>
    </row>
    <row r="30" spans="1:10" x14ac:dyDescent="0.3">
      <c r="A30" t="s">
        <v>25</v>
      </c>
      <c r="B30" t="s">
        <v>26</v>
      </c>
      <c r="C30" t="s">
        <v>43</v>
      </c>
      <c r="D30" t="s">
        <v>44</v>
      </c>
      <c r="E30" t="s">
        <v>65</v>
      </c>
      <c r="F30" s="1">
        <v>9.7194444444444444E-4</v>
      </c>
      <c r="G30" s="37">
        <v>2.2799999999999998</v>
      </c>
      <c r="H30">
        <v>3.54</v>
      </c>
      <c r="I30" s="37">
        <v>0.84799999999999998</v>
      </c>
      <c r="J30">
        <f t="shared" si="0"/>
        <v>3.0019200000000001</v>
      </c>
    </row>
    <row r="31" spans="1:10" x14ac:dyDescent="0.3">
      <c r="A31" t="s">
        <v>25</v>
      </c>
      <c r="B31" t="s">
        <v>26</v>
      </c>
      <c r="C31" t="s">
        <v>43</v>
      </c>
      <c r="D31" t="s">
        <v>44</v>
      </c>
      <c r="E31" t="s">
        <v>66</v>
      </c>
      <c r="F31" s="1">
        <v>9.7042824074074078E-4</v>
      </c>
      <c r="G31" s="37">
        <v>2.27</v>
      </c>
      <c r="H31">
        <v>3.5</v>
      </c>
      <c r="I31" s="37">
        <v>0.84799999999999998</v>
      </c>
      <c r="J31">
        <f t="shared" si="0"/>
        <v>2.968</v>
      </c>
    </row>
    <row r="32" spans="1:10" x14ac:dyDescent="0.3">
      <c r="A32" t="s">
        <v>25</v>
      </c>
      <c r="B32" t="s">
        <v>26</v>
      </c>
      <c r="C32" t="s">
        <v>43</v>
      </c>
      <c r="D32" t="s">
        <v>44</v>
      </c>
      <c r="E32" t="s">
        <v>67</v>
      </c>
      <c r="F32" s="1">
        <v>9.6858796296296309E-4</v>
      </c>
      <c r="G32" s="37">
        <v>2.2799999999999998</v>
      </c>
      <c r="H32">
        <v>3.55</v>
      </c>
      <c r="I32" s="37">
        <v>0.84799999999999998</v>
      </c>
      <c r="J32">
        <f t="shared" si="0"/>
        <v>3.0103999999999997</v>
      </c>
    </row>
    <row r="33" spans="1:10" x14ac:dyDescent="0.3">
      <c r="A33" t="s">
        <v>25</v>
      </c>
      <c r="B33" t="s">
        <v>26</v>
      </c>
      <c r="C33" t="s">
        <v>43</v>
      </c>
      <c r="D33" t="s">
        <v>44</v>
      </c>
      <c r="E33" t="s">
        <v>68</v>
      </c>
      <c r="F33" s="1">
        <v>9.6968750000000006E-4</v>
      </c>
      <c r="G33" s="37">
        <v>2.2999999999999998</v>
      </c>
      <c r="H33">
        <v>3.56</v>
      </c>
      <c r="I33" s="37">
        <v>0.84799999999999998</v>
      </c>
      <c r="J33">
        <f t="shared" si="0"/>
        <v>3.0188799999999998</v>
      </c>
    </row>
    <row r="34" spans="1:10" x14ac:dyDescent="0.3">
      <c r="A34" t="s">
        <v>25</v>
      </c>
      <c r="B34" t="s">
        <v>26</v>
      </c>
      <c r="C34" t="s">
        <v>43</v>
      </c>
      <c r="D34" t="s">
        <v>44</v>
      </c>
      <c r="E34" t="s">
        <v>69</v>
      </c>
      <c r="F34" s="1">
        <v>9.7152777777777775E-4</v>
      </c>
      <c r="G34" s="37">
        <v>2.27</v>
      </c>
      <c r="H34">
        <v>3.53</v>
      </c>
      <c r="I34" s="37">
        <v>0.84799999999999998</v>
      </c>
      <c r="J34">
        <f t="shared" si="0"/>
        <v>2.9934399999999997</v>
      </c>
    </row>
    <row r="35" spans="1:10" x14ac:dyDescent="0.3">
      <c r="A35" t="s">
        <v>25</v>
      </c>
      <c r="B35" t="s">
        <v>26</v>
      </c>
      <c r="C35" t="s">
        <v>43</v>
      </c>
      <c r="D35" t="s">
        <v>44</v>
      </c>
      <c r="E35" t="s">
        <v>70</v>
      </c>
      <c r="F35" s="1">
        <v>9.7802083333333335E-4</v>
      </c>
      <c r="G35" s="37">
        <v>2.2000000000000002</v>
      </c>
      <c r="H35">
        <v>3.43</v>
      </c>
      <c r="I35" s="37">
        <v>0.84799999999999998</v>
      </c>
      <c r="J35">
        <f t="shared" si="0"/>
        <v>2.9086400000000001</v>
      </c>
    </row>
    <row r="36" spans="1:10" x14ac:dyDescent="0.3">
      <c r="A36" t="s">
        <v>25</v>
      </c>
      <c r="B36" t="s">
        <v>26</v>
      </c>
      <c r="C36" t="s">
        <v>43</v>
      </c>
      <c r="D36" t="s">
        <v>44</v>
      </c>
      <c r="E36" t="s">
        <v>71</v>
      </c>
      <c r="F36" s="1">
        <v>9.7740740740740752E-4</v>
      </c>
      <c r="G36" s="37">
        <v>2.2000000000000002</v>
      </c>
      <c r="H36">
        <v>3.41</v>
      </c>
      <c r="I36" s="37">
        <v>0.84799999999999998</v>
      </c>
      <c r="J36">
        <f t="shared" si="0"/>
        <v>2.89168</v>
      </c>
    </row>
    <row r="37" spans="1:10" x14ac:dyDescent="0.3">
      <c r="A37" t="s">
        <v>3</v>
      </c>
      <c r="B37" t="s">
        <v>13</v>
      </c>
      <c r="C37" t="s">
        <v>43</v>
      </c>
      <c r="D37" t="s">
        <v>73</v>
      </c>
      <c r="E37" t="s">
        <v>9</v>
      </c>
      <c r="F37" s="1">
        <v>9.8878472222222228E-4</v>
      </c>
      <c r="G37" s="37">
        <v>2</v>
      </c>
      <c r="H37">
        <v>2.58</v>
      </c>
      <c r="I37" s="37">
        <v>1.0069999999999999</v>
      </c>
      <c r="J37">
        <f t="shared" si="0"/>
        <v>2.5980599999999998</v>
      </c>
    </row>
    <row r="38" spans="1:10" x14ac:dyDescent="0.3">
      <c r="A38" t="s">
        <v>3</v>
      </c>
      <c r="B38" t="s">
        <v>13</v>
      </c>
      <c r="C38" t="s">
        <v>43</v>
      </c>
      <c r="D38" t="s">
        <v>73</v>
      </c>
      <c r="E38" t="s">
        <v>10</v>
      </c>
      <c r="F38" s="1">
        <v>9.8295138888888889E-4</v>
      </c>
      <c r="G38" s="37">
        <v>2.04</v>
      </c>
      <c r="H38">
        <v>2.63</v>
      </c>
      <c r="I38" s="37">
        <v>1.0069999999999999</v>
      </c>
      <c r="J38">
        <f t="shared" si="0"/>
        <v>2.6484099999999997</v>
      </c>
    </row>
    <row r="39" spans="1:10" x14ac:dyDescent="0.3">
      <c r="A39" t="s">
        <v>3</v>
      </c>
      <c r="B39" t="s">
        <v>13</v>
      </c>
      <c r="C39" t="s">
        <v>43</v>
      </c>
      <c r="D39" t="s">
        <v>73</v>
      </c>
      <c r="E39" t="s">
        <v>15</v>
      </c>
      <c r="F39" s="1">
        <v>9.8366898148148163E-4</v>
      </c>
      <c r="G39" s="37">
        <v>2.08</v>
      </c>
      <c r="H39">
        <v>2.68</v>
      </c>
      <c r="I39" s="37">
        <v>1.0069999999999999</v>
      </c>
      <c r="J39">
        <f t="shared" si="0"/>
        <v>2.69876</v>
      </c>
    </row>
    <row r="40" spans="1:10" x14ac:dyDescent="0.3">
      <c r="A40" t="s">
        <v>3</v>
      </c>
      <c r="B40" t="s">
        <v>13</v>
      </c>
      <c r="C40" t="s">
        <v>43</v>
      </c>
      <c r="D40" t="s">
        <v>73</v>
      </c>
      <c r="E40" t="s">
        <v>16</v>
      </c>
      <c r="F40" s="1">
        <v>9.7355324074074065E-4</v>
      </c>
      <c r="G40" s="37">
        <v>2.17</v>
      </c>
      <c r="H40">
        <v>2.81</v>
      </c>
      <c r="I40" s="37">
        <v>1.0069999999999999</v>
      </c>
      <c r="J40">
        <f t="shared" si="0"/>
        <v>2.8296699999999997</v>
      </c>
    </row>
    <row r="41" spans="1:10" x14ac:dyDescent="0.3">
      <c r="A41" t="s">
        <v>3</v>
      </c>
      <c r="B41" t="s">
        <v>13</v>
      </c>
      <c r="C41" t="s">
        <v>43</v>
      </c>
      <c r="D41" t="s">
        <v>73</v>
      </c>
      <c r="E41" t="s">
        <v>17</v>
      </c>
      <c r="F41" s="1">
        <v>9.6934027777777784E-4</v>
      </c>
      <c r="G41" s="37">
        <v>2.2200000000000002</v>
      </c>
      <c r="H41">
        <v>2.86</v>
      </c>
      <c r="I41" s="37">
        <v>1.0069999999999999</v>
      </c>
      <c r="J41">
        <f t="shared" si="0"/>
        <v>2.8800199999999996</v>
      </c>
    </row>
    <row r="42" spans="1:10" x14ac:dyDescent="0.3">
      <c r="A42" t="s">
        <v>3</v>
      </c>
      <c r="B42" t="s">
        <v>13</v>
      </c>
      <c r="C42" t="s">
        <v>43</v>
      </c>
      <c r="D42" t="s">
        <v>73</v>
      </c>
      <c r="E42" t="s">
        <v>18</v>
      </c>
      <c r="F42" s="1">
        <v>9.7378472222222224E-4</v>
      </c>
      <c r="G42" s="37">
        <v>2.2000000000000002</v>
      </c>
      <c r="H42">
        <v>2.83</v>
      </c>
      <c r="I42" s="37">
        <v>1.0069999999999999</v>
      </c>
      <c r="J42">
        <f t="shared" si="0"/>
        <v>2.8498099999999997</v>
      </c>
    </row>
    <row r="43" spans="1:10" x14ac:dyDescent="0.3">
      <c r="A43" t="s">
        <v>3</v>
      </c>
      <c r="B43" t="s">
        <v>13</v>
      </c>
      <c r="C43" t="s">
        <v>43</v>
      </c>
      <c r="D43" t="s">
        <v>73</v>
      </c>
      <c r="E43" t="s">
        <v>19</v>
      </c>
      <c r="F43" s="1">
        <v>9.7206018518518518E-4</v>
      </c>
      <c r="G43" s="37">
        <v>2.21</v>
      </c>
      <c r="H43">
        <v>2.84</v>
      </c>
      <c r="I43" s="37">
        <v>1.0069999999999999</v>
      </c>
      <c r="J43">
        <f t="shared" si="0"/>
        <v>2.8598799999999995</v>
      </c>
    </row>
    <row r="44" spans="1:10" x14ac:dyDescent="0.3">
      <c r="A44" t="s">
        <v>3</v>
      </c>
      <c r="B44" t="s">
        <v>13</v>
      </c>
      <c r="C44" t="s">
        <v>43</v>
      </c>
      <c r="D44" t="s">
        <v>73</v>
      </c>
      <c r="E44" t="s">
        <v>45</v>
      </c>
      <c r="F44" s="1">
        <v>9.7315972222222226E-4</v>
      </c>
      <c r="G44" s="37">
        <v>2.2000000000000002</v>
      </c>
      <c r="H44">
        <v>2.82</v>
      </c>
      <c r="I44" s="37">
        <v>1.0069999999999999</v>
      </c>
      <c r="J44">
        <f t="shared" si="0"/>
        <v>2.8397399999999995</v>
      </c>
    </row>
    <row r="45" spans="1:10" x14ac:dyDescent="0.3">
      <c r="A45" t="s">
        <v>3</v>
      </c>
      <c r="B45" t="s">
        <v>13</v>
      </c>
      <c r="C45" t="s">
        <v>43</v>
      </c>
      <c r="D45" t="s">
        <v>73</v>
      </c>
      <c r="E45" t="s">
        <v>46</v>
      </c>
      <c r="F45" s="1">
        <v>9.7332175925925928E-4</v>
      </c>
      <c r="G45" s="37">
        <v>2.21</v>
      </c>
      <c r="H45">
        <v>2.83</v>
      </c>
      <c r="I45" s="37">
        <v>1.0069999999999999</v>
      </c>
      <c r="J45">
        <f t="shared" si="0"/>
        <v>2.8498099999999997</v>
      </c>
    </row>
    <row r="46" spans="1:10" x14ac:dyDescent="0.3">
      <c r="A46" t="s">
        <v>3</v>
      </c>
      <c r="B46" t="s">
        <v>13</v>
      </c>
      <c r="C46" t="s">
        <v>43</v>
      </c>
      <c r="D46" t="s">
        <v>73</v>
      </c>
      <c r="E46" t="s">
        <v>47</v>
      </c>
      <c r="F46" s="1">
        <v>9.7635416666666671E-4</v>
      </c>
      <c r="G46" s="37">
        <v>2.2000000000000002</v>
      </c>
      <c r="H46">
        <v>2.83</v>
      </c>
      <c r="I46" s="37">
        <v>1.0069999999999999</v>
      </c>
      <c r="J46">
        <f t="shared" si="0"/>
        <v>2.8498099999999997</v>
      </c>
    </row>
    <row r="47" spans="1:10" x14ac:dyDescent="0.3">
      <c r="A47" t="s">
        <v>3</v>
      </c>
      <c r="B47" t="s">
        <v>13</v>
      </c>
      <c r="C47" t="s">
        <v>43</v>
      </c>
      <c r="D47" t="s">
        <v>73</v>
      </c>
      <c r="E47" t="s">
        <v>48</v>
      </c>
      <c r="F47" s="1">
        <v>9.7534722222222218E-4</v>
      </c>
      <c r="G47" s="37">
        <v>2.19</v>
      </c>
      <c r="H47">
        <v>2.82</v>
      </c>
      <c r="I47" s="37">
        <v>1.0069999999999999</v>
      </c>
      <c r="J47">
        <f t="shared" si="0"/>
        <v>2.8397399999999995</v>
      </c>
    </row>
    <row r="48" spans="1:10" x14ac:dyDescent="0.3">
      <c r="A48" t="s">
        <v>3</v>
      </c>
      <c r="B48" t="s">
        <v>13</v>
      </c>
      <c r="C48" t="s">
        <v>43</v>
      </c>
      <c r="D48" t="s">
        <v>73</v>
      </c>
      <c r="E48" t="s">
        <v>49</v>
      </c>
      <c r="F48" s="1">
        <v>9.7847222222222216E-4</v>
      </c>
      <c r="G48" s="37">
        <v>2.2000000000000002</v>
      </c>
      <c r="H48">
        <v>2.82</v>
      </c>
      <c r="I48" s="37">
        <v>1.0069999999999999</v>
      </c>
      <c r="J48">
        <f t="shared" si="0"/>
        <v>2.8397399999999995</v>
      </c>
    </row>
    <row r="49" spans="1:10" x14ac:dyDescent="0.3">
      <c r="A49" t="s">
        <v>3</v>
      </c>
      <c r="B49" t="s">
        <v>13</v>
      </c>
      <c r="C49" t="s">
        <v>43</v>
      </c>
      <c r="D49" t="s">
        <v>73</v>
      </c>
      <c r="E49" t="s">
        <v>50</v>
      </c>
      <c r="F49" s="1">
        <v>9.788773148148148E-4</v>
      </c>
      <c r="G49" s="37">
        <v>2.19</v>
      </c>
      <c r="H49">
        <v>2.82</v>
      </c>
      <c r="I49" s="37">
        <v>1.0069999999999999</v>
      </c>
      <c r="J49">
        <f t="shared" si="0"/>
        <v>2.8397399999999995</v>
      </c>
    </row>
    <row r="50" spans="1:10" x14ac:dyDescent="0.3">
      <c r="A50" t="s">
        <v>3</v>
      </c>
      <c r="B50" t="s">
        <v>13</v>
      </c>
      <c r="C50" t="s">
        <v>43</v>
      </c>
      <c r="D50" t="s">
        <v>73</v>
      </c>
      <c r="E50" t="s">
        <v>51</v>
      </c>
      <c r="F50" s="1">
        <v>9.7668981481481478E-4</v>
      </c>
      <c r="G50" s="37">
        <v>2.19</v>
      </c>
      <c r="H50">
        <v>2.82</v>
      </c>
      <c r="I50" s="37">
        <v>1.0069999999999999</v>
      </c>
      <c r="J50">
        <f t="shared" si="0"/>
        <v>2.8397399999999995</v>
      </c>
    </row>
    <row r="51" spans="1:10" x14ac:dyDescent="0.3">
      <c r="A51" t="s">
        <v>3</v>
      </c>
      <c r="B51" t="s">
        <v>13</v>
      </c>
      <c r="C51" t="s">
        <v>43</v>
      </c>
      <c r="D51" t="s">
        <v>73</v>
      </c>
      <c r="E51" t="s">
        <v>52</v>
      </c>
      <c r="F51" s="1">
        <v>9.7928240740740745E-4</v>
      </c>
      <c r="G51" s="37">
        <v>2.19</v>
      </c>
      <c r="H51">
        <v>2.83</v>
      </c>
      <c r="I51" s="37">
        <v>1.0069999999999999</v>
      </c>
      <c r="J51">
        <f t="shared" si="0"/>
        <v>2.8498099999999997</v>
      </c>
    </row>
    <row r="52" spans="1:10" x14ac:dyDescent="0.3">
      <c r="A52" t="s">
        <v>3</v>
      </c>
      <c r="B52" t="s">
        <v>13</v>
      </c>
      <c r="C52" t="s">
        <v>43</v>
      </c>
      <c r="D52" t="s">
        <v>73</v>
      </c>
      <c r="E52" t="s">
        <v>53</v>
      </c>
      <c r="F52" s="1">
        <v>9.7657407407407415E-4</v>
      </c>
      <c r="G52" s="37">
        <v>2.19</v>
      </c>
      <c r="H52">
        <v>2.82</v>
      </c>
      <c r="I52" s="37">
        <v>1.0069999999999999</v>
      </c>
      <c r="J52">
        <f t="shared" si="0"/>
        <v>2.8397399999999995</v>
      </c>
    </row>
    <row r="53" spans="1:10" x14ac:dyDescent="0.3">
      <c r="A53" t="s">
        <v>3</v>
      </c>
      <c r="B53" t="s">
        <v>13</v>
      </c>
      <c r="C53" t="s">
        <v>43</v>
      </c>
      <c r="D53" t="s">
        <v>73</v>
      </c>
      <c r="E53" t="s">
        <v>54</v>
      </c>
      <c r="F53" s="1">
        <v>9.7760416666666677E-4</v>
      </c>
      <c r="G53" s="37">
        <v>2.19</v>
      </c>
      <c r="H53">
        <v>2.81</v>
      </c>
      <c r="I53" s="37">
        <v>1.0069999999999999</v>
      </c>
      <c r="J53">
        <f t="shared" si="0"/>
        <v>2.8296699999999997</v>
      </c>
    </row>
    <row r="54" spans="1:10" x14ac:dyDescent="0.3">
      <c r="A54" t="s">
        <v>3</v>
      </c>
      <c r="B54" t="s">
        <v>13</v>
      </c>
      <c r="C54" t="s">
        <v>43</v>
      </c>
      <c r="D54" t="s">
        <v>73</v>
      </c>
      <c r="E54" t="s">
        <v>55</v>
      </c>
      <c r="F54" s="1">
        <v>9.7813657407407398E-4</v>
      </c>
      <c r="G54" s="37">
        <v>2.19</v>
      </c>
      <c r="H54">
        <v>2.8</v>
      </c>
      <c r="I54" s="37">
        <v>1.0069999999999999</v>
      </c>
      <c r="J54">
        <f t="shared" si="0"/>
        <v>2.8195999999999994</v>
      </c>
    </row>
    <row r="55" spans="1:10" x14ac:dyDescent="0.3">
      <c r="A55" t="s">
        <v>3</v>
      </c>
      <c r="B55" t="s">
        <v>13</v>
      </c>
      <c r="C55" t="s">
        <v>43</v>
      </c>
      <c r="D55" t="s">
        <v>73</v>
      </c>
      <c r="E55" t="s">
        <v>56</v>
      </c>
      <c r="F55" s="1">
        <v>9.7612268518518523E-4</v>
      </c>
      <c r="G55" s="37">
        <v>2.21</v>
      </c>
      <c r="H55">
        <v>2.84</v>
      </c>
      <c r="I55" s="37">
        <v>1.0069999999999999</v>
      </c>
      <c r="J55">
        <f t="shared" si="0"/>
        <v>2.8598799999999995</v>
      </c>
    </row>
    <row r="56" spans="1:10" x14ac:dyDescent="0.3">
      <c r="A56" t="s">
        <v>3</v>
      </c>
      <c r="B56" t="s">
        <v>13</v>
      </c>
      <c r="C56" t="s">
        <v>43</v>
      </c>
      <c r="D56" t="s">
        <v>73</v>
      </c>
      <c r="E56" t="s">
        <v>58</v>
      </c>
      <c r="F56" s="1">
        <v>9.6388888888888891E-4</v>
      </c>
      <c r="G56" s="37">
        <v>2.1800000000000002</v>
      </c>
      <c r="H56">
        <v>2.81</v>
      </c>
      <c r="I56" s="37">
        <v>1.0069999999999999</v>
      </c>
      <c r="J56">
        <f t="shared" si="0"/>
        <v>2.8296699999999997</v>
      </c>
    </row>
    <row r="57" spans="1:10" x14ac:dyDescent="0.3">
      <c r="A57" t="s">
        <v>3</v>
      </c>
      <c r="B57" t="s">
        <v>13</v>
      </c>
      <c r="C57" t="s">
        <v>43</v>
      </c>
      <c r="D57" t="s">
        <v>73</v>
      </c>
      <c r="E57" t="s">
        <v>72</v>
      </c>
      <c r="F57" s="1">
        <v>9.6342592592592584E-4</v>
      </c>
      <c r="G57" s="37">
        <v>2.17</v>
      </c>
      <c r="H57">
        <v>2.8</v>
      </c>
      <c r="I57" s="37">
        <v>1.0069999999999999</v>
      </c>
      <c r="J57">
        <f t="shared" si="0"/>
        <v>2.8195999999999994</v>
      </c>
    </row>
    <row r="58" spans="1:10" x14ac:dyDescent="0.3">
      <c r="A58" t="s">
        <v>3</v>
      </c>
      <c r="B58" t="s">
        <v>13</v>
      </c>
      <c r="C58" t="s">
        <v>43</v>
      </c>
      <c r="D58" t="s">
        <v>73</v>
      </c>
      <c r="E58" t="s">
        <v>59</v>
      </c>
      <c r="F58" s="1">
        <v>9.7123842592592585E-4</v>
      </c>
      <c r="G58" s="37">
        <v>2.09</v>
      </c>
      <c r="H58">
        <v>2.7</v>
      </c>
      <c r="I58" s="37">
        <v>1.0069999999999999</v>
      </c>
      <c r="J58">
        <f t="shared" si="0"/>
        <v>2.7189000000000001</v>
      </c>
    </row>
    <row r="59" spans="1:10" x14ac:dyDescent="0.3">
      <c r="A59" t="s">
        <v>3</v>
      </c>
      <c r="B59" t="s">
        <v>13</v>
      </c>
      <c r="C59" t="s">
        <v>43</v>
      </c>
      <c r="D59" t="s">
        <v>73</v>
      </c>
      <c r="E59" t="s">
        <v>60</v>
      </c>
      <c r="F59" s="1">
        <v>9.6893518518518531E-4</v>
      </c>
      <c r="G59" s="37">
        <v>2.11</v>
      </c>
      <c r="H59">
        <v>2.73</v>
      </c>
      <c r="I59" s="37">
        <v>1.0069999999999999</v>
      </c>
      <c r="J59">
        <f t="shared" si="0"/>
        <v>2.7491099999999995</v>
      </c>
    </row>
    <row r="60" spans="1:10" x14ac:dyDescent="0.3">
      <c r="A60" t="s">
        <v>3</v>
      </c>
      <c r="B60" t="s">
        <v>13</v>
      </c>
      <c r="C60" t="s">
        <v>43</v>
      </c>
      <c r="D60" t="s">
        <v>73</v>
      </c>
      <c r="E60" t="s">
        <v>61</v>
      </c>
      <c r="F60" s="1">
        <v>9.6824074074074076E-4</v>
      </c>
      <c r="G60" s="37">
        <v>2.15</v>
      </c>
      <c r="H60">
        <v>2.77</v>
      </c>
      <c r="I60" s="37">
        <v>1.0069999999999999</v>
      </c>
      <c r="J60">
        <f t="shared" si="0"/>
        <v>2.7893899999999996</v>
      </c>
    </row>
    <row r="61" spans="1:10" x14ac:dyDescent="0.3">
      <c r="A61" t="s">
        <v>3</v>
      </c>
      <c r="B61" t="s">
        <v>13</v>
      </c>
      <c r="C61" t="s">
        <v>43</v>
      </c>
      <c r="D61" t="s">
        <v>73</v>
      </c>
      <c r="E61" t="s">
        <v>62</v>
      </c>
      <c r="F61" s="1">
        <v>9.7002314814814813E-4</v>
      </c>
      <c r="G61" s="37">
        <v>2.15</v>
      </c>
      <c r="H61">
        <v>2.77</v>
      </c>
      <c r="I61" s="37">
        <v>1.0069999999999999</v>
      </c>
      <c r="J61">
        <f t="shared" si="0"/>
        <v>2.7893899999999996</v>
      </c>
    </row>
    <row r="62" spans="1:10" x14ac:dyDescent="0.3">
      <c r="A62" t="s">
        <v>3</v>
      </c>
      <c r="B62" t="s">
        <v>13</v>
      </c>
      <c r="C62" t="s">
        <v>43</v>
      </c>
      <c r="D62" t="s">
        <v>73</v>
      </c>
      <c r="E62" t="s">
        <v>63</v>
      </c>
      <c r="F62" s="1">
        <v>9.7003472222222228E-4</v>
      </c>
      <c r="G62" s="37">
        <v>2.15</v>
      </c>
      <c r="H62">
        <v>2.78</v>
      </c>
      <c r="I62" s="37">
        <v>1.0069999999999999</v>
      </c>
      <c r="J62">
        <f t="shared" si="0"/>
        <v>2.7994599999999994</v>
      </c>
    </row>
    <row r="63" spans="1:10" x14ac:dyDescent="0.3">
      <c r="A63" t="s">
        <v>3</v>
      </c>
      <c r="B63" t="s">
        <v>13</v>
      </c>
      <c r="C63" t="s">
        <v>43</v>
      </c>
      <c r="D63" t="s">
        <v>73</v>
      </c>
      <c r="E63" t="s">
        <v>64</v>
      </c>
      <c r="F63" s="1">
        <v>9.7054398148148152E-4</v>
      </c>
      <c r="G63" s="37">
        <v>2.16</v>
      </c>
      <c r="H63">
        <v>2.8</v>
      </c>
      <c r="I63" s="37">
        <v>1.0069999999999999</v>
      </c>
      <c r="J63">
        <f t="shared" si="0"/>
        <v>2.8195999999999994</v>
      </c>
    </row>
    <row r="64" spans="1:10" x14ac:dyDescent="0.3">
      <c r="A64" t="s">
        <v>3</v>
      </c>
      <c r="B64" t="s">
        <v>13</v>
      </c>
      <c r="C64" t="s">
        <v>43</v>
      </c>
      <c r="D64" t="s">
        <v>73</v>
      </c>
      <c r="E64" t="s">
        <v>65</v>
      </c>
      <c r="F64" s="1">
        <v>9.7663194444444447E-4</v>
      </c>
      <c r="G64" s="37">
        <v>2.16</v>
      </c>
      <c r="H64">
        <v>2.78</v>
      </c>
      <c r="I64" s="37">
        <v>1.0069999999999999</v>
      </c>
      <c r="J64">
        <f t="shared" si="0"/>
        <v>2.7994599999999994</v>
      </c>
    </row>
    <row r="65" spans="1:10" x14ac:dyDescent="0.3">
      <c r="A65" t="s">
        <v>3</v>
      </c>
      <c r="B65" t="s">
        <v>13</v>
      </c>
      <c r="C65" t="s">
        <v>43</v>
      </c>
      <c r="D65" t="s">
        <v>73</v>
      </c>
      <c r="E65" t="s">
        <v>66</v>
      </c>
      <c r="F65" s="1">
        <v>9.7847222222222216E-4</v>
      </c>
      <c r="G65" s="37">
        <v>2.15</v>
      </c>
      <c r="H65">
        <v>2.78</v>
      </c>
      <c r="I65" s="37">
        <v>1.0069999999999999</v>
      </c>
      <c r="J65">
        <f t="shared" si="0"/>
        <v>2.7994599999999994</v>
      </c>
    </row>
    <row r="66" spans="1:10" x14ac:dyDescent="0.3">
      <c r="A66" t="s">
        <v>3</v>
      </c>
      <c r="B66" t="s">
        <v>13</v>
      </c>
      <c r="C66" t="s">
        <v>43</v>
      </c>
      <c r="D66" t="s">
        <v>73</v>
      </c>
      <c r="E66" t="s">
        <v>67</v>
      </c>
      <c r="F66" s="1">
        <v>9.8103009259259259E-4</v>
      </c>
      <c r="G66" s="37">
        <v>2.11</v>
      </c>
      <c r="H66">
        <v>2.72</v>
      </c>
      <c r="I66" s="37">
        <v>1.0069999999999999</v>
      </c>
      <c r="J66">
        <f t="shared" si="0"/>
        <v>2.7390399999999997</v>
      </c>
    </row>
    <row r="67" spans="1:10" x14ac:dyDescent="0.3">
      <c r="A67" t="s">
        <v>3</v>
      </c>
      <c r="B67" t="s">
        <v>13</v>
      </c>
      <c r="C67" t="s">
        <v>43</v>
      </c>
      <c r="D67" t="s">
        <v>73</v>
      </c>
      <c r="E67" t="s">
        <v>68</v>
      </c>
      <c r="F67" s="1">
        <v>9.7962962962962956E-4</v>
      </c>
      <c r="G67" s="37">
        <v>2.14</v>
      </c>
      <c r="H67">
        <v>2.76</v>
      </c>
      <c r="I67" s="37">
        <v>1.0069999999999999</v>
      </c>
      <c r="J67">
        <f t="shared" si="0"/>
        <v>2.7793199999999993</v>
      </c>
    </row>
    <row r="68" spans="1:10" x14ac:dyDescent="0.3">
      <c r="A68" t="s">
        <v>3</v>
      </c>
      <c r="B68" t="s">
        <v>13</v>
      </c>
      <c r="C68" t="s">
        <v>43</v>
      </c>
      <c r="D68" t="s">
        <v>73</v>
      </c>
      <c r="E68" t="s">
        <v>69</v>
      </c>
      <c r="F68" s="1">
        <v>9.9167824074074067E-4</v>
      </c>
      <c r="G68" s="37">
        <v>2.11</v>
      </c>
      <c r="H68">
        <v>2.72</v>
      </c>
      <c r="I68" s="37">
        <v>1.0069999999999999</v>
      </c>
      <c r="J68">
        <f t="shared" ref="J68:J131" si="1">H68*I68</f>
        <v>2.7390399999999997</v>
      </c>
    </row>
    <row r="69" spans="1:10" x14ac:dyDescent="0.3">
      <c r="A69" t="s">
        <v>3</v>
      </c>
      <c r="B69" t="s">
        <v>13</v>
      </c>
      <c r="C69" t="s">
        <v>43</v>
      </c>
      <c r="D69" t="s">
        <v>73</v>
      </c>
      <c r="E69" t="s">
        <v>70</v>
      </c>
      <c r="F69" s="1">
        <v>9.8994212962962968E-4</v>
      </c>
      <c r="G69" s="37">
        <v>2.04</v>
      </c>
      <c r="H69">
        <v>2.64</v>
      </c>
      <c r="I69" s="37">
        <v>1.0069999999999999</v>
      </c>
      <c r="J69">
        <f t="shared" si="1"/>
        <v>2.65848</v>
      </c>
    </row>
    <row r="70" spans="1:10" x14ac:dyDescent="0.3">
      <c r="A70" t="s">
        <v>3</v>
      </c>
      <c r="B70" t="s">
        <v>13</v>
      </c>
      <c r="C70" t="s">
        <v>43</v>
      </c>
      <c r="D70" t="s">
        <v>73</v>
      </c>
      <c r="E70" t="s">
        <v>71</v>
      </c>
      <c r="F70" s="1">
        <v>9.8072916666666664E-4</v>
      </c>
      <c r="G70" s="37">
        <v>2.11</v>
      </c>
      <c r="H70">
        <v>2.72</v>
      </c>
      <c r="I70" s="37">
        <v>1.0069999999999999</v>
      </c>
      <c r="J70">
        <f t="shared" si="1"/>
        <v>2.7390399999999997</v>
      </c>
    </row>
    <row r="71" spans="1:10" x14ac:dyDescent="0.3">
      <c r="A71" t="s">
        <v>3</v>
      </c>
      <c r="B71" t="s">
        <v>74</v>
      </c>
      <c r="C71" t="s">
        <v>43</v>
      </c>
      <c r="D71" t="s">
        <v>75</v>
      </c>
      <c r="E71" t="s">
        <v>9</v>
      </c>
      <c r="F71" s="1">
        <v>1.0005787037037038E-3</v>
      </c>
      <c r="G71" s="37">
        <v>2.08</v>
      </c>
      <c r="H71">
        <v>2.7</v>
      </c>
      <c r="I71" s="37">
        <v>1</v>
      </c>
      <c r="J71">
        <f t="shared" si="1"/>
        <v>2.7</v>
      </c>
    </row>
    <row r="72" spans="1:10" x14ac:dyDescent="0.3">
      <c r="A72" t="s">
        <v>3</v>
      </c>
      <c r="B72" t="s">
        <v>74</v>
      </c>
      <c r="C72" t="s">
        <v>43</v>
      </c>
      <c r="D72" t="s">
        <v>75</v>
      </c>
      <c r="E72" t="s">
        <v>10</v>
      </c>
      <c r="F72" s="1">
        <v>9.7890046296296288E-4</v>
      </c>
      <c r="G72" s="37">
        <v>2.11</v>
      </c>
      <c r="H72">
        <v>2.74</v>
      </c>
      <c r="I72" s="37">
        <v>1</v>
      </c>
      <c r="J72">
        <f t="shared" si="1"/>
        <v>2.74</v>
      </c>
    </row>
    <row r="73" spans="1:10" x14ac:dyDescent="0.3">
      <c r="A73" t="s">
        <v>3</v>
      </c>
      <c r="B73" t="s">
        <v>74</v>
      </c>
      <c r="C73" t="s">
        <v>43</v>
      </c>
      <c r="D73" t="s">
        <v>75</v>
      </c>
      <c r="E73" t="s">
        <v>15</v>
      </c>
      <c r="F73" s="1">
        <v>9.8646990740740726E-4</v>
      </c>
      <c r="G73" s="37">
        <v>2.12</v>
      </c>
      <c r="H73">
        <v>2.74</v>
      </c>
      <c r="I73" s="37">
        <v>1</v>
      </c>
      <c r="J73">
        <f t="shared" si="1"/>
        <v>2.74</v>
      </c>
    </row>
    <row r="74" spans="1:10" x14ac:dyDescent="0.3">
      <c r="A74" t="s">
        <v>3</v>
      </c>
      <c r="B74" t="s">
        <v>74</v>
      </c>
      <c r="C74" t="s">
        <v>43</v>
      </c>
      <c r="D74" t="s">
        <v>75</v>
      </c>
      <c r="E74" t="s">
        <v>16</v>
      </c>
      <c r="F74" s="1">
        <v>9.739583333333334E-4</v>
      </c>
      <c r="G74" s="37">
        <v>2.11</v>
      </c>
      <c r="H74">
        <v>2.73</v>
      </c>
      <c r="I74" s="37">
        <v>1</v>
      </c>
      <c r="J74">
        <f t="shared" si="1"/>
        <v>2.73</v>
      </c>
    </row>
    <row r="75" spans="1:10" x14ac:dyDescent="0.3">
      <c r="A75" t="s">
        <v>3</v>
      </c>
      <c r="B75" t="s">
        <v>74</v>
      </c>
      <c r="C75" t="s">
        <v>43</v>
      </c>
      <c r="D75" t="s">
        <v>75</v>
      </c>
      <c r="E75" t="s">
        <v>17</v>
      </c>
      <c r="F75" s="1">
        <v>9.7530092592592579E-4</v>
      </c>
      <c r="G75" s="37">
        <v>2.13</v>
      </c>
      <c r="H75">
        <v>2.75</v>
      </c>
      <c r="I75" s="37">
        <v>1</v>
      </c>
      <c r="J75">
        <f t="shared" si="1"/>
        <v>2.75</v>
      </c>
    </row>
    <row r="76" spans="1:10" x14ac:dyDescent="0.3">
      <c r="A76" t="s">
        <v>3</v>
      </c>
      <c r="B76" t="s">
        <v>74</v>
      </c>
      <c r="C76" t="s">
        <v>43</v>
      </c>
      <c r="D76" t="s">
        <v>75</v>
      </c>
      <c r="E76" t="s">
        <v>18</v>
      </c>
      <c r="F76" s="1">
        <v>9.8033564814814815E-4</v>
      </c>
      <c r="G76" s="37">
        <v>2.11</v>
      </c>
      <c r="H76">
        <v>2.74</v>
      </c>
      <c r="I76" s="37">
        <v>1</v>
      </c>
      <c r="J76">
        <f t="shared" si="1"/>
        <v>2.74</v>
      </c>
    </row>
    <row r="77" spans="1:10" x14ac:dyDescent="0.3">
      <c r="A77" t="s">
        <v>3</v>
      </c>
      <c r="B77" t="s">
        <v>74</v>
      </c>
      <c r="C77" t="s">
        <v>43</v>
      </c>
      <c r="D77" t="s">
        <v>75</v>
      </c>
      <c r="E77" t="s">
        <v>19</v>
      </c>
      <c r="F77" s="1">
        <v>9.7553240740740738E-4</v>
      </c>
      <c r="G77" s="37">
        <v>2.13</v>
      </c>
      <c r="H77">
        <v>2.76</v>
      </c>
      <c r="I77" s="37">
        <v>1</v>
      </c>
      <c r="J77">
        <f t="shared" si="1"/>
        <v>2.76</v>
      </c>
    </row>
    <row r="78" spans="1:10" x14ac:dyDescent="0.3">
      <c r="A78" t="s">
        <v>3</v>
      </c>
      <c r="B78" t="s">
        <v>74</v>
      </c>
      <c r="C78" t="s">
        <v>43</v>
      </c>
      <c r="D78" t="s">
        <v>75</v>
      </c>
      <c r="E78" t="s">
        <v>45</v>
      </c>
      <c r="F78" s="1">
        <v>9.7692129629629626E-4</v>
      </c>
      <c r="G78" s="37">
        <v>2.17</v>
      </c>
      <c r="H78">
        <v>2.81</v>
      </c>
      <c r="I78" s="37">
        <v>1</v>
      </c>
      <c r="J78">
        <f t="shared" si="1"/>
        <v>2.81</v>
      </c>
    </row>
    <row r="79" spans="1:10" x14ac:dyDescent="0.3">
      <c r="A79" t="s">
        <v>3</v>
      </c>
      <c r="B79" t="s">
        <v>74</v>
      </c>
      <c r="C79" t="s">
        <v>43</v>
      </c>
      <c r="D79" t="s">
        <v>75</v>
      </c>
      <c r="E79" t="s">
        <v>46</v>
      </c>
      <c r="F79" s="1">
        <v>9.7436342592592594E-4</v>
      </c>
      <c r="G79" s="37">
        <v>2.14</v>
      </c>
      <c r="H79">
        <v>2.78</v>
      </c>
      <c r="I79" s="37">
        <v>1</v>
      </c>
      <c r="J79">
        <f t="shared" si="1"/>
        <v>2.78</v>
      </c>
    </row>
    <row r="80" spans="1:10" x14ac:dyDescent="0.3">
      <c r="A80" t="s">
        <v>3</v>
      </c>
      <c r="B80" t="s">
        <v>74</v>
      </c>
      <c r="C80" t="s">
        <v>43</v>
      </c>
      <c r="D80" t="s">
        <v>75</v>
      </c>
      <c r="E80" t="s">
        <v>47</v>
      </c>
      <c r="F80" s="1">
        <v>9.7612268518518523E-4</v>
      </c>
      <c r="G80" s="37">
        <v>2.12</v>
      </c>
      <c r="H80">
        <v>2.74</v>
      </c>
      <c r="I80" s="37">
        <v>1</v>
      </c>
      <c r="J80">
        <f t="shared" si="1"/>
        <v>2.74</v>
      </c>
    </row>
    <row r="81" spans="1:10" x14ac:dyDescent="0.3">
      <c r="A81" t="s">
        <v>3</v>
      </c>
      <c r="B81" t="s">
        <v>74</v>
      </c>
      <c r="C81" t="s">
        <v>43</v>
      </c>
      <c r="D81" t="s">
        <v>75</v>
      </c>
      <c r="E81" t="s">
        <v>48</v>
      </c>
      <c r="F81" s="1">
        <v>9.7795138888888888E-4</v>
      </c>
      <c r="G81" s="37">
        <v>2.14</v>
      </c>
      <c r="H81">
        <v>2.77</v>
      </c>
      <c r="I81" s="37">
        <v>1</v>
      </c>
      <c r="J81">
        <f t="shared" si="1"/>
        <v>2.77</v>
      </c>
    </row>
    <row r="82" spans="1:10" x14ac:dyDescent="0.3">
      <c r="A82" t="s">
        <v>3</v>
      </c>
      <c r="B82" t="s">
        <v>74</v>
      </c>
      <c r="C82" t="s">
        <v>43</v>
      </c>
      <c r="D82" t="s">
        <v>75</v>
      </c>
      <c r="E82" t="s">
        <v>49</v>
      </c>
      <c r="F82" s="1">
        <v>9.7721064814814806E-4</v>
      </c>
      <c r="G82" s="37">
        <v>2.13</v>
      </c>
      <c r="H82">
        <v>2.76</v>
      </c>
      <c r="I82" s="37">
        <v>1</v>
      </c>
      <c r="J82">
        <f t="shared" si="1"/>
        <v>2.76</v>
      </c>
    </row>
    <row r="83" spans="1:10" x14ac:dyDescent="0.3">
      <c r="A83" t="s">
        <v>3</v>
      </c>
      <c r="B83" t="s">
        <v>74</v>
      </c>
      <c r="C83" t="s">
        <v>43</v>
      </c>
      <c r="D83" t="s">
        <v>75</v>
      </c>
      <c r="E83" t="s">
        <v>50</v>
      </c>
      <c r="F83" s="1">
        <v>9.7966435185185179E-4</v>
      </c>
      <c r="G83" s="37">
        <v>2.12</v>
      </c>
      <c r="H83">
        <v>2.74</v>
      </c>
      <c r="I83" s="37">
        <v>1</v>
      </c>
      <c r="J83">
        <f t="shared" si="1"/>
        <v>2.74</v>
      </c>
    </row>
    <row r="84" spans="1:10" x14ac:dyDescent="0.3">
      <c r="A84" t="s">
        <v>3</v>
      </c>
      <c r="B84" t="s">
        <v>74</v>
      </c>
      <c r="C84" t="s">
        <v>43</v>
      </c>
      <c r="D84" t="s">
        <v>75</v>
      </c>
      <c r="E84" t="s">
        <v>51</v>
      </c>
      <c r="F84" s="1">
        <v>9.8002314814814827E-4</v>
      </c>
      <c r="G84" s="37">
        <v>2.13</v>
      </c>
      <c r="H84">
        <v>2.76</v>
      </c>
      <c r="I84" s="37">
        <v>1</v>
      </c>
      <c r="J84">
        <f t="shared" si="1"/>
        <v>2.76</v>
      </c>
    </row>
    <row r="85" spans="1:10" x14ac:dyDescent="0.3">
      <c r="A85" t="s">
        <v>3</v>
      </c>
      <c r="B85" t="s">
        <v>74</v>
      </c>
      <c r="C85" t="s">
        <v>43</v>
      </c>
      <c r="D85" t="s">
        <v>75</v>
      </c>
      <c r="E85" t="s">
        <v>52</v>
      </c>
      <c r="F85" s="1">
        <v>9.8444444444444447E-4</v>
      </c>
      <c r="G85" s="37">
        <v>2.1</v>
      </c>
      <c r="H85">
        <v>2.72</v>
      </c>
      <c r="I85" s="37">
        <v>1</v>
      </c>
      <c r="J85">
        <f t="shared" si="1"/>
        <v>2.72</v>
      </c>
    </row>
    <row r="86" spans="1:10" x14ac:dyDescent="0.3">
      <c r="A86" t="s">
        <v>3</v>
      </c>
      <c r="B86" t="s">
        <v>74</v>
      </c>
      <c r="C86" t="s">
        <v>43</v>
      </c>
      <c r="D86" t="s">
        <v>75</v>
      </c>
      <c r="E86" t="s">
        <v>53</v>
      </c>
      <c r="F86" s="1">
        <v>9.810879629629629E-4</v>
      </c>
      <c r="G86" s="37">
        <v>2.11</v>
      </c>
      <c r="H86">
        <v>2.73</v>
      </c>
      <c r="I86" s="37">
        <v>1</v>
      </c>
      <c r="J86">
        <f t="shared" si="1"/>
        <v>2.73</v>
      </c>
    </row>
    <row r="87" spans="1:10" x14ac:dyDescent="0.3">
      <c r="A87" t="s">
        <v>3</v>
      </c>
      <c r="B87" t="s">
        <v>74</v>
      </c>
      <c r="C87" t="s">
        <v>43</v>
      </c>
      <c r="D87" t="s">
        <v>75</v>
      </c>
      <c r="E87" t="s">
        <v>55</v>
      </c>
      <c r="F87" s="1">
        <v>9.6604166666666681E-4</v>
      </c>
      <c r="G87" s="37">
        <v>2.19</v>
      </c>
      <c r="H87">
        <v>2.83</v>
      </c>
      <c r="I87" s="37">
        <v>1</v>
      </c>
      <c r="J87">
        <f t="shared" si="1"/>
        <v>2.83</v>
      </c>
    </row>
    <row r="88" spans="1:10" x14ac:dyDescent="0.3">
      <c r="A88" t="s">
        <v>3</v>
      </c>
      <c r="B88" t="s">
        <v>74</v>
      </c>
      <c r="C88" t="s">
        <v>43</v>
      </c>
      <c r="D88" t="s">
        <v>75</v>
      </c>
      <c r="E88" t="s">
        <v>56</v>
      </c>
      <c r="F88" s="1">
        <v>9.6971064814814815E-4</v>
      </c>
      <c r="G88" s="37">
        <v>2.1800000000000002</v>
      </c>
      <c r="H88">
        <v>2.83</v>
      </c>
      <c r="I88" s="37">
        <v>1</v>
      </c>
      <c r="J88">
        <f t="shared" si="1"/>
        <v>2.83</v>
      </c>
    </row>
    <row r="89" spans="1:10" x14ac:dyDescent="0.3">
      <c r="A89" t="s">
        <v>3</v>
      </c>
      <c r="B89" t="s">
        <v>74</v>
      </c>
      <c r="C89" t="s">
        <v>43</v>
      </c>
      <c r="D89" t="s">
        <v>75</v>
      </c>
      <c r="E89" t="s">
        <v>57</v>
      </c>
      <c r="F89" s="1">
        <v>9.7061342592592598E-4</v>
      </c>
      <c r="G89" s="37">
        <v>2.17</v>
      </c>
      <c r="H89">
        <v>2.8</v>
      </c>
      <c r="I89" s="37">
        <v>1</v>
      </c>
      <c r="J89">
        <f t="shared" si="1"/>
        <v>2.8</v>
      </c>
    </row>
    <row r="90" spans="1:10" x14ac:dyDescent="0.3">
      <c r="A90" t="s">
        <v>3</v>
      </c>
      <c r="B90" t="s">
        <v>74</v>
      </c>
      <c r="C90" t="s">
        <v>43</v>
      </c>
      <c r="D90" t="s">
        <v>75</v>
      </c>
      <c r="E90" t="s">
        <v>58</v>
      </c>
      <c r="F90" s="1">
        <v>9.7255787037037037E-4</v>
      </c>
      <c r="G90" s="37">
        <v>2.11</v>
      </c>
      <c r="H90">
        <v>2.73</v>
      </c>
      <c r="I90" s="37">
        <v>1</v>
      </c>
      <c r="J90">
        <f t="shared" si="1"/>
        <v>2.73</v>
      </c>
    </row>
    <row r="91" spans="1:10" x14ac:dyDescent="0.3">
      <c r="A91" t="s">
        <v>3</v>
      </c>
      <c r="B91" t="s">
        <v>74</v>
      </c>
      <c r="C91" t="s">
        <v>43</v>
      </c>
      <c r="D91" t="s">
        <v>75</v>
      </c>
      <c r="E91" t="s">
        <v>72</v>
      </c>
      <c r="F91" s="1">
        <v>9.7320601851851865E-4</v>
      </c>
      <c r="G91" s="37">
        <v>2.14</v>
      </c>
      <c r="H91">
        <v>2.77</v>
      </c>
      <c r="I91" s="37">
        <v>1</v>
      </c>
      <c r="J91">
        <f t="shared" si="1"/>
        <v>2.77</v>
      </c>
    </row>
    <row r="92" spans="1:10" x14ac:dyDescent="0.3">
      <c r="A92" t="s">
        <v>3</v>
      </c>
      <c r="B92" t="s">
        <v>74</v>
      </c>
      <c r="C92" t="s">
        <v>43</v>
      </c>
      <c r="D92" t="s">
        <v>75</v>
      </c>
      <c r="E92" t="s">
        <v>59</v>
      </c>
      <c r="F92" s="1">
        <v>9.7577546296296301E-4</v>
      </c>
      <c r="G92" s="37">
        <v>2.13</v>
      </c>
      <c r="H92">
        <v>2.75</v>
      </c>
      <c r="I92" s="37">
        <v>1</v>
      </c>
      <c r="J92">
        <f t="shared" si="1"/>
        <v>2.75</v>
      </c>
    </row>
    <row r="93" spans="1:10" x14ac:dyDescent="0.3">
      <c r="A93" t="s">
        <v>3</v>
      </c>
      <c r="B93" t="s">
        <v>74</v>
      </c>
      <c r="C93" t="s">
        <v>43</v>
      </c>
      <c r="D93" t="s">
        <v>75</v>
      </c>
      <c r="E93" t="s">
        <v>60</v>
      </c>
      <c r="F93" s="1">
        <v>9.7355324074074065E-4</v>
      </c>
      <c r="G93" s="37">
        <v>2.13</v>
      </c>
      <c r="H93">
        <v>2.76</v>
      </c>
      <c r="I93" s="37">
        <v>1</v>
      </c>
      <c r="J93">
        <f t="shared" si="1"/>
        <v>2.76</v>
      </c>
    </row>
    <row r="94" spans="1:10" x14ac:dyDescent="0.3">
      <c r="A94" t="s">
        <v>3</v>
      </c>
      <c r="B94" t="s">
        <v>74</v>
      </c>
      <c r="C94" t="s">
        <v>43</v>
      </c>
      <c r="D94" t="s">
        <v>75</v>
      </c>
      <c r="E94" t="s">
        <v>61</v>
      </c>
      <c r="F94" s="1">
        <v>9.7344907407407406E-4</v>
      </c>
      <c r="G94" s="37">
        <v>2.14</v>
      </c>
      <c r="H94">
        <v>2.78</v>
      </c>
      <c r="I94" s="37">
        <v>1</v>
      </c>
      <c r="J94">
        <f t="shared" si="1"/>
        <v>2.78</v>
      </c>
    </row>
    <row r="95" spans="1:10" x14ac:dyDescent="0.3">
      <c r="A95" t="s">
        <v>3</v>
      </c>
      <c r="B95" t="s">
        <v>74</v>
      </c>
      <c r="C95" t="s">
        <v>43</v>
      </c>
      <c r="D95" t="s">
        <v>75</v>
      </c>
      <c r="E95" t="s">
        <v>62</v>
      </c>
      <c r="F95" s="1">
        <v>9.8450231481481479E-4</v>
      </c>
      <c r="G95" s="37">
        <v>2.09</v>
      </c>
      <c r="H95">
        <v>2.72</v>
      </c>
      <c r="I95" s="37">
        <v>1</v>
      </c>
      <c r="J95">
        <f t="shared" si="1"/>
        <v>2.72</v>
      </c>
    </row>
    <row r="96" spans="1:10" x14ac:dyDescent="0.3">
      <c r="A96" t="s">
        <v>3</v>
      </c>
      <c r="B96" t="s">
        <v>74</v>
      </c>
      <c r="C96" t="s">
        <v>43</v>
      </c>
      <c r="D96" t="s">
        <v>75</v>
      </c>
      <c r="E96" t="s">
        <v>63</v>
      </c>
      <c r="F96" s="1">
        <v>9.7483796296296294E-4</v>
      </c>
      <c r="G96" s="37">
        <v>2.12</v>
      </c>
      <c r="H96">
        <v>2.75</v>
      </c>
      <c r="I96" s="37">
        <v>1</v>
      </c>
      <c r="J96">
        <f t="shared" si="1"/>
        <v>2.75</v>
      </c>
    </row>
    <row r="97" spans="1:10" x14ac:dyDescent="0.3">
      <c r="A97" t="s">
        <v>3</v>
      </c>
      <c r="B97" t="s">
        <v>74</v>
      </c>
      <c r="C97" t="s">
        <v>43</v>
      </c>
      <c r="D97" t="s">
        <v>75</v>
      </c>
      <c r="E97" t="s">
        <v>64</v>
      </c>
      <c r="F97" s="1">
        <v>9.7490740740740741E-4</v>
      </c>
      <c r="G97" s="37">
        <v>2.13</v>
      </c>
      <c r="H97">
        <v>2.76</v>
      </c>
      <c r="I97" s="37">
        <v>1</v>
      </c>
      <c r="J97">
        <f t="shared" si="1"/>
        <v>2.76</v>
      </c>
    </row>
    <row r="98" spans="1:10" x14ac:dyDescent="0.3">
      <c r="A98" t="s">
        <v>3</v>
      </c>
      <c r="B98" t="s">
        <v>74</v>
      </c>
      <c r="C98" t="s">
        <v>43</v>
      </c>
      <c r="D98" t="s">
        <v>75</v>
      </c>
      <c r="E98" t="s">
        <v>65</v>
      </c>
      <c r="F98" s="1">
        <v>9.7401620370370372E-4</v>
      </c>
      <c r="G98" s="37">
        <v>2.11</v>
      </c>
      <c r="H98">
        <v>2.75</v>
      </c>
      <c r="I98" s="37">
        <v>1</v>
      </c>
      <c r="J98">
        <f t="shared" si="1"/>
        <v>2.75</v>
      </c>
    </row>
    <row r="99" spans="1:10" x14ac:dyDescent="0.3">
      <c r="A99" t="s">
        <v>3</v>
      </c>
      <c r="B99" t="s">
        <v>74</v>
      </c>
      <c r="C99" t="s">
        <v>43</v>
      </c>
      <c r="D99" t="s">
        <v>75</v>
      </c>
      <c r="E99" t="s">
        <v>66</v>
      </c>
      <c r="F99" s="1">
        <v>9.7449074074074072E-4</v>
      </c>
      <c r="G99" s="37">
        <v>2.12</v>
      </c>
      <c r="H99">
        <v>2.76</v>
      </c>
      <c r="I99" s="37">
        <v>1</v>
      </c>
      <c r="J99">
        <f t="shared" si="1"/>
        <v>2.76</v>
      </c>
    </row>
    <row r="100" spans="1:10" x14ac:dyDescent="0.3">
      <c r="A100" t="s">
        <v>3</v>
      </c>
      <c r="B100" t="s">
        <v>74</v>
      </c>
      <c r="C100" t="s">
        <v>43</v>
      </c>
      <c r="D100" t="s">
        <v>75</v>
      </c>
      <c r="E100" t="s">
        <v>67</v>
      </c>
      <c r="F100" s="1">
        <v>9.7392361111111106E-4</v>
      </c>
      <c r="G100" s="37">
        <v>2.13</v>
      </c>
      <c r="H100">
        <v>2.76</v>
      </c>
      <c r="I100" s="37">
        <v>1</v>
      </c>
      <c r="J100">
        <f t="shared" si="1"/>
        <v>2.76</v>
      </c>
    </row>
    <row r="101" spans="1:10" x14ac:dyDescent="0.3">
      <c r="A101" t="s">
        <v>3</v>
      </c>
      <c r="B101" t="s">
        <v>74</v>
      </c>
      <c r="C101" t="s">
        <v>43</v>
      </c>
      <c r="D101" t="s">
        <v>75</v>
      </c>
      <c r="E101" t="s">
        <v>68</v>
      </c>
      <c r="F101" s="1">
        <v>9.7465277777777784E-4</v>
      </c>
      <c r="G101" s="37">
        <v>2.14</v>
      </c>
      <c r="H101">
        <v>2.77</v>
      </c>
      <c r="I101" s="37">
        <v>1</v>
      </c>
      <c r="J101">
        <f t="shared" si="1"/>
        <v>2.77</v>
      </c>
    </row>
    <row r="102" spans="1:10" x14ac:dyDescent="0.3">
      <c r="A102" t="s">
        <v>3</v>
      </c>
      <c r="B102" t="s">
        <v>74</v>
      </c>
      <c r="C102" t="s">
        <v>43</v>
      </c>
      <c r="D102" t="s">
        <v>75</v>
      </c>
      <c r="E102" t="s">
        <v>69</v>
      </c>
      <c r="F102" s="1">
        <v>9.7305555555555557E-4</v>
      </c>
      <c r="G102" s="37">
        <v>2.13</v>
      </c>
      <c r="H102">
        <v>2.77</v>
      </c>
      <c r="I102" s="37">
        <v>1</v>
      </c>
      <c r="J102">
        <f t="shared" si="1"/>
        <v>2.77</v>
      </c>
    </row>
    <row r="103" spans="1:10" x14ac:dyDescent="0.3">
      <c r="A103" t="s">
        <v>3</v>
      </c>
      <c r="B103" t="s">
        <v>74</v>
      </c>
      <c r="C103" t="s">
        <v>43</v>
      </c>
      <c r="D103" t="s">
        <v>75</v>
      </c>
      <c r="E103" t="s">
        <v>70</v>
      </c>
      <c r="F103" s="1">
        <v>9.811921296296296E-4</v>
      </c>
      <c r="G103" s="37">
        <v>2.13</v>
      </c>
      <c r="H103">
        <v>2.77</v>
      </c>
      <c r="I103" s="37">
        <v>1</v>
      </c>
      <c r="J103">
        <f t="shared" si="1"/>
        <v>2.77</v>
      </c>
    </row>
    <row r="104" spans="1:10" x14ac:dyDescent="0.3">
      <c r="A104" t="s">
        <v>3</v>
      </c>
      <c r="B104" t="s">
        <v>74</v>
      </c>
      <c r="C104" t="s">
        <v>43</v>
      </c>
      <c r="D104" t="s">
        <v>75</v>
      </c>
      <c r="E104" t="s">
        <v>71</v>
      </c>
      <c r="F104" s="1">
        <v>9.7761574074074092E-4</v>
      </c>
      <c r="G104" s="37">
        <v>2.15</v>
      </c>
      <c r="H104">
        <v>2.8</v>
      </c>
      <c r="I104" s="37">
        <v>1</v>
      </c>
      <c r="J104">
        <f t="shared" si="1"/>
        <v>2.8</v>
      </c>
    </row>
    <row r="105" spans="1:10" x14ac:dyDescent="0.3">
      <c r="A105" t="s">
        <v>3</v>
      </c>
      <c r="B105" t="s">
        <v>20</v>
      </c>
      <c r="C105" t="s">
        <v>43</v>
      </c>
      <c r="D105" t="s">
        <v>76</v>
      </c>
      <c r="E105" t="s">
        <v>9</v>
      </c>
      <c r="F105" s="1">
        <v>9.9006944444444446E-4</v>
      </c>
      <c r="G105" s="37">
        <v>2.04</v>
      </c>
      <c r="H105">
        <v>2.6</v>
      </c>
      <c r="I105" s="37">
        <v>1.0169999999999999</v>
      </c>
      <c r="J105">
        <f t="shared" si="1"/>
        <v>2.6441999999999997</v>
      </c>
    </row>
    <row r="106" spans="1:10" x14ac:dyDescent="0.3">
      <c r="A106" t="s">
        <v>3</v>
      </c>
      <c r="B106" t="s">
        <v>20</v>
      </c>
      <c r="C106" t="s">
        <v>43</v>
      </c>
      <c r="D106" t="s">
        <v>76</v>
      </c>
      <c r="E106" t="s">
        <v>10</v>
      </c>
      <c r="F106" s="1">
        <v>9.7234953703703698E-4</v>
      </c>
      <c r="G106" s="37">
        <v>2.12</v>
      </c>
      <c r="H106">
        <v>2.71</v>
      </c>
      <c r="I106" s="37">
        <v>1.0169999999999999</v>
      </c>
      <c r="J106">
        <f t="shared" si="1"/>
        <v>2.7560699999999998</v>
      </c>
    </row>
    <row r="107" spans="1:10" x14ac:dyDescent="0.3">
      <c r="A107" t="s">
        <v>3</v>
      </c>
      <c r="B107" t="s">
        <v>20</v>
      </c>
      <c r="C107" t="s">
        <v>43</v>
      </c>
      <c r="D107" t="s">
        <v>76</v>
      </c>
      <c r="E107" t="s">
        <v>15</v>
      </c>
      <c r="F107" s="1">
        <v>9.7002314814814813E-4</v>
      </c>
      <c r="G107" s="37">
        <v>2.25</v>
      </c>
      <c r="H107">
        <v>2.86</v>
      </c>
      <c r="I107" s="37">
        <v>1.0169999999999999</v>
      </c>
      <c r="J107">
        <f t="shared" si="1"/>
        <v>2.9086199999999995</v>
      </c>
    </row>
    <row r="108" spans="1:10" x14ac:dyDescent="0.3">
      <c r="A108" t="s">
        <v>3</v>
      </c>
      <c r="B108" t="s">
        <v>20</v>
      </c>
      <c r="C108" t="s">
        <v>43</v>
      </c>
      <c r="D108" t="s">
        <v>76</v>
      </c>
      <c r="E108" t="s">
        <v>16</v>
      </c>
      <c r="F108" s="1">
        <v>9.6643518518518519E-4</v>
      </c>
      <c r="G108" s="37">
        <v>2.2599999999999998</v>
      </c>
      <c r="H108">
        <v>2.88</v>
      </c>
      <c r="I108" s="37">
        <v>1.0169999999999999</v>
      </c>
      <c r="J108">
        <f t="shared" si="1"/>
        <v>2.9289599999999996</v>
      </c>
    </row>
    <row r="109" spans="1:10" x14ac:dyDescent="0.3">
      <c r="A109" t="s">
        <v>3</v>
      </c>
      <c r="B109" t="s">
        <v>20</v>
      </c>
      <c r="C109" t="s">
        <v>43</v>
      </c>
      <c r="D109" t="s">
        <v>76</v>
      </c>
      <c r="E109" t="s">
        <v>17</v>
      </c>
      <c r="F109" s="1">
        <v>9.716435185185186E-4</v>
      </c>
      <c r="G109" s="37">
        <v>2.25</v>
      </c>
      <c r="H109">
        <v>2.87</v>
      </c>
      <c r="I109" s="37">
        <v>1.0169999999999999</v>
      </c>
      <c r="J109">
        <f t="shared" si="1"/>
        <v>2.91879</v>
      </c>
    </row>
    <row r="110" spans="1:10" x14ac:dyDescent="0.3">
      <c r="A110" t="s">
        <v>3</v>
      </c>
      <c r="B110" t="s">
        <v>20</v>
      </c>
      <c r="C110" t="s">
        <v>43</v>
      </c>
      <c r="D110" t="s">
        <v>76</v>
      </c>
      <c r="E110" t="s">
        <v>18</v>
      </c>
      <c r="F110" s="1">
        <v>9.6957175925925921E-4</v>
      </c>
      <c r="G110" s="37">
        <v>2.27</v>
      </c>
      <c r="H110">
        <v>2.89</v>
      </c>
      <c r="I110" s="37">
        <v>1.0169999999999999</v>
      </c>
      <c r="J110">
        <f t="shared" si="1"/>
        <v>2.93913</v>
      </c>
    </row>
    <row r="111" spans="1:10" x14ac:dyDescent="0.3">
      <c r="A111" t="s">
        <v>3</v>
      </c>
      <c r="B111" t="s">
        <v>20</v>
      </c>
      <c r="C111" t="s">
        <v>43</v>
      </c>
      <c r="D111" t="s">
        <v>76</v>
      </c>
      <c r="E111" t="s">
        <v>19</v>
      </c>
      <c r="F111" s="1">
        <v>9.7159722222222222E-4</v>
      </c>
      <c r="G111" s="37">
        <v>2.2599999999999998</v>
      </c>
      <c r="H111">
        <v>2.87</v>
      </c>
      <c r="I111" s="37">
        <v>1.0169999999999999</v>
      </c>
      <c r="J111">
        <f t="shared" si="1"/>
        <v>2.91879</v>
      </c>
    </row>
    <row r="112" spans="1:10" x14ac:dyDescent="0.3">
      <c r="A112" t="s">
        <v>3</v>
      </c>
      <c r="B112" t="s">
        <v>20</v>
      </c>
      <c r="C112" t="s">
        <v>43</v>
      </c>
      <c r="D112" t="s">
        <v>76</v>
      </c>
      <c r="E112" t="s">
        <v>45</v>
      </c>
      <c r="F112" s="1">
        <v>9.7156249999999999E-4</v>
      </c>
      <c r="G112" s="37">
        <v>2.23</v>
      </c>
      <c r="H112">
        <v>2.85</v>
      </c>
      <c r="I112" s="37">
        <v>1.0169999999999999</v>
      </c>
      <c r="J112">
        <f t="shared" si="1"/>
        <v>2.89845</v>
      </c>
    </row>
    <row r="113" spans="1:10" x14ac:dyDescent="0.3">
      <c r="A113" t="s">
        <v>3</v>
      </c>
      <c r="B113" t="s">
        <v>20</v>
      </c>
      <c r="C113" t="s">
        <v>43</v>
      </c>
      <c r="D113" t="s">
        <v>76</v>
      </c>
      <c r="E113" t="s">
        <v>46</v>
      </c>
      <c r="F113" s="1">
        <v>9.725115740740741E-4</v>
      </c>
      <c r="G113" s="37">
        <v>2.2400000000000002</v>
      </c>
      <c r="H113">
        <v>2.85</v>
      </c>
      <c r="I113" s="37">
        <v>1.0169999999999999</v>
      </c>
      <c r="J113">
        <f t="shared" si="1"/>
        <v>2.89845</v>
      </c>
    </row>
    <row r="114" spans="1:10" x14ac:dyDescent="0.3">
      <c r="A114" t="s">
        <v>3</v>
      </c>
      <c r="B114" t="s">
        <v>20</v>
      </c>
      <c r="C114" t="s">
        <v>43</v>
      </c>
      <c r="D114" t="s">
        <v>76</v>
      </c>
      <c r="E114" t="s">
        <v>47</v>
      </c>
      <c r="F114" s="1">
        <v>9.7478009259259263E-4</v>
      </c>
      <c r="G114" s="37">
        <v>2.2400000000000002</v>
      </c>
      <c r="H114">
        <v>2.85</v>
      </c>
      <c r="I114" s="37">
        <v>1.0169999999999999</v>
      </c>
      <c r="J114">
        <f t="shared" si="1"/>
        <v>2.89845</v>
      </c>
    </row>
    <row r="115" spans="1:10" x14ac:dyDescent="0.3">
      <c r="A115" t="s">
        <v>3</v>
      </c>
      <c r="B115" t="s">
        <v>20</v>
      </c>
      <c r="C115" t="s">
        <v>43</v>
      </c>
      <c r="D115" t="s">
        <v>76</v>
      </c>
      <c r="E115" t="s">
        <v>48</v>
      </c>
      <c r="F115" s="1">
        <v>9.7796296296296281E-4</v>
      </c>
      <c r="G115" s="37">
        <v>2.21</v>
      </c>
      <c r="H115">
        <v>2.81</v>
      </c>
      <c r="I115" s="37">
        <v>1.0169999999999999</v>
      </c>
      <c r="J115">
        <f t="shared" si="1"/>
        <v>2.8577699999999999</v>
      </c>
    </row>
    <row r="116" spans="1:10" x14ac:dyDescent="0.3">
      <c r="A116" t="s">
        <v>3</v>
      </c>
      <c r="B116" t="s">
        <v>20</v>
      </c>
      <c r="C116" t="s">
        <v>43</v>
      </c>
      <c r="D116" t="s">
        <v>76</v>
      </c>
      <c r="E116" t="s">
        <v>49</v>
      </c>
      <c r="F116" s="1">
        <v>9.7914351851851851E-4</v>
      </c>
      <c r="G116" s="37">
        <v>2.1800000000000002</v>
      </c>
      <c r="H116">
        <v>2.78</v>
      </c>
      <c r="I116" s="37">
        <v>1.0169999999999999</v>
      </c>
      <c r="J116">
        <f t="shared" si="1"/>
        <v>2.8272599999999994</v>
      </c>
    </row>
    <row r="117" spans="1:10" x14ac:dyDescent="0.3">
      <c r="A117" t="s">
        <v>3</v>
      </c>
      <c r="B117" t="s">
        <v>20</v>
      </c>
      <c r="C117" t="s">
        <v>43</v>
      </c>
      <c r="D117" t="s">
        <v>76</v>
      </c>
      <c r="E117" t="s">
        <v>50</v>
      </c>
      <c r="F117" s="1">
        <v>9.7848379629629631E-4</v>
      </c>
      <c r="G117" s="37">
        <v>2.1800000000000002</v>
      </c>
      <c r="H117">
        <v>2.78</v>
      </c>
      <c r="I117" s="37">
        <v>1.0169999999999999</v>
      </c>
      <c r="J117">
        <f t="shared" si="1"/>
        <v>2.8272599999999994</v>
      </c>
    </row>
    <row r="118" spans="1:10" x14ac:dyDescent="0.3">
      <c r="A118" t="s">
        <v>3</v>
      </c>
      <c r="B118" t="s">
        <v>20</v>
      </c>
      <c r="C118" t="s">
        <v>43</v>
      </c>
      <c r="D118" t="s">
        <v>76</v>
      </c>
      <c r="E118" t="s">
        <v>51</v>
      </c>
      <c r="F118" s="1">
        <v>9.7615740740740746E-4</v>
      </c>
      <c r="G118" s="37">
        <v>2.21</v>
      </c>
      <c r="H118">
        <v>2.84</v>
      </c>
      <c r="I118" s="37">
        <v>1.0169999999999999</v>
      </c>
      <c r="J118">
        <f t="shared" si="1"/>
        <v>2.8882799999999995</v>
      </c>
    </row>
    <row r="119" spans="1:10" x14ac:dyDescent="0.3">
      <c r="A119" t="s">
        <v>3</v>
      </c>
      <c r="B119" t="s">
        <v>20</v>
      </c>
      <c r="C119" t="s">
        <v>43</v>
      </c>
      <c r="D119" t="s">
        <v>76</v>
      </c>
      <c r="E119" t="s">
        <v>52</v>
      </c>
      <c r="F119" s="1">
        <v>9.7479166666666677E-4</v>
      </c>
      <c r="G119" s="37">
        <v>2.23</v>
      </c>
      <c r="H119">
        <v>2.83</v>
      </c>
      <c r="I119" s="37">
        <v>1.0169999999999999</v>
      </c>
      <c r="J119">
        <f t="shared" si="1"/>
        <v>2.8781099999999999</v>
      </c>
    </row>
    <row r="120" spans="1:10" x14ac:dyDescent="0.3">
      <c r="A120" t="s">
        <v>3</v>
      </c>
      <c r="B120" t="s">
        <v>20</v>
      </c>
      <c r="C120" t="s">
        <v>43</v>
      </c>
      <c r="D120" t="s">
        <v>76</v>
      </c>
      <c r="E120" t="s">
        <v>53</v>
      </c>
      <c r="F120" s="1">
        <v>9.7871527777777779E-4</v>
      </c>
      <c r="G120" s="37">
        <v>2.21</v>
      </c>
      <c r="H120">
        <v>2.81</v>
      </c>
      <c r="I120" s="37">
        <v>1.0169999999999999</v>
      </c>
      <c r="J120">
        <f t="shared" si="1"/>
        <v>2.8577699999999999</v>
      </c>
    </row>
    <row r="121" spans="1:10" x14ac:dyDescent="0.3">
      <c r="A121" t="s">
        <v>3</v>
      </c>
      <c r="B121" t="s">
        <v>20</v>
      </c>
      <c r="C121" t="s">
        <v>43</v>
      </c>
      <c r="D121" t="s">
        <v>76</v>
      </c>
      <c r="E121" t="s">
        <v>54</v>
      </c>
      <c r="F121" s="1">
        <v>9.8075231481481472E-4</v>
      </c>
      <c r="G121" s="37">
        <v>2.21</v>
      </c>
      <c r="H121">
        <v>2.82</v>
      </c>
      <c r="I121" s="37">
        <v>1.0169999999999999</v>
      </c>
      <c r="J121">
        <f t="shared" si="1"/>
        <v>2.8679399999999995</v>
      </c>
    </row>
    <row r="122" spans="1:10" x14ac:dyDescent="0.3">
      <c r="A122" t="s">
        <v>3</v>
      </c>
      <c r="B122" t="s">
        <v>20</v>
      </c>
      <c r="C122" t="s">
        <v>43</v>
      </c>
      <c r="D122" t="s">
        <v>76</v>
      </c>
      <c r="E122" t="s">
        <v>56</v>
      </c>
      <c r="F122" s="1">
        <v>9.6293981481481491E-4</v>
      </c>
      <c r="G122" s="37">
        <v>2.25</v>
      </c>
      <c r="H122">
        <v>2.87</v>
      </c>
      <c r="I122" s="37">
        <v>1.0169999999999999</v>
      </c>
      <c r="J122">
        <f t="shared" si="1"/>
        <v>2.91879</v>
      </c>
    </row>
    <row r="123" spans="1:10" x14ac:dyDescent="0.3">
      <c r="A123" t="s">
        <v>3</v>
      </c>
      <c r="B123" t="s">
        <v>20</v>
      </c>
      <c r="C123" t="s">
        <v>43</v>
      </c>
      <c r="D123" t="s">
        <v>76</v>
      </c>
      <c r="E123" t="s">
        <v>57</v>
      </c>
      <c r="F123" s="1">
        <v>9.6312500000000001E-4</v>
      </c>
      <c r="G123" s="37">
        <v>2.2799999999999998</v>
      </c>
      <c r="H123">
        <v>2.89</v>
      </c>
      <c r="I123" s="37">
        <v>1.0169999999999999</v>
      </c>
      <c r="J123">
        <f t="shared" si="1"/>
        <v>2.93913</v>
      </c>
    </row>
    <row r="124" spans="1:10" x14ac:dyDescent="0.3">
      <c r="A124" t="s">
        <v>3</v>
      </c>
      <c r="B124" t="s">
        <v>20</v>
      </c>
      <c r="C124" t="s">
        <v>43</v>
      </c>
      <c r="D124" t="s">
        <v>76</v>
      </c>
      <c r="E124" t="s">
        <v>58</v>
      </c>
      <c r="F124" s="1">
        <v>9.6136574074074071E-4</v>
      </c>
      <c r="G124" s="37">
        <v>2.2599999999999998</v>
      </c>
      <c r="H124">
        <v>2.89</v>
      </c>
      <c r="I124" s="37">
        <v>1.0169999999999999</v>
      </c>
      <c r="J124">
        <f t="shared" si="1"/>
        <v>2.93913</v>
      </c>
    </row>
    <row r="125" spans="1:10" x14ac:dyDescent="0.3">
      <c r="A125" t="s">
        <v>3</v>
      </c>
      <c r="B125" t="s">
        <v>20</v>
      </c>
      <c r="C125" t="s">
        <v>43</v>
      </c>
      <c r="D125" t="s">
        <v>76</v>
      </c>
      <c r="E125" t="s">
        <v>72</v>
      </c>
      <c r="F125" s="1">
        <v>9.631481481481482E-4</v>
      </c>
      <c r="G125" s="37">
        <v>2.25</v>
      </c>
      <c r="H125">
        <v>2.88</v>
      </c>
      <c r="I125" s="37">
        <v>1.0169999999999999</v>
      </c>
      <c r="J125">
        <f t="shared" si="1"/>
        <v>2.9289599999999996</v>
      </c>
    </row>
    <row r="126" spans="1:10" x14ac:dyDescent="0.3">
      <c r="A126" t="s">
        <v>3</v>
      </c>
      <c r="B126" t="s">
        <v>20</v>
      </c>
      <c r="C126" t="s">
        <v>43</v>
      </c>
      <c r="D126" t="s">
        <v>76</v>
      </c>
      <c r="E126" t="s">
        <v>59</v>
      </c>
      <c r="F126" s="1">
        <v>9.6263888888888885E-4</v>
      </c>
      <c r="G126" s="37">
        <v>2.2599999999999998</v>
      </c>
      <c r="H126">
        <v>2.88</v>
      </c>
      <c r="I126" s="37">
        <v>1.0169999999999999</v>
      </c>
      <c r="J126">
        <f t="shared" si="1"/>
        <v>2.9289599999999996</v>
      </c>
    </row>
    <row r="127" spans="1:10" x14ac:dyDescent="0.3">
      <c r="A127" t="s">
        <v>3</v>
      </c>
      <c r="B127" t="s">
        <v>20</v>
      </c>
      <c r="C127" t="s">
        <v>43</v>
      </c>
      <c r="D127" t="s">
        <v>76</v>
      </c>
      <c r="E127" t="s">
        <v>60</v>
      </c>
      <c r="F127" s="1">
        <v>9.6586805555555543E-4</v>
      </c>
      <c r="G127" s="37">
        <v>2.2599999999999998</v>
      </c>
      <c r="H127">
        <v>2.88</v>
      </c>
      <c r="I127" s="37">
        <v>1.0169999999999999</v>
      </c>
      <c r="J127">
        <f t="shared" si="1"/>
        <v>2.9289599999999996</v>
      </c>
    </row>
    <row r="128" spans="1:10" x14ac:dyDescent="0.3">
      <c r="A128" t="s">
        <v>3</v>
      </c>
      <c r="B128" t="s">
        <v>20</v>
      </c>
      <c r="C128" t="s">
        <v>43</v>
      </c>
      <c r="D128" t="s">
        <v>76</v>
      </c>
      <c r="E128" t="s">
        <v>61</v>
      </c>
      <c r="F128" s="1">
        <v>9.6621527777777775E-4</v>
      </c>
      <c r="G128" s="37">
        <v>2.25</v>
      </c>
      <c r="H128">
        <v>2.89</v>
      </c>
      <c r="I128" s="37">
        <v>1.0169999999999999</v>
      </c>
      <c r="J128">
        <f t="shared" si="1"/>
        <v>2.93913</v>
      </c>
    </row>
    <row r="129" spans="1:10" x14ac:dyDescent="0.3">
      <c r="A129" t="s">
        <v>3</v>
      </c>
      <c r="B129" t="s">
        <v>20</v>
      </c>
      <c r="C129" t="s">
        <v>43</v>
      </c>
      <c r="D129" t="s">
        <v>76</v>
      </c>
      <c r="E129" t="s">
        <v>62</v>
      </c>
      <c r="F129" s="1">
        <v>9.6651620370370381E-4</v>
      </c>
      <c r="G129" s="37">
        <v>2.2599999999999998</v>
      </c>
      <c r="H129">
        <v>2.89</v>
      </c>
      <c r="I129" s="37">
        <v>1.0169999999999999</v>
      </c>
      <c r="J129">
        <f t="shared" si="1"/>
        <v>2.93913</v>
      </c>
    </row>
    <row r="130" spans="1:10" x14ac:dyDescent="0.3">
      <c r="A130" t="s">
        <v>3</v>
      </c>
      <c r="B130" t="s">
        <v>20</v>
      </c>
      <c r="C130" t="s">
        <v>43</v>
      </c>
      <c r="D130" t="s">
        <v>76</v>
      </c>
      <c r="E130" t="s">
        <v>63</v>
      </c>
      <c r="F130" s="1">
        <v>9.6876157407407403E-4</v>
      </c>
      <c r="G130" s="37">
        <v>2.2400000000000002</v>
      </c>
      <c r="H130">
        <v>2.86</v>
      </c>
      <c r="I130" s="37">
        <v>1.0169999999999999</v>
      </c>
      <c r="J130">
        <f t="shared" si="1"/>
        <v>2.9086199999999995</v>
      </c>
    </row>
    <row r="131" spans="1:10" x14ac:dyDescent="0.3">
      <c r="A131" t="s">
        <v>3</v>
      </c>
      <c r="B131" t="s">
        <v>20</v>
      </c>
      <c r="C131" t="s">
        <v>43</v>
      </c>
      <c r="D131" t="s">
        <v>76</v>
      </c>
      <c r="E131" t="s">
        <v>64</v>
      </c>
      <c r="F131" s="1">
        <v>9.6929398148148146E-4</v>
      </c>
      <c r="G131" s="37">
        <v>2.2200000000000002</v>
      </c>
      <c r="H131">
        <v>2.83</v>
      </c>
      <c r="I131" s="37">
        <v>1.0169999999999999</v>
      </c>
      <c r="J131">
        <f t="shared" si="1"/>
        <v>2.8781099999999999</v>
      </c>
    </row>
    <row r="132" spans="1:10" x14ac:dyDescent="0.3">
      <c r="A132" t="s">
        <v>3</v>
      </c>
      <c r="B132" t="s">
        <v>20</v>
      </c>
      <c r="C132" t="s">
        <v>43</v>
      </c>
      <c r="D132" t="s">
        <v>76</v>
      </c>
      <c r="E132" t="s">
        <v>65</v>
      </c>
      <c r="F132" s="1">
        <v>9.6939814814814816E-4</v>
      </c>
      <c r="G132" s="37">
        <v>2.23</v>
      </c>
      <c r="H132">
        <v>2.84</v>
      </c>
      <c r="I132" s="37">
        <v>1.0169999999999999</v>
      </c>
      <c r="J132">
        <f t="shared" ref="J132:J195" si="2">H132*I132</f>
        <v>2.8882799999999995</v>
      </c>
    </row>
    <row r="133" spans="1:10" x14ac:dyDescent="0.3">
      <c r="A133" t="s">
        <v>3</v>
      </c>
      <c r="B133" t="s">
        <v>20</v>
      </c>
      <c r="C133" t="s">
        <v>43</v>
      </c>
      <c r="D133" t="s">
        <v>76</v>
      </c>
      <c r="E133" t="s">
        <v>66</v>
      </c>
      <c r="F133" s="1">
        <v>9.6950231481481486E-4</v>
      </c>
      <c r="G133" s="37">
        <v>2.2200000000000002</v>
      </c>
      <c r="H133">
        <v>2.84</v>
      </c>
      <c r="I133" s="37">
        <v>1.0169999999999999</v>
      </c>
      <c r="J133">
        <f t="shared" si="2"/>
        <v>2.8882799999999995</v>
      </c>
    </row>
    <row r="134" spans="1:10" x14ac:dyDescent="0.3">
      <c r="A134" t="s">
        <v>3</v>
      </c>
      <c r="B134" t="s">
        <v>20</v>
      </c>
      <c r="C134" t="s">
        <v>43</v>
      </c>
      <c r="D134" t="s">
        <v>76</v>
      </c>
      <c r="E134" t="s">
        <v>67</v>
      </c>
      <c r="F134" s="1">
        <v>9.7092592592592597E-4</v>
      </c>
      <c r="G134" s="37">
        <v>2.2000000000000002</v>
      </c>
      <c r="H134">
        <v>2.82</v>
      </c>
      <c r="I134" s="37">
        <v>1.0169999999999999</v>
      </c>
      <c r="J134">
        <f t="shared" si="2"/>
        <v>2.8679399999999995</v>
      </c>
    </row>
    <row r="135" spans="1:10" x14ac:dyDescent="0.3">
      <c r="A135" t="s">
        <v>3</v>
      </c>
      <c r="B135" t="s">
        <v>20</v>
      </c>
      <c r="C135" t="s">
        <v>43</v>
      </c>
      <c r="D135" t="s">
        <v>76</v>
      </c>
      <c r="E135" t="s">
        <v>68</v>
      </c>
      <c r="F135" s="1">
        <v>9.7165509259259254E-4</v>
      </c>
      <c r="G135" s="37">
        <v>2.19</v>
      </c>
      <c r="H135">
        <v>2.81</v>
      </c>
      <c r="I135" s="37">
        <v>1.0169999999999999</v>
      </c>
      <c r="J135">
        <f t="shared" si="2"/>
        <v>2.8577699999999999</v>
      </c>
    </row>
    <row r="136" spans="1:10" x14ac:dyDescent="0.3">
      <c r="A136" t="s">
        <v>3</v>
      </c>
      <c r="B136" t="s">
        <v>20</v>
      </c>
      <c r="C136" t="s">
        <v>43</v>
      </c>
      <c r="D136" t="s">
        <v>76</v>
      </c>
      <c r="E136" t="s">
        <v>69</v>
      </c>
      <c r="F136" s="1">
        <v>9.7917824074074075E-4</v>
      </c>
      <c r="G136" s="37">
        <v>2.16</v>
      </c>
      <c r="H136">
        <v>2.75</v>
      </c>
      <c r="I136" s="37">
        <v>1.0169999999999999</v>
      </c>
      <c r="J136">
        <f t="shared" si="2"/>
        <v>2.7967499999999998</v>
      </c>
    </row>
    <row r="137" spans="1:10" x14ac:dyDescent="0.3">
      <c r="A137" t="s">
        <v>3</v>
      </c>
      <c r="B137" t="s">
        <v>20</v>
      </c>
      <c r="C137" t="s">
        <v>43</v>
      </c>
      <c r="D137" t="s">
        <v>76</v>
      </c>
      <c r="E137" t="s">
        <v>70</v>
      </c>
      <c r="F137" s="1">
        <v>9.7537037037037026E-4</v>
      </c>
      <c r="G137" s="37">
        <v>2.15</v>
      </c>
      <c r="H137">
        <v>2.73</v>
      </c>
      <c r="I137" s="37">
        <v>1.0169999999999999</v>
      </c>
      <c r="J137">
        <f t="shared" si="2"/>
        <v>2.7764099999999998</v>
      </c>
    </row>
    <row r="138" spans="1:10" x14ac:dyDescent="0.3">
      <c r="A138" t="s">
        <v>3</v>
      </c>
      <c r="B138" t="s">
        <v>20</v>
      </c>
      <c r="C138" t="s">
        <v>43</v>
      </c>
      <c r="D138" t="s">
        <v>76</v>
      </c>
      <c r="E138" t="s">
        <v>71</v>
      </c>
      <c r="F138" s="1">
        <v>9.8103009259259259E-4</v>
      </c>
      <c r="G138" s="37">
        <v>2.1</v>
      </c>
      <c r="H138">
        <v>2.7</v>
      </c>
      <c r="I138" s="37">
        <v>1.0169999999999999</v>
      </c>
      <c r="J138">
        <f t="shared" si="2"/>
        <v>2.7458999999999998</v>
      </c>
    </row>
    <row r="139" spans="1:10" x14ac:dyDescent="0.3">
      <c r="A139" t="s">
        <v>3</v>
      </c>
      <c r="B139" t="s">
        <v>77</v>
      </c>
      <c r="C139" t="s">
        <v>43</v>
      </c>
      <c r="D139" t="s">
        <v>78</v>
      </c>
      <c r="E139" t="s">
        <v>9</v>
      </c>
      <c r="F139" s="1">
        <v>9.9458333333333343E-4</v>
      </c>
      <c r="G139" s="37">
        <v>2.1</v>
      </c>
      <c r="H139">
        <v>2.69</v>
      </c>
      <c r="I139" s="37">
        <v>0.97499999999999998</v>
      </c>
      <c r="J139">
        <f t="shared" si="2"/>
        <v>2.6227499999999999</v>
      </c>
    </row>
    <row r="140" spans="1:10" x14ac:dyDescent="0.3">
      <c r="A140" t="s">
        <v>3</v>
      </c>
      <c r="B140" t="s">
        <v>77</v>
      </c>
      <c r="C140" t="s">
        <v>43</v>
      </c>
      <c r="D140" t="s">
        <v>78</v>
      </c>
      <c r="E140" t="s">
        <v>10</v>
      </c>
      <c r="F140" s="1">
        <v>9.8724537037037032E-4</v>
      </c>
      <c r="G140" s="37">
        <v>2.11</v>
      </c>
      <c r="H140">
        <v>2.68</v>
      </c>
      <c r="I140" s="37">
        <v>0.97499999999999998</v>
      </c>
      <c r="J140">
        <f t="shared" si="2"/>
        <v>2.613</v>
      </c>
    </row>
    <row r="141" spans="1:10" x14ac:dyDescent="0.3">
      <c r="A141" t="s">
        <v>3</v>
      </c>
      <c r="B141" t="s">
        <v>77</v>
      </c>
      <c r="C141" t="s">
        <v>43</v>
      </c>
      <c r="D141" t="s">
        <v>78</v>
      </c>
      <c r="E141" t="s">
        <v>15</v>
      </c>
      <c r="F141" s="1">
        <v>9.8436342592592607E-4</v>
      </c>
      <c r="G141" s="37">
        <v>2.12</v>
      </c>
      <c r="H141">
        <v>2.69</v>
      </c>
      <c r="I141" s="37">
        <v>0.97499999999999998</v>
      </c>
      <c r="J141">
        <f t="shared" si="2"/>
        <v>2.6227499999999999</v>
      </c>
    </row>
    <row r="142" spans="1:10" x14ac:dyDescent="0.3">
      <c r="A142" t="s">
        <v>3</v>
      </c>
      <c r="B142" t="s">
        <v>77</v>
      </c>
      <c r="C142" t="s">
        <v>43</v>
      </c>
      <c r="D142" t="s">
        <v>78</v>
      </c>
      <c r="E142" t="s">
        <v>16</v>
      </c>
      <c r="F142" s="1">
        <v>9.7679398148148148E-4</v>
      </c>
      <c r="G142" s="37">
        <v>2.17</v>
      </c>
      <c r="H142">
        <v>2.76</v>
      </c>
      <c r="I142" s="37">
        <v>0.97499999999999998</v>
      </c>
      <c r="J142">
        <f t="shared" si="2"/>
        <v>2.6909999999999998</v>
      </c>
    </row>
    <row r="143" spans="1:10" x14ac:dyDescent="0.3">
      <c r="A143" t="s">
        <v>3</v>
      </c>
      <c r="B143" t="s">
        <v>77</v>
      </c>
      <c r="C143" t="s">
        <v>43</v>
      </c>
      <c r="D143" t="s">
        <v>78</v>
      </c>
      <c r="E143" t="s">
        <v>17</v>
      </c>
      <c r="F143" s="1">
        <v>9.7228009259259251E-4</v>
      </c>
      <c r="G143" s="37">
        <v>2.15</v>
      </c>
      <c r="H143">
        <v>2.75</v>
      </c>
      <c r="I143" s="37">
        <v>0.97499999999999998</v>
      </c>
      <c r="J143">
        <f t="shared" si="2"/>
        <v>2.6812499999999999</v>
      </c>
    </row>
    <row r="144" spans="1:10" x14ac:dyDescent="0.3">
      <c r="A144" t="s">
        <v>3</v>
      </c>
      <c r="B144" t="s">
        <v>77</v>
      </c>
      <c r="C144" t="s">
        <v>43</v>
      </c>
      <c r="D144" t="s">
        <v>78</v>
      </c>
      <c r="E144" t="s">
        <v>18</v>
      </c>
      <c r="F144" s="1">
        <v>9.7141203703703712E-4</v>
      </c>
      <c r="G144" s="37">
        <v>2.1800000000000002</v>
      </c>
      <c r="H144">
        <v>2.79</v>
      </c>
      <c r="I144" s="37">
        <v>0.97499999999999998</v>
      </c>
      <c r="J144">
        <f t="shared" si="2"/>
        <v>2.7202500000000001</v>
      </c>
    </row>
    <row r="145" spans="1:10" x14ac:dyDescent="0.3">
      <c r="A145" t="s">
        <v>3</v>
      </c>
      <c r="B145" t="s">
        <v>77</v>
      </c>
      <c r="C145" t="s">
        <v>43</v>
      </c>
      <c r="D145" t="s">
        <v>78</v>
      </c>
      <c r="E145" t="s">
        <v>19</v>
      </c>
      <c r="F145" s="1">
        <v>9.715162037037036E-4</v>
      </c>
      <c r="G145" s="37">
        <v>2.1800000000000002</v>
      </c>
      <c r="H145">
        <v>2.78</v>
      </c>
      <c r="I145" s="37">
        <v>0.97499999999999998</v>
      </c>
      <c r="J145">
        <f t="shared" si="2"/>
        <v>2.7104999999999997</v>
      </c>
    </row>
    <row r="146" spans="1:10" x14ac:dyDescent="0.3">
      <c r="A146" t="s">
        <v>3</v>
      </c>
      <c r="B146" t="s">
        <v>77</v>
      </c>
      <c r="C146" t="s">
        <v>43</v>
      </c>
      <c r="D146" t="s">
        <v>78</v>
      </c>
      <c r="E146" t="s">
        <v>45</v>
      </c>
      <c r="F146" s="1">
        <v>9.7824074074074068E-4</v>
      </c>
      <c r="G146" s="37">
        <v>2.14</v>
      </c>
      <c r="H146">
        <v>2.74</v>
      </c>
      <c r="I146" s="37">
        <v>0.97499999999999998</v>
      </c>
      <c r="J146">
        <f t="shared" si="2"/>
        <v>2.6715</v>
      </c>
    </row>
    <row r="147" spans="1:10" x14ac:dyDescent="0.3">
      <c r="A147" t="s">
        <v>3</v>
      </c>
      <c r="B147" t="s">
        <v>77</v>
      </c>
      <c r="C147" t="s">
        <v>43</v>
      </c>
      <c r="D147" t="s">
        <v>78</v>
      </c>
      <c r="E147" t="s">
        <v>46</v>
      </c>
      <c r="F147" s="1">
        <v>9.7501157407407411E-4</v>
      </c>
      <c r="G147" s="37">
        <v>2.19</v>
      </c>
      <c r="H147">
        <v>2.8</v>
      </c>
      <c r="I147" s="37">
        <v>0.97499999999999998</v>
      </c>
      <c r="J147">
        <f t="shared" si="2"/>
        <v>2.73</v>
      </c>
    </row>
    <row r="148" spans="1:10" x14ac:dyDescent="0.3">
      <c r="A148" t="s">
        <v>3</v>
      </c>
      <c r="B148" t="s">
        <v>77</v>
      </c>
      <c r="C148" t="s">
        <v>43</v>
      </c>
      <c r="D148" t="s">
        <v>78</v>
      </c>
      <c r="E148" t="s">
        <v>47</v>
      </c>
      <c r="F148" s="1">
        <v>9.7603009259259268E-4</v>
      </c>
      <c r="G148" s="37">
        <v>2.2000000000000002</v>
      </c>
      <c r="H148">
        <v>2.81</v>
      </c>
      <c r="I148" s="37">
        <v>0.97499999999999998</v>
      </c>
      <c r="J148">
        <f t="shared" si="2"/>
        <v>2.7397499999999999</v>
      </c>
    </row>
    <row r="149" spans="1:10" x14ac:dyDescent="0.3">
      <c r="A149" t="s">
        <v>3</v>
      </c>
      <c r="B149" t="s">
        <v>77</v>
      </c>
      <c r="C149" t="s">
        <v>43</v>
      </c>
      <c r="D149" t="s">
        <v>78</v>
      </c>
      <c r="E149" t="s">
        <v>48</v>
      </c>
      <c r="F149" s="1">
        <v>9.7607638888888885E-4</v>
      </c>
      <c r="G149" s="37">
        <v>2.17</v>
      </c>
      <c r="H149">
        <v>2.78</v>
      </c>
      <c r="I149" s="37">
        <v>0.97499999999999998</v>
      </c>
      <c r="J149">
        <f t="shared" si="2"/>
        <v>2.7104999999999997</v>
      </c>
    </row>
    <row r="150" spans="1:10" x14ac:dyDescent="0.3">
      <c r="A150" t="s">
        <v>3</v>
      </c>
      <c r="B150" t="s">
        <v>77</v>
      </c>
      <c r="C150" t="s">
        <v>43</v>
      </c>
      <c r="D150" t="s">
        <v>78</v>
      </c>
      <c r="E150" t="s">
        <v>49</v>
      </c>
      <c r="F150" s="1">
        <v>9.7914351851851851E-4</v>
      </c>
      <c r="G150" s="37">
        <v>2.17</v>
      </c>
      <c r="H150">
        <v>2.78</v>
      </c>
      <c r="I150" s="37">
        <v>0.97499999999999998</v>
      </c>
      <c r="J150">
        <f t="shared" si="2"/>
        <v>2.7104999999999997</v>
      </c>
    </row>
    <row r="151" spans="1:10" x14ac:dyDescent="0.3">
      <c r="A151" t="s">
        <v>3</v>
      </c>
      <c r="B151" t="s">
        <v>77</v>
      </c>
      <c r="C151" t="s">
        <v>43</v>
      </c>
      <c r="D151" t="s">
        <v>78</v>
      </c>
      <c r="E151" t="s">
        <v>50</v>
      </c>
      <c r="F151" s="1">
        <v>9.7854166666666662E-4</v>
      </c>
      <c r="G151" s="37">
        <v>2.2000000000000002</v>
      </c>
      <c r="H151">
        <v>2.81</v>
      </c>
      <c r="I151" s="37">
        <v>0.97499999999999998</v>
      </c>
      <c r="J151">
        <f t="shared" si="2"/>
        <v>2.7397499999999999</v>
      </c>
    </row>
    <row r="152" spans="1:10" x14ac:dyDescent="0.3">
      <c r="A152" t="s">
        <v>3</v>
      </c>
      <c r="B152" t="s">
        <v>77</v>
      </c>
      <c r="C152" t="s">
        <v>43</v>
      </c>
      <c r="D152" t="s">
        <v>78</v>
      </c>
      <c r="E152" t="s">
        <v>51</v>
      </c>
      <c r="F152" s="1">
        <v>9.8121527777777768E-4</v>
      </c>
      <c r="G152" s="37">
        <v>2.17</v>
      </c>
      <c r="H152">
        <v>2.77</v>
      </c>
      <c r="I152" s="37">
        <v>0.97499999999999998</v>
      </c>
      <c r="J152">
        <f t="shared" si="2"/>
        <v>2.7007499999999998</v>
      </c>
    </row>
    <row r="153" spans="1:10" x14ac:dyDescent="0.3">
      <c r="A153" t="s">
        <v>3</v>
      </c>
      <c r="B153" t="s">
        <v>77</v>
      </c>
      <c r="C153" t="s">
        <v>43</v>
      </c>
      <c r="D153" t="s">
        <v>78</v>
      </c>
      <c r="E153" t="s">
        <v>52</v>
      </c>
      <c r="F153" s="1">
        <v>9.8886574074074068E-4</v>
      </c>
      <c r="G153" s="37">
        <v>2.12</v>
      </c>
      <c r="H153">
        <v>2.72</v>
      </c>
      <c r="I153" s="37">
        <v>0.97499999999999998</v>
      </c>
      <c r="J153">
        <f t="shared" si="2"/>
        <v>2.6520000000000001</v>
      </c>
    </row>
    <row r="154" spans="1:10" x14ac:dyDescent="0.3">
      <c r="A154" t="s">
        <v>3</v>
      </c>
      <c r="B154" t="s">
        <v>77</v>
      </c>
      <c r="C154" t="s">
        <v>43</v>
      </c>
      <c r="D154" t="s">
        <v>78</v>
      </c>
      <c r="E154" t="s">
        <v>53</v>
      </c>
      <c r="F154" s="1">
        <v>9.7815972222222228E-4</v>
      </c>
      <c r="G154" s="37">
        <v>2.2000000000000002</v>
      </c>
      <c r="H154">
        <v>2.81</v>
      </c>
      <c r="I154" s="37">
        <v>0.97499999999999998</v>
      </c>
      <c r="J154">
        <f t="shared" si="2"/>
        <v>2.7397499999999999</v>
      </c>
    </row>
    <row r="155" spans="1:10" x14ac:dyDescent="0.3">
      <c r="A155" t="s">
        <v>3</v>
      </c>
      <c r="B155" t="s">
        <v>77</v>
      </c>
      <c r="C155" t="s">
        <v>43</v>
      </c>
      <c r="D155" t="s">
        <v>78</v>
      </c>
      <c r="E155" t="s">
        <v>54</v>
      </c>
      <c r="F155" s="1">
        <v>9.7797453703703696E-4</v>
      </c>
      <c r="G155" s="37">
        <v>2.21</v>
      </c>
      <c r="H155">
        <v>2.83</v>
      </c>
      <c r="I155" s="37">
        <v>0.97499999999999998</v>
      </c>
      <c r="J155">
        <f t="shared" si="2"/>
        <v>2.7592500000000002</v>
      </c>
    </row>
    <row r="156" spans="1:10" x14ac:dyDescent="0.3">
      <c r="A156" t="s">
        <v>3</v>
      </c>
      <c r="B156" t="s">
        <v>77</v>
      </c>
      <c r="C156" t="s">
        <v>43</v>
      </c>
      <c r="D156" t="s">
        <v>78</v>
      </c>
      <c r="E156" t="s">
        <v>55</v>
      </c>
      <c r="F156" s="1">
        <v>9.7629629629629629E-4</v>
      </c>
      <c r="G156" s="37">
        <v>2.19</v>
      </c>
      <c r="H156">
        <v>2.8</v>
      </c>
      <c r="I156" s="37">
        <v>0.97499999999999998</v>
      </c>
      <c r="J156">
        <f t="shared" si="2"/>
        <v>2.73</v>
      </c>
    </row>
    <row r="157" spans="1:10" x14ac:dyDescent="0.3">
      <c r="A157" t="s">
        <v>3</v>
      </c>
      <c r="B157" t="s">
        <v>77</v>
      </c>
      <c r="C157" t="s">
        <v>43</v>
      </c>
      <c r="D157" t="s">
        <v>78</v>
      </c>
      <c r="E157" t="s">
        <v>56</v>
      </c>
      <c r="F157" s="1">
        <v>9.7434027777777764E-4</v>
      </c>
      <c r="G157" s="37">
        <v>2.23</v>
      </c>
      <c r="H157">
        <v>2.84</v>
      </c>
      <c r="I157" s="37">
        <v>0.97499999999999998</v>
      </c>
      <c r="J157">
        <f t="shared" si="2"/>
        <v>2.7689999999999997</v>
      </c>
    </row>
    <row r="158" spans="1:10" x14ac:dyDescent="0.3">
      <c r="A158" t="s">
        <v>3</v>
      </c>
      <c r="B158" t="s">
        <v>77</v>
      </c>
      <c r="C158" t="s">
        <v>43</v>
      </c>
      <c r="D158" t="s">
        <v>78</v>
      </c>
      <c r="E158" t="s">
        <v>57</v>
      </c>
      <c r="F158" s="1">
        <v>9.7635416666666671E-4</v>
      </c>
      <c r="G158" s="37">
        <v>2.2200000000000002</v>
      </c>
      <c r="H158">
        <v>2.83</v>
      </c>
      <c r="I158" s="37">
        <v>0.97499999999999998</v>
      </c>
      <c r="J158">
        <f t="shared" si="2"/>
        <v>2.7592500000000002</v>
      </c>
    </row>
    <row r="159" spans="1:10" x14ac:dyDescent="0.3">
      <c r="A159" t="s">
        <v>3</v>
      </c>
      <c r="B159" t="s">
        <v>77</v>
      </c>
      <c r="C159" t="s">
        <v>43</v>
      </c>
      <c r="D159" t="s">
        <v>78</v>
      </c>
      <c r="E159" t="s">
        <v>72</v>
      </c>
      <c r="F159" s="1">
        <v>9.6263888888888885E-4</v>
      </c>
      <c r="G159" s="37">
        <v>2.19</v>
      </c>
      <c r="H159">
        <v>2.8</v>
      </c>
      <c r="I159" s="37">
        <v>0.97499999999999998</v>
      </c>
      <c r="J159">
        <f t="shared" si="2"/>
        <v>2.73</v>
      </c>
    </row>
    <row r="160" spans="1:10" x14ac:dyDescent="0.3">
      <c r="A160" t="s">
        <v>3</v>
      </c>
      <c r="B160" t="s">
        <v>77</v>
      </c>
      <c r="C160" t="s">
        <v>43</v>
      </c>
      <c r="D160" t="s">
        <v>78</v>
      </c>
      <c r="E160" t="s">
        <v>59</v>
      </c>
      <c r="F160" s="1">
        <v>9.6107638888888892E-4</v>
      </c>
      <c r="G160" s="37">
        <v>2.21</v>
      </c>
      <c r="H160">
        <v>2.82</v>
      </c>
      <c r="I160" s="37">
        <v>0.97499999999999998</v>
      </c>
      <c r="J160">
        <f t="shared" si="2"/>
        <v>2.7494999999999998</v>
      </c>
    </row>
    <row r="161" spans="1:10" x14ac:dyDescent="0.3">
      <c r="A161" t="s">
        <v>3</v>
      </c>
      <c r="B161" t="s">
        <v>77</v>
      </c>
      <c r="C161" t="s">
        <v>43</v>
      </c>
      <c r="D161" t="s">
        <v>78</v>
      </c>
      <c r="E161" t="s">
        <v>60</v>
      </c>
      <c r="F161" s="1">
        <v>9.6473379629629643E-4</v>
      </c>
      <c r="G161" s="37">
        <v>2.2200000000000002</v>
      </c>
      <c r="H161">
        <v>2.85</v>
      </c>
      <c r="I161" s="37">
        <v>0.97499999999999998</v>
      </c>
      <c r="J161">
        <f t="shared" si="2"/>
        <v>2.7787500000000001</v>
      </c>
    </row>
    <row r="162" spans="1:10" x14ac:dyDescent="0.3">
      <c r="A162" t="s">
        <v>3</v>
      </c>
      <c r="B162" t="s">
        <v>77</v>
      </c>
      <c r="C162" t="s">
        <v>43</v>
      </c>
      <c r="D162" t="s">
        <v>78</v>
      </c>
      <c r="E162" t="s">
        <v>61</v>
      </c>
      <c r="F162" s="1">
        <v>9.6611111111111116E-4</v>
      </c>
      <c r="G162" s="37">
        <v>2.2200000000000002</v>
      </c>
      <c r="H162">
        <v>2.85</v>
      </c>
      <c r="I162" s="37">
        <v>0.97499999999999998</v>
      </c>
      <c r="J162">
        <f t="shared" si="2"/>
        <v>2.7787500000000001</v>
      </c>
    </row>
    <row r="163" spans="1:10" x14ac:dyDescent="0.3">
      <c r="A163" t="s">
        <v>3</v>
      </c>
      <c r="B163" t="s">
        <v>77</v>
      </c>
      <c r="C163" t="s">
        <v>43</v>
      </c>
      <c r="D163" t="s">
        <v>78</v>
      </c>
      <c r="E163" t="s">
        <v>62</v>
      </c>
      <c r="F163" s="1">
        <v>9.6803240740740747E-4</v>
      </c>
      <c r="G163" s="37">
        <v>2.2000000000000002</v>
      </c>
      <c r="H163">
        <v>2.81</v>
      </c>
      <c r="I163" s="37">
        <v>0.97499999999999998</v>
      </c>
      <c r="J163">
        <f t="shared" si="2"/>
        <v>2.7397499999999999</v>
      </c>
    </row>
    <row r="164" spans="1:10" x14ac:dyDescent="0.3">
      <c r="A164" t="s">
        <v>3</v>
      </c>
      <c r="B164" t="s">
        <v>77</v>
      </c>
      <c r="C164" t="s">
        <v>43</v>
      </c>
      <c r="D164" t="s">
        <v>78</v>
      </c>
      <c r="E164" t="s">
        <v>63</v>
      </c>
      <c r="F164" s="1">
        <v>9.6958333333333326E-4</v>
      </c>
      <c r="G164" s="37">
        <v>2.2000000000000002</v>
      </c>
      <c r="H164">
        <v>2.8</v>
      </c>
      <c r="I164" s="37">
        <v>0.97499999999999998</v>
      </c>
      <c r="J164">
        <f t="shared" si="2"/>
        <v>2.73</v>
      </c>
    </row>
    <row r="165" spans="1:10" x14ac:dyDescent="0.3">
      <c r="A165" t="s">
        <v>3</v>
      </c>
      <c r="B165" t="s">
        <v>77</v>
      </c>
      <c r="C165" t="s">
        <v>43</v>
      </c>
      <c r="D165" t="s">
        <v>78</v>
      </c>
      <c r="E165" t="s">
        <v>64</v>
      </c>
      <c r="F165" s="1">
        <v>9.682523148148148E-4</v>
      </c>
      <c r="G165" s="37">
        <v>2.2000000000000002</v>
      </c>
      <c r="H165">
        <v>2.82</v>
      </c>
      <c r="I165" s="37">
        <v>0.97499999999999998</v>
      </c>
      <c r="J165">
        <f t="shared" si="2"/>
        <v>2.7494999999999998</v>
      </c>
    </row>
    <row r="166" spans="1:10" x14ac:dyDescent="0.3">
      <c r="A166" t="s">
        <v>3</v>
      </c>
      <c r="B166" t="s">
        <v>77</v>
      </c>
      <c r="C166" t="s">
        <v>43</v>
      </c>
      <c r="D166" t="s">
        <v>78</v>
      </c>
      <c r="E166" t="s">
        <v>65</v>
      </c>
      <c r="F166" s="1">
        <v>9.6635416666666658E-4</v>
      </c>
      <c r="G166" s="37">
        <v>2.21</v>
      </c>
      <c r="H166">
        <v>2.83</v>
      </c>
      <c r="I166" s="37">
        <v>0.97499999999999998</v>
      </c>
      <c r="J166">
        <f t="shared" si="2"/>
        <v>2.7592500000000002</v>
      </c>
    </row>
    <row r="167" spans="1:10" x14ac:dyDescent="0.3">
      <c r="A167" t="s">
        <v>3</v>
      </c>
      <c r="B167" t="s">
        <v>77</v>
      </c>
      <c r="C167" t="s">
        <v>43</v>
      </c>
      <c r="D167" t="s">
        <v>78</v>
      </c>
      <c r="E167" t="s">
        <v>66</v>
      </c>
      <c r="F167" s="1">
        <v>9.6883101851851839E-4</v>
      </c>
      <c r="G167" s="37">
        <v>2.2000000000000002</v>
      </c>
      <c r="H167">
        <v>2.81</v>
      </c>
      <c r="I167" s="37">
        <v>0.97499999999999998</v>
      </c>
      <c r="J167">
        <f t="shared" si="2"/>
        <v>2.7397499999999999</v>
      </c>
    </row>
    <row r="168" spans="1:10" x14ac:dyDescent="0.3">
      <c r="A168" t="s">
        <v>3</v>
      </c>
      <c r="B168" t="s">
        <v>77</v>
      </c>
      <c r="C168" t="s">
        <v>43</v>
      </c>
      <c r="D168" t="s">
        <v>78</v>
      </c>
      <c r="E168" t="s">
        <v>67</v>
      </c>
      <c r="F168" s="1">
        <v>9.7266203703703696E-4</v>
      </c>
      <c r="G168" s="37">
        <v>2.1800000000000002</v>
      </c>
      <c r="H168">
        <v>2.78</v>
      </c>
      <c r="I168" s="37">
        <v>0.97499999999999998</v>
      </c>
      <c r="J168">
        <f t="shared" si="2"/>
        <v>2.7104999999999997</v>
      </c>
    </row>
    <row r="169" spans="1:10" x14ac:dyDescent="0.3">
      <c r="A169" t="s">
        <v>3</v>
      </c>
      <c r="B169" t="s">
        <v>77</v>
      </c>
      <c r="C169" t="s">
        <v>43</v>
      </c>
      <c r="D169" t="s">
        <v>78</v>
      </c>
      <c r="E169" t="s">
        <v>68</v>
      </c>
      <c r="F169" s="1">
        <v>9.7490740740740741E-4</v>
      </c>
      <c r="G169" s="37">
        <v>2.16</v>
      </c>
      <c r="H169">
        <v>2.75</v>
      </c>
      <c r="I169" s="37">
        <v>0.97499999999999998</v>
      </c>
      <c r="J169">
        <f t="shared" si="2"/>
        <v>2.6812499999999999</v>
      </c>
    </row>
    <row r="170" spans="1:10" x14ac:dyDescent="0.3">
      <c r="A170" t="s">
        <v>3</v>
      </c>
      <c r="B170" t="s">
        <v>77</v>
      </c>
      <c r="C170" t="s">
        <v>43</v>
      </c>
      <c r="D170" t="s">
        <v>78</v>
      </c>
      <c r="E170" t="s">
        <v>69</v>
      </c>
      <c r="F170" s="1">
        <v>9.8521990740740753E-4</v>
      </c>
      <c r="G170" s="37">
        <v>2.1</v>
      </c>
      <c r="H170">
        <v>2.69</v>
      </c>
      <c r="I170" s="37">
        <v>0.97499999999999998</v>
      </c>
      <c r="J170">
        <f t="shared" si="2"/>
        <v>2.6227499999999999</v>
      </c>
    </row>
    <row r="171" spans="1:10" x14ac:dyDescent="0.3">
      <c r="A171" t="s">
        <v>3</v>
      </c>
      <c r="B171" t="s">
        <v>77</v>
      </c>
      <c r="C171" t="s">
        <v>43</v>
      </c>
      <c r="D171" t="s">
        <v>78</v>
      </c>
      <c r="E171" t="s">
        <v>70</v>
      </c>
      <c r="F171" s="1">
        <v>9.9401620370370355E-4</v>
      </c>
      <c r="G171" s="37">
        <v>2.06</v>
      </c>
      <c r="H171">
        <v>2.63</v>
      </c>
      <c r="I171" s="37">
        <v>0.97499999999999998</v>
      </c>
      <c r="J171">
        <f t="shared" si="2"/>
        <v>2.5642499999999999</v>
      </c>
    </row>
    <row r="172" spans="1:10" x14ac:dyDescent="0.3">
      <c r="A172" t="s">
        <v>3</v>
      </c>
      <c r="B172" t="s">
        <v>77</v>
      </c>
      <c r="C172" t="s">
        <v>43</v>
      </c>
      <c r="D172" t="s">
        <v>78</v>
      </c>
      <c r="E172" t="s">
        <v>71</v>
      </c>
      <c r="F172" s="1">
        <v>9.7831018518518514E-4</v>
      </c>
      <c r="G172" s="37">
        <v>2.06</v>
      </c>
      <c r="H172">
        <v>2.66</v>
      </c>
      <c r="I172" s="37">
        <v>0.97499999999999998</v>
      </c>
      <c r="J172">
        <f t="shared" si="2"/>
        <v>2.5935000000000001</v>
      </c>
    </row>
    <row r="173" spans="1:10" x14ac:dyDescent="0.3">
      <c r="A173" t="s">
        <v>3</v>
      </c>
      <c r="B173" t="s">
        <v>79</v>
      </c>
      <c r="C173" t="s">
        <v>43</v>
      </c>
      <c r="D173" t="s">
        <v>80</v>
      </c>
      <c r="E173" t="s">
        <v>9</v>
      </c>
      <c r="F173" s="1">
        <v>9.9532407407407404E-4</v>
      </c>
      <c r="G173" s="37">
        <v>2.04</v>
      </c>
      <c r="H173">
        <v>2.61</v>
      </c>
      <c r="I173" s="37">
        <v>1.0169999999999999</v>
      </c>
      <c r="J173">
        <f t="shared" si="2"/>
        <v>2.6543699999999997</v>
      </c>
    </row>
    <row r="174" spans="1:10" x14ac:dyDescent="0.3">
      <c r="A174" t="s">
        <v>3</v>
      </c>
      <c r="B174" t="s">
        <v>79</v>
      </c>
      <c r="C174" t="s">
        <v>43</v>
      </c>
      <c r="D174" t="s">
        <v>80</v>
      </c>
      <c r="E174" t="s">
        <v>10</v>
      </c>
      <c r="F174" s="1">
        <v>9.8273148148148156E-4</v>
      </c>
      <c r="G174" s="37">
        <v>2.1</v>
      </c>
      <c r="H174">
        <v>2.67</v>
      </c>
      <c r="I174" s="37">
        <v>1.0169999999999999</v>
      </c>
      <c r="J174">
        <f t="shared" si="2"/>
        <v>2.7153899999999997</v>
      </c>
    </row>
    <row r="175" spans="1:10" x14ac:dyDescent="0.3">
      <c r="A175" t="s">
        <v>3</v>
      </c>
      <c r="B175" t="s">
        <v>79</v>
      </c>
      <c r="C175" t="s">
        <v>43</v>
      </c>
      <c r="D175" t="s">
        <v>80</v>
      </c>
      <c r="E175" t="s">
        <v>15</v>
      </c>
      <c r="F175" s="1">
        <v>9.7965277777777764E-4</v>
      </c>
      <c r="G175" s="37">
        <v>2.14</v>
      </c>
      <c r="H175">
        <v>2.73</v>
      </c>
      <c r="I175" s="37">
        <v>1.0169999999999999</v>
      </c>
      <c r="J175">
        <f t="shared" si="2"/>
        <v>2.7764099999999998</v>
      </c>
    </row>
    <row r="176" spans="1:10" x14ac:dyDescent="0.3">
      <c r="A176" t="s">
        <v>3</v>
      </c>
      <c r="B176" t="s">
        <v>79</v>
      </c>
      <c r="C176" t="s">
        <v>43</v>
      </c>
      <c r="D176" t="s">
        <v>80</v>
      </c>
      <c r="E176" t="s">
        <v>16</v>
      </c>
      <c r="F176" s="1">
        <v>9.7745370370370369E-4</v>
      </c>
      <c r="G176" s="37">
        <v>2.11</v>
      </c>
      <c r="H176">
        <v>2.68</v>
      </c>
      <c r="I176" s="37">
        <v>1.0169999999999999</v>
      </c>
      <c r="J176">
        <f t="shared" si="2"/>
        <v>2.7255599999999998</v>
      </c>
    </row>
    <row r="177" spans="1:10" x14ac:dyDescent="0.3">
      <c r="A177" t="s">
        <v>3</v>
      </c>
      <c r="B177" t="s">
        <v>79</v>
      </c>
      <c r="C177" t="s">
        <v>43</v>
      </c>
      <c r="D177" t="s">
        <v>80</v>
      </c>
      <c r="E177" t="s">
        <v>17</v>
      </c>
      <c r="F177" s="1">
        <v>9.7430555555555562E-4</v>
      </c>
      <c r="G177" s="37">
        <v>2.15</v>
      </c>
      <c r="H177">
        <v>2.74</v>
      </c>
      <c r="I177" s="37">
        <v>1.0169999999999999</v>
      </c>
      <c r="J177">
        <f t="shared" si="2"/>
        <v>2.7865799999999998</v>
      </c>
    </row>
    <row r="178" spans="1:10" x14ac:dyDescent="0.3">
      <c r="A178" t="s">
        <v>3</v>
      </c>
      <c r="B178" t="s">
        <v>79</v>
      </c>
      <c r="C178" t="s">
        <v>43</v>
      </c>
      <c r="D178" t="s">
        <v>80</v>
      </c>
      <c r="E178" t="s">
        <v>18</v>
      </c>
      <c r="F178" s="1">
        <v>9.7420138888888882E-4</v>
      </c>
      <c r="G178" s="37">
        <v>2.1800000000000002</v>
      </c>
      <c r="H178">
        <v>2.78</v>
      </c>
      <c r="I178" s="37">
        <v>1.0169999999999999</v>
      </c>
      <c r="J178">
        <f t="shared" si="2"/>
        <v>2.8272599999999994</v>
      </c>
    </row>
    <row r="179" spans="1:10" x14ac:dyDescent="0.3">
      <c r="A179" t="s">
        <v>3</v>
      </c>
      <c r="B179" t="s">
        <v>79</v>
      </c>
      <c r="C179" t="s">
        <v>43</v>
      </c>
      <c r="D179" t="s">
        <v>80</v>
      </c>
      <c r="E179" t="s">
        <v>19</v>
      </c>
      <c r="F179" s="1">
        <v>9.741435185185185E-4</v>
      </c>
      <c r="G179" s="37">
        <v>2.2000000000000002</v>
      </c>
      <c r="H179">
        <v>2.79</v>
      </c>
      <c r="I179" s="37">
        <v>1.0169999999999999</v>
      </c>
      <c r="J179">
        <f t="shared" si="2"/>
        <v>2.8374299999999999</v>
      </c>
    </row>
    <row r="180" spans="1:10" x14ac:dyDescent="0.3">
      <c r="A180" t="s">
        <v>3</v>
      </c>
      <c r="B180" t="s">
        <v>79</v>
      </c>
      <c r="C180" t="s">
        <v>43</v>
      </c>
      <c r="D180" t="s">
        <v>80</v>
      </c>
      <c r="E180" t="s">
        <v>45</v>
      </c>
      <c r="F180" s="1">
        <v>9.7188657407407412E-4</v>
      </c>
      <c r="G180" s="37">
        <v>2.23</v>
      </c>
      <c r="H180">
        <v>2.83</v>
      </c>
      <c r="I180" s="37">
        <v>1.0169999999999999</v>
      </c>
      <c r="J180">
        <f t="shared" si="2"/>
        <v>2.8781099999999999</v>
      </c>
    </row>
    <row r="181" spans="1:10" x14ac:dyDescent="0.3">
      <c r="A181" t="s">
        <v>3</v>
      </c>
      <c r="B181" t="s">
        <v>79</v>
      </c>
      <c r="C181" t="s">
        <v>43</v>
      </c>
      <c r="D181" t="s">
        <v>80</v>
      </c>
      <c r="E181" t="s">
        <v>46</v>
      </c>
      <c r="F181" s="1">
        <v>9.7494212962962964E-4</v>
      </c>
      <c r="G181" s="37">
        <v>2.1800000000000002</v>
      </c>
      <c r="H181">
        <v>2.77</v>
      </c>
      <c r="I181" s="37">
        <v>1.0169999999999999</v>
      </c>
      <c r="J181">
        <f t="shared" si="2"/>
        <v>2.8170899999999999</v>
      </c>
    </row>
    <row r="182" spans="1:10" x14ac:dyDescent="0.3">
      <c r="A182" t="s">
        <v>3</v>
      </c>
      <c r="B182" t="s">
        <v>79</v>
      </c>
      <c r="C182" t="s">
        <v>43</v>
      </c>
      <c r="D182" t="s">
        <v>80</v>
      </c>
      <c r="E182" t="s">
        <v>47</v>
      </c>
      <c r="F182" s="1">
        <v>9.7611111111111108E-4</v>
      </c>
      <c r="G182" s="37">
        <v>2.17</v>
      </c>
      <c r="H182">
        <v>2.76</v>
      </c>
      <c r="I182" s="37">
        <v>1.0169999999999999</v>
      </c>
      <c r="J182">
        <f t="shared" si="2"/>
        <v>2.8069199999999994</v>
      </c>
    </row>
    <row r="183" spans="1:10" x14ac:dyDescent="0.3">
      <c r="A183" t="s">
        <v>3</v>
      </c>
      <c r="B183" t="s">
        <v>79</v>
      </c>
      <c r="C183" t="s">
        <v>43</v>
      </c>
      <c r="D183" t="s">
        <v>80</v>
      </c>
      <c r="E183" t="s">
        <v>48</v>
      </c>
      <c r="F183" s="1">
        <v>9.7731481481481476E-4</v>
      </c>
      <c r="G183" s="37">
        <v>2.15</v>
      </c>
      <c r="H183">
        <v>2.73</v>
      </c>
      <c r="I183" s="37">
        <v>1.0169999999999999</v>
      </c>
      <c r="J183">
        <f t="shared" si="2"/>
        <v>2.7764099999999998</v>
      </c>
    </row>
    <row r="184" spans="1:10" x14ac:dyDescent="0.3">
      <c r="A184" t="s">
        <v>3</v>
      </c>
      <c r="B184" t="s">
        <v>79</v>
      </c>
      <c r="C184" t="s">
        <v>43</v>
      </c>
      <c r="D184" t="s">
        <v>80</v>
      </c>
      <c r="E184" t="s">
        <v>49</v>
      </c>
      <c r="F184" s="1">
        <v>9.7859953703703715E-4</v>
      </c>
      <c r="G184" s="37">
        <v>2.13</v>
      </c>
      <c r="H184">
        <v>2.72</v>
      </c>
      <c r="I184" s="37">
        <v>1.0169999999999999</v>
      </c>
      <c r="J184">
        <f t="shared" si="2"/>
        <v>2.7662399999999998</v>
      </c>
    </row>
    <row r="185" spans="1:10" x14ac:dyDescent="0.3">
      <c r="A185" t="s">
        <v>3</v>
      </c>
      <c r="B185" t="s">
        <v>79</v>
      </c>
      <c r="C185" t="s">
        <v>43</v>
      </c>
      <c r="D185" t="s">
        <v>80</v>
      </c>
      <c r="E185" t="s">
        <v>50</v>
      </c>
      <c r="F185" s="1">
        <v>9.8171296296296288E-4</v>
      </c>
      <c r="G185" s="37">
        <v>2.12</v>
      </c>
      <c r="H185">
        <v>2.7</v>
      </c>
      <c r="I185" s="37">
        <v>1.0169999999999999</v>
      </c>
      <c r="J185">
        <f t="shared" si="2"/>
        <v>2.7458999999999998</v>
      </c>
    </row>
    <row r="186" spans="1:10" x14ac:dyDescent="0.3">
      <c r="A186" t="s">
        <v>3</v>
      </c>
      <c r="B186" t="s">
        <v>79</v>
      </c>
      <c r="C186" t="s">
        <v>43</v>
      </c>
      <c r="D186" t="s">
        <v>80</v>
      </c>
      <c r="E186" t="s">
        <v>51</v>
      </c>
      <c r="F186" s="1">
        <v>9.8172453703703703E-4</v>
      </c>
      <c r="G186" s="37">
        <v>2.1</v>
      </c>
      <c r="H186">
        <v>2.68</v>
      </c>
      <c r="I186" s="37">
        <v>1.0169999999999999</v>
      </c>
      <c r="J186">
        <f t="shared" si="2"/>
        <v>2.7255599999999998</v>
      </c>
    </row>
    <row r="187" spans="1:10" x14ac:dyDescent="0.3">
      <c r="A187" t="s">
        <v>3</v>
      </c>
      <c r="B187" t="s">
        <v>79</v>
      </c>
      <c r="C187" t="s">
        <v>43</v>
      </c>
      <c r="D187" t="s">
        <v>80</v>
      </c>
      <c r="E187" t="s">
        <v>52</v>
      </c>
      <c r="F187" s="1">
        <v>9.7663194444444447E-4</v>
      </c>
      <c r="G187" s="37">
        <v>2.17</v>
      </c>
      <c r="H187">
        <v>2.78</v>
      </c>
      <c r="I187" s="37">
        <v>1.0169999999999999</v>
      </c>
      <c r="J187">
        <f t="shared" si="2"/>
        <v>2.8272599999999994</v>
      </c>
    </row>
    <row r="188" spans="1:10" x14ac:dyDescent="0.3">
      <c r="A188" t="s">
        <v>3</v>
      </c>
      <c r="B188" t="s">
        <v>79</v>
      </c>
      <c r="C188" t="s">
        <v>43</v>
      </c>
      <c r="D188" t="s">
        <v>80</v>
      </c>
      <c r="E188" t="s">
        <v>53</v>
      </c>
      <c r="F188" s="1">
        <v>9.7384259259259255E-4</v>
      </c>
      <c r="G188" s="37">
        <v>2.21</v>
      </c>
      <c r="H188">
        <v>2.81</v>
      </c>
      <c r="I188" s="37">
        <v>1.0169999999999999</v>
      </c>
      <c r="J188">
        <f t="shared" si="2"/>
        <v>2.8577699999999999</v>
      </c>
    </row>
    <row r="189" spans="1:10" x14ac:dyDescent="0.3">
      <c r="A189" t="s">
        <v>3</v>
      </c>
      <c r="B189" t="s">
        <v>79</v>
      </c>
      <c r="C189" t="s">
        <v>43</v>
      </c>
      <c r="D189" t="s">
        <v>80</v>
      </c>
      <c r="E189" t="s">
        <v>54</v>
      </c>
      <c r="F189" s="1">
        <v>9.7640046296296299E-4</v>
      </c>
      <c r="G189" s="37">
        <v>2.21</v>
      </c>
      <c r="H189">
        <v>2.82</v>
      </c>
      <c r="I189" s="37">
        <v>1.0169999999999999</v>
      </c>
      <c r="J189">
        <f t="shared" si="2"/>
        <v>2.8679399999999995</v>
      </c>
    </row>
    <row r="190" spans="1:10" x14ac:dyDescent="0.3">
      <c r="A190" t="s">
        <v>3</v>
      </c>
      <c r="B190" t="s">
        <v>79</v>
      </c>
      <c r="C190" t="s">
        <v>43</v>
      </c>
      <c r="D190" t="s">
        <v>80</v>
      </c>
      <c r="E190" t="s">
        <v>55</v>
      </c>
      <c r="F190" s="1">
        <v>9.7318287037037035E-4</v>
      </c>
      <c r="G190" s="37">
        <v>2.1800000000000002</v>
      </c>
      <c r="H190">
        <v>2.78</v>
      </c>
      <c r="I190" s="37">
        <v>1.0169999999999999</v>
      </c>
      <c r="J190">
        <f t="shared" si="2"/>
        <v>2.8272599999999994</v>
      </c>
    </row>
    <row r="191" spans="1:10" x14ac:dyDescent="0.3">
      <c r="A191" t="s">
        <v>3</v>
      </c>
      <c r="B191" t="s">
        <v>79</v>
      </c>
      <c r="C191" t="s">
        <v>43</v>
      </c>
      <c r="D191" t="s">
        <v>80</v>
      </c>
      <c r="E191" t="s">
        <v>56</v>
      </c>
      <c r="F191" s="1">
        <v>9.738541666666666E-4</v>
      </c>
      <c r="G191" s="37">
        <v>2.19</v>
      </c>
      <c r="H191">
        <v>2.79</v>
      </c>
      <c r="I191" s="37">
        <v>1.0169999999999999</v>
      </c>
      <c r="J191">
        <f t="shared" si="2"/>
        <v>2.8374299999999999</v>
      </c>
    </row>
    <row r="192" spans="1:10" x14ac:dyDescent="0.3">
      <c r="A192" t="s">
        <v>3</v>
      </c>
      <c r="B192" t="s">
        <v>79</v>
      </c>
      <c r="C192" t="s">
        <v>43</v>
      </c>
      <c r="D192" t="s">
        <v>80</v>
      </c>
      <c r="E192" t="s">
        <v>58</v>
      </c>
      <c r="F192" s="1">
        <v>9.617824074074074E-4</v>
      </c>
      <c r="G192" s="37">
        <v>2.1800000000000002</v>
      </c>
      <c r="H192">
        <v>2.78</v>
      </c>
      <c r="I192" s="37">
        <v>1.0169999999999999</v>
      </c>
      <c r="J192">
        <f t="shared" si="2"/>
        <v>2.8272599999999994</v>
      </c>
    </row>
    <row r="193" spans="1:10" x14ac:dyDescent="0.3">
      <c r="A193" t="s">
        <v>3</v>
      </c>
      <c r="B193" t="s">
        <v>79</v>
      </c>
      <c r="C193" t="s">
        <v>43</v>
      </c>
      <c r="D193" t="s">
        <v>80</v>
      </c>
      <c r="E193" t="s">
        <v>72</v>
      </c>
      <c r="F193" s="1">
        <v>9.5953703703703696E-4</v>
      </c>
      <c r="G193" s="37">
        <v>2.23</v>
      </c>
      <c r="H193">
        <v>2.84</v>
      </c>
      <c r="I193" s="37">
        <v>1.0169999999999999</v>
      </c>
      <c r="J193">
        <f t="shared" si="2"/>
        <v>2.8882799999999995</v>
      </c>
    </row>
    <row r="194" spans="1:10" x14ac:dyDescent="0.3">
      <c r="A194" t="s">
        <v>3</v>
      </c>
      <c r="B194" t="s">
        <v>79</v>
      </c>
      <c r="C194" t="s">
        <v>43</v>
      </c>
      <c r="D194" t="s">
        <v>80</v>
      </c>
      <c r="E194" t="s">
        <v>59</v>
      </c>
      <c r="F194" s="1">
        <v>9.6122685185185178E-4</v>
      </c>
      <c r="G194" s="37">
        <v>2.2200000000000002</v>
      </c>
      <c r="H194">
        <v>2.83</v>
      </c>
      <c r="I194" s="37">
        <v>1.0169999999999999</v>
      </c>
      <c r="J194">
        <f t="shared" si="2"/>
        <v>2.8781099999999999</v>
      </c>
    </row>
    <row r="195" spans="1:10" x14ac:dyDescent="0.3">
      <c r="A195" t="s">
        <v>3</v>
      </c>
      <c r="B195" t="s">
        <v>79</v>
      </c>
      <c r="C195" t="s">
        <v>43</v>
      </c>
      <c r="D195" t="s">
        <v>80</v>
      </c>
      <c r="E195" t="s">
        <v>60</v>
      </c>
      <c r="F195" s="1">
        <v>9.6181712962962963E-4</v>
      </c>
      <c r="G195" s="37">
        <v>2.21</v>
      </c>
      <c r="H195">
        <v>2.82</v>
      </c>
      <c r="I195" s="37">
        <v>1.0169999999999999</v>
      </c>
      <c r="J195">
        <f t="shared" si="2"/>
        <v>2.8679399999999995</v>
      </c>
    </row>
    <row r="196" spans="1:10" x14ac:dyDescent="0.3">
      <c r="A196" t="s">
        <v>3</v>
      </c>
      <c r="B196" t="s">
        <v>79</v>
      </c>
      <c r="C196" t="s">
        <v>43</v>
      </c>
      <c r="D196" t="s">
        <v>80</v>
      </c>
      <c r="E196" t="s">
        <v>61</v>
      </c>
      <c r="F196" s="1">
        <v>9.6297453703703692E-4</v>
      </c>
      <c r="G196" s="37">
        <v>2.2400000000000002</v>
      </c>
      <c r="H196">
        <v>2.85</v>
      </c>
      <c r="I196" s="37">
        <v>1.0169999999999999</v>
      </c>
      <c r="J196">
        <f t="shared" ref="J196:J259" si="3">H196*I196</f>
        <v>2.89845</v>
      </c>
    </row>
    <row r="197" spans="1:10" x14ac:dyDescent="0.3">
      <c r="A197" t="s">
        <v>3</v>
      </c>
      <c r="B197" t="s">
        <v>79</v>
      </c>
      <c r="C197" t="s">
        <v>43</v>
      </c>
      <c r="D197" t="s">
        <v>80</v>
      </c>
      <c r="E197" t="s">
        <v>62</v>
      </c>
      <c r="F197" s="1">
        <v>9.6482638888888898E-4</v>
      </c>
      <c r="G197" s="37">
        <v>2.23</v>
      </c>
      <c r="H197">
        <v>2.83</v>
      </c>
      <c r="I197" s="37">
        <v>1.0169999999999999</v>
      </c>
      <c r="J197">
        <f t="shared" si="3"/>
        <v>2.8781099999999999</v>
      </c>
    </row>
    <row r="198" spans="1:10" x14ac:dyDescent="0.3">
      <c r="A198" t="s">
        <v>3</v>
      </c>
      <c r="B198" t="s">
        <v>79</v>
      </c>
      <c r="C198" t="s">
        <v>43</v>
      </c>
      <c r="D198" t="s">
        <v>80</v>
      </c>
      <c r="E198" t="s">
        <v>63</v>
      </c>
      <c r="F198" s="1">
        <v>9.6724537037037026E-4</v>
      </c>
      <c r="G198" s="37">
        <v>2.1800000000000002</v>
      </c>
      <c r="H198">
        <v>2.77</v>
      </c>
      <c r="I198" s="37">
        <v>1.0169999999999999</v>
      </c>
      <c r="J198">
        <f t="shared" si="3"/>
        <v>2.8170899999999999</v>
      </c>
    </row>
    <row r="199" spans="1:10" x14ac:dyDescent="0.3">
      <c r="A199" t="s">
        <v>3</v>
      </c>
      <c r="B199" t="s">
        <v>79</v>
      </c>
      <c r="C199" t="s">
        <v>43</v>
      </c>
      <c r="D199" t="s">
        <v>80</v>
      </c>
      <c r="E199" t="s">
        <v>64</v>
      </c>
      <c r="F199" s="1">
        <v>9.6789351851851854E-4</v>
      </c>
      <c r="G199" s="37">
        <v>2.1800000000000002</v>
      </c>
      <c r="H199">
        <v>2.77</v>
      </c>
      <c r="I199" s="37">
        <v>1.0169999999999999</v>
      </c>
      <c r="J199">
        <f t="shared" si="3"/>
        <v>2.8170899999999999</v>
      </c>
    </row>
    <row r="200" spans="1:10" x14ac:dyDescent="0.3">
      <c r="A200" t="s">
        <v>3</v>
      </c>
      <c r="B200" t="s">
        <v>79</v>
      </c>
      <c r="C200" t="s">
        <v>43</v>
      </c>
      <c r="D200" t="s">
        <v>80</v>
      </c>
      <c r="E200" t="s">
        <v>65</v>
      </c>
      <c r="F200" s="1">
        <v>9.7450231481481487E-4</v>
      </c>
      <c r="G200" s="37">
        <v>2.16</v>
      </c>
      <c r="H200">
        <v>2.75</v>
      </c>
      <c r="I200" s="37">
        <v>1.0169999999999999</v>
      </c>
      <c r="J200">
        <f t="shared" si="3"/>
        <v>2.7967499999999998</v>
      </c>
    </row>
    <row r="201" spans="1:10" x14ac:dyDescent="0.3">
      <c r="A201" t="s">
        <v>3</v>
      </c>
      <c r="B201" t="s">
        <v>79</v>
      </c>
      <c r="C201" t="s">
        <v>43</v>
      </c>
      <c r="D201" t="s">
        <v>80</v>
      </c>
      <c r="E201" t="s">
        <v>66</v>
      </c>
      <c r="F201" s="1">
        <v>9.7697916666666658E-4</v>
      </c>
      <c r="G201" s="37">
        <v>2.1</v>
      </c>
      <c r="H201">
        <v>2.68</v>
      </c>
      <c r="I201" s="37">
        <v>1.0169999999999999</v>
      </c>
      <c r="J201">
        <f t="shared" si="3"/>
        <v>2.7255599999999998</v>
      </c>
    </row>
    <row r="202" spans="1:10" x14ac:dyDescent="0.3">
      <c r="A202" t="s">
        <v>3</v>
      </c>
      <c r="B202" t="s">
        <v>79</v>
      </c>
      <c r="C202" t="s">
        <v>43</v>
      </c>
      <c r="D202" t="s">
        <v>80</v>
      </c>
      <c r="E202" t="s">
        <v>67</v>
      </c>
      <c r="F202" s="1">
        <v>9.8077546296296302E-4</v>
      </c>
      <c r="G202" s="37">
        <v>2.0699999999999998</v>
      </c>
      <c r="H202">
        <v>2.66</v>
      </c>
      <c r="I202" s="37">
        <v>1.0169999999999999</v>
      </c>
      <c r="J202">
        <f t="shared" si="3"/>
        <v>2.7052199999999997</v>
      </c>
    </row>
    <row r="203" spans="1:10" x14ac:dyDescent="0.3">
      <c r="A203" t="s">
        <v>3</v>
      </c>
      <c r="B203" t="s">
        <v>79</v>
      </c>
      <c r="C203" t="s">
        <v>43</v>
      </c>
      <c r="D203" t="s">
        <v>80</v>
      </c>
      <c r="E203" t="s">
        <v>68</v>
      </c>
      <c r="F203" s="1">
        <v>9.8009259259259273E-4</v>
      </c>
      <c r="G203" s="37">
        <v>2.0299999999999998</v>
      </c>
      <c r="H203">
        <v>2.6</v>
      </c>
      <c r="I203" s="37">
        <v>1.0169999999999999</v>
      </c>
      <c r="J203">
        <f t="shared" si="3"/>
        <v>2.6441999999999997</v>
      </c>
    </row>
    <row r="204" spans="1:10" x14ac:dyDescent="0.3">
      <c r="A204" t="s">
        <v>3</v>
      </c>
      <c r="B204" t="s">
        <v>79</v>
      </c>
      <c r="C204" t="s">
        <v>43</v>
      </c>
      <c r="D204" t="s">
        <v>80</v>
      </c>
      <c r="E204" t="s">
        <v>69</v>
      </c>
      <c r="F204" s="1">
        <v>9.8780092592592604E-4</v>
      </c>
      <c r="G204" s="37">
        <v>2.02</v>
      </c>
      <c r="H204">
        <v>2.59</v>
      </c>
      <c r="I204" s="37">
        <v>1.0169999999999999</v>
      </c>
      <c r="J204">
        <f t="shared" si="3"/>
        <v>2.6340299999999996</v>
      </c>
    </row>
    <row r="205" spans="1:10" x14ac:dyDescent="0.3">
      <c r="A205" t="s">
        <v>3</v>
      </c>
      <c r="B205" t="s">
        <v>79</v>
      </c>
      <c r="C205" t="s">
        <v>43</v>
      </c>
      <c r="D205" t="s">
        <v>80</v>
      </c>
      <c r="E205" t="s">
        <v>70</v>
      </c>
      <c r="F205" s="1">
        <v>9.8156250000000001E-4</v>
      </c>
      <c r="G205" s="37">
        <v>2.11</v>
      </c>
      <c r="H205">
        <v>2.7</v>
      </c>
      <c r="I205" s="37">
        <v>1.0169999999999999</v>
      </c>
      <c r="J205">
        <f t="shared" si="3"/>
        <v>2.7458999999999998</v>
      </c>
    </row>
    <row r="206" spans="1:10" x14ac:dyDescent="0.3">
      <c r="A206" t="s">
        <v>3</v>
      </c>
      <c r="B206" t="s">
        <v>79</v>
      </c>
      <c r="C206" t="s">
        <v>43</v>
      </c>
      <c r="D206" t="s">
        <v>80</v>
      </c>
      <c r="E206" t="s">
        <v>71</v>
      </c>
      <c r="F206" s="1">
        <v>9.7741898148148145E-4</v>
      </c>
      <c r="G206" s="37">
        <v>2.15</v>
      </c>
      <c r="H206">
        <v>2.76</v>
      </c>
      <c r="I206" s="37">
        <v>1.0169999999999999</v>
      </c>
      <c r="J206">
        <f t="shared" si="3"/>
        <v>2.8069199999999994</v>
      </c>
    </row>
    <row r="207" spans="1:10" x14ac:dyDescent="0.3">
      <c r="A207" t="s">
        <v>3</v>
      </c>
      <c r="B207" t="s">
        <v>81</v>
      </c>
      <c r="C207" t="s">
        <v>43</v>
      </c>
      <c r="D207" t="s">
        <v>82</v>
      </c>
      <c r="E207" t="s">
        <v>9</v>
      </c>
      <c r="F207" s="1">
        <v>9.9797453703703702E-4</v>
      </c>
      <c r="G207" s="37">
        <v>2.1</v>
      </c>
      <c r="H207">
        <v>2.71</v>
      </c>
      <c r="I207" s="37">
        <v>0.97</v>
      </c>
      <c r="J207">
        <f t="shared" si="3"/>
        <v>2.6286999999999998</v>
      </c>
    </row>
    <row r="208" spans="1:10" x14ac:dyDescent="0.3">
      <c r="A208" t="s">
        <v>3</v>
      </c>
      <c r="B208" t="s">
        <v>81</v>
      </c>
      <c r="C208" t="s">
        <v>43</v>
      </c>
      <c r="D208" t="s">
        <v>82</v>
      </c>
      <c r="E208" t="s">
        <v>10</v>
      </c>
      <c r="F208" s="1">
        <v>9.8199074074074074E-4</v>
      </c>
      <c r="G208" s="37">
        <v>2.09</v>
      </c>
      <c r="H208">
        <v>2.69</v>
      </c>
      <c r="I208" s="37">
        <v>0.97</v>
      </c>
      <c r="J208">
        <f t="shared" si="3"/>
        <v>2.6092999999999997</v>
      </c>
    </row>
    <row r="209" spans="1:10" x14ac:dyDescent="0.3">
      <c r="A209" t="s">
        <v>3</v>
      </c>
      <c r="B209" t="s">
        <v>81</v>
      </c>
      <c r="C209" t="s">
        <v>43</v>
      </c>
      <c r="D209" t="s">
        <v>82</v>
      </c>
      <c r="E209" t="s">
        <v>15</v>
      </c>
      <c r="F209" s="1">
        <v>9.821643518518519E-4</v>
      </c>
      <c r="G209" s="37">
        <v>2.14</v>
      </c>
      <c r="H209">
        <v>2.74</v>
      </c>
      <c r="I209" s="37">
        <v>0.97</v>
      </c>
      <c r="J209">
        <f t="shared" si="3"/>
        <v>2.6577999999999999</v>
      </c>
    </row>
    <row r="210" spans="1:10" x14ac:dyDescent="0.3">
      <c r="A210" t="s">
        <v>3</v>
      </c>
      <c r="B210" t="s">
        <v>81</v>
      </c>
      <c r="C210" t="s">
        <v>43</v>
      </c>
      <c r="D210" t="s">
        <v>82</v>
      </c>
      <c r="E210" t="s">
        <v>16</v>
      </c>
      <c r="F210" s="1">
        <v>9.7649305555555553E-4</v>
      </c>
      <c r="G210" s="37">
        <v>2.16</v>
      </c>
      <c r="H210">
        <v>2.78</v>
      </c>
      <c r="I210" s="37">
        <v>0.97</v>
      </c>
      <c r="J210">
        <f t="shared" si="3"/>
        <v>2.6965999999999997</v>
      </c>
    </row>
    <row r="211" spans="1:10" x14ac:dyDescent="0.3">
      <c r="A211" t="s">
        <v>3</v>
      </c>
      <c r="B211" t="s">
        <v>81</v>
      </c>
      <c r="C211" t="s">
        <v>43</v>
      </c>
      <c r="D211" t="s">
        <v>82</v>
      </c>
      <c r="E211" t="s">
        <v>17</v>
      </c>
      <c r="F211" s="1">
        <v>9.7180555555555551E-4</v>
      </c>
      <c r="G211" s="37">
        <v>2.2400000000000002</v>
      </c>
      <c r="H211">
        <v>2.87</v>
      </c>
      <c r="I211" s="37">
        <v>0.97</v>
      </c>
      <c r="J211">
        <f t="shared" si="3"/>
        <v>2.7839</v>
      </c>
    </row>
    <row r="212" spans="1:10" x14ac:dyDescent="0.3">
      <c r="A212" t="s">
        <v>3</v>
      </c>
      <c r="B212" t="s">
        <v>81</v>
      </c>
      <c r="C212" t="s">
        <v>43</v>
      </c>
      <c r="D212" t="s">
        <v>82</v>
      </c>
      <c r="E212" t="s">
        <v>18</v>
      </c>
      <c r="F212" s="1">
        <v>9.7245370370370367E-4</v>
      </c>
      <c r="G212" s="37">
        <v>2.25</v>
      </c>
      <c r="H212">
        <v>2.9</v>
      </c>
      <c r="I212" s="37">
        <v>0.97</v>
      </c>
      <c r="J212">
        <f t="shared" si="3"/>
        <v>2.8129999999999997</v>
      </c>
    </row>
    <row r="213" spans="1:10" x14ac:dyDescent="0.3">
      <c r="A213" t="s">
        <v>3</v>
      </c>
      <c r="B213" t="s">
        <v>81</v>
      </c>
      <c r="C213" t="s">
        <v>43</v>
      </c>
      <c r="D213" t="s">
        <v>82</v>
      </c>
      <c r="E213" t="s">
        <v>19</v>
      </c>
      <c r="F213" s="1">
        <v>9.736689814814815E-4</v>
      </c>
      <c r="G213" s="37">
        <v>2.25</v>
      </c>
      <c r="H213">
        <v>2.89</v>
      </c>
      <c r="I213" s="37">
        <v>0.97</v>
      </c>
      <c r="J213">
        <f t="shared" si="3"/>
        <v>2.8033000000000001</v>
      </c>
    </row>
    <row r="214" spans="1:10" x14ac:dyDescent="0.3">
      <c r="A214" t="s">
        <v>3</v>
      </c>
      <c r="B214" t="s">
        <v>81</v>
      </c>
      <c r="C214" t="s">
        <v>43</v>
      </c>
      <c r="D214" t="s">
        <v>82</v>
      </c>
      <c r="E214" t="s">
        <v>45</v>
      </c>
      <c r="F214" s="1">
        <v>9.7475694444444433E-4</v>
      </c>
      <c r="G214" s="37">
        <v>2.25</v>
      </c>
      <c r="H214">
        <v>2.9</v>
      </c>
      <c r="I214" s="37">
        <v>0.97</v>
      </c>
      <c r="J214">
        <f t="shared" si="3"/>
        <v>2.8129999999999997</v>
      </c>
    </row>
    <row r="215" spans="1:10" x14ac:dyDescent="0.3">
      <c r="A215" t="s">
        <v>3</v>
      </c>
      <c r="B215" t="s">
        <v>81</v>
      </c>
      <c r="C215" t="s">
        <v>43</v>
      </c>
      <c r="D215" t="s">
        <v>82</v>
      </c>
      <c r="E215" t="s">
        <v>46</v>
      </c>
      <c r="F215" s="1">
        <v>9.7388888888888894E-4</v>
      </c>
      <c r="G215" s="37">
        <v>2.2599999999999998</v>
      </c>
      <c r="H215">
        <v>2.91</v>
      </c>
      <c r="I215" s="37">
        <v>0.97</v>
      </c>
      <c r="J215">
        <f t="shared" si="3"/>
        <v>2.8227000000000002</v>
      </c>
    </row>
    <row r="216" spans="1:10" x14ac:dyDescent="0.3">
      <c r="A216" t="s">
        <v>3</v>
      </c>
      <c r="B216" t="s">
        <v>81</v>
      </c>
      <c r="C216" t="s">
        <v>43</v>
      </c>
      <c r="D216" t="s">
        <v>82</v>
      </c>
      <c r="E216" t="s">
        <v>47</v>
      </c>
      <c r="F216" s="1">
        <v>9.7812500000000004E-4</v>
      </c>
      <c r="G216" s="37">
        <v>2.2400000000000002</v>
      </c>
      <c r="H216">
        <v>2.9</v>
      </c>
      <c r="I216" s="37">
        <v>0.97</v>
      </c>
      <c r="J216">
        <f t="shared" si="3"/>
        <v>2.8129999999999997</v>
      </c>
    </row>
    <row r="217" spans="1:10" x14ac:dyDescent="0.3">
      <c r="A217" t="s">
        <v>3</v>
      </c>
      <c r="B217" t="s">
        <v>81</v>
      </c>
      <c r="C217" t="s">
        <v>43</v>
      </c>
      <c r="D217" t="s">
        <v>82</v>
      </c>
      <c r="E217" t="s">
        <v>48</v>
      </c>
      <c r="F217" s="1">
        <v>9.7704861111111104E-4</v>
      </c>
      <c r="G217" s="37">
        <v>2.2599999999999998</v>
      </c>
      <c r="H217">
        <v>2.9</v>
      </c>
      <c r="I217" s="37">
        <v>0.97</v>
      </c>
      <c r="J217">
        <f t="shared" si="3"/>
        <v>2.8129999999999997</v>
      </c>
    </row>
    <row r="218" spans="1:10" x14ac:dyDescent="0.3">
      <c r="A218" t="s">
        <v>3</v>
      </c>
      <c r="B218" t="s">
        <v>81</v>
      </c>
      <c r="C218" t="s">
        <v>43</v>
      </c>
      <c r="D218" t="s">
        <v>82</v>
      </c>
      <c r="E218" t="s">
        <v>49</v>
      </c>
      <c r="F218" s="1">
        <v>9.801620370370372E-4</v>
      </c>
      <c r="G218" s="37">
        <v>2.25</v>
      </c>
      <c r="H218">
        <v>2.88</v>
      </c>
      <c r="I218" s="37">
        <v>0.97</v>
      </c>
      <c r="J218">
        <f t="shared" si="3"/>
        <v>2.7935999999999996</v>
      </c>
    </row>
    <row r="219" spans="1:10" x14ac:dyDescent="0.3">
      <c r="A219" t="s">
        <v>3</v>
      </c>
      <c r="B219" t="s">
        <v>81</v>
      </c>
      <c r="C219" t="s">
        <v>43</v>
      </c>
      <c r="D219" t="s">
        <v>82</v>
      </c>
      <c r="E219" t="s">
        <v>50</v>
      </c>
      <c r="F219" s="1">
        <v>9.8188657407407426E-4</v>
      </c>
      <c r="G219" s="37">
        <v>2.23</v>
      </c>
      <c r="H219">
        <v>2.88</v>
      </c>
      <c r="I219" s="37">
        <v>0.97</v>
      </c>
      <c r="J219">
        <f t="shared" si="3"/>
        <v>2.7935999999999996</v>
      </c>
    </row>
    <row r="220" spans="1:10" x14ac:dyDescent="0.3">
      <c r="A220" t="s">
        <v>3</v>
      </c>
      <c r="B220" t="s">
        <v>81</v>
      </c>
      <c r="C220" t="s">
        <v>43</v>
      </c>
      <c r="D220" t="s">
        <v>82</v>
      </c>
      <c r="E220" t="s">
        <v>51</v>
      </c>
      <c r="F220" s="1">
        <v>9.8118055555555567E-4</v>
      </c>
      <c r="G220" s="37">
        <v>2.2599999999999998</v>
      </c>
      <c r="H220">
        <v>2.91</v>
      </c>
      <c r="I220" s="37">
        <v>0.97</v>
      </c>
      <c r="J220">
        <f t="shared" si="3"/>
        <v>2.8227000000000002</v>
      </c>
    </row>
    <row r="221" spans="1:10" x14ac:dyDescent="0.3">
      <c r="A221" t="s">
        <v>3</v>
      </c>
      <c r="B221" t="s">
        <v>81</v>
      </c>
      <c r="C221" t="s">
        <v>43</v>
      </c>
      <c r="D221" t="s">
        <v>82</v>
      </c>
      <c r="E221" t="s">
        <v>53</v>
      </c>
      <c r="F221" s="1">
        <v>9.6313657407407416E-4</v>
      </c>
      <c r="G221" s="37">
        <v>2.31</v>
      </c>
      <c r="H221">
        <v>2.96</v>
      </c>
      <c r="I221" s="37">
        <v>0.97</v>
      </c>
      <c r="J221">
        <f t="shared" si="3"/>
        <v>2.8712</v>
      </c>
    </row>
    <row r="222" spans="1:10" x14ac:dyDescent="0.3">
      <c r="A222" t="s">
        <v>3</v>
      </c>
      <c r="B222" t="s">
        <v>81</v>
      </c>
      <c r="C222" t="s">
        <v>43</v>
      </c>
      <c r="D222" t="s">
        <v>82</v>
      </c>
      <c r="E222" t="s">
        <v>54</v>
      </c>
      <c r="F222" s="1">
        <v>9.6206018518518515E-4</v>
      </c>
      <c r="G222" s="37">
        <v>2.2999999999999998</v>
      </c>
      <c r="H222">
        <v>2.95</v>
      </c>
      <c r="I222" s="37">
        <v>0.97</v>
      </c>
      <c r="J222">
        <f t="shared" si="3"/>
        <v>2.8614999999999999</v>
      </c>
    </row>
    <row r="223" spans="1:10" x14ac:dyDescent="0.3">
      <c r="A223" t="s">
        <v>3</v>
      </c>
      <c r="B223" t="s">
        <v>81</v>
      </c>
      <c r="C223" t="s">
        <v>43</v>
      </c>
      <c r="D223" t="s">
        <v>82</v>
      </c>
      <c r="E223" t="s">
        <v>55</v>
      </c>
      <c r="F223" s="1">
        <v>9.6715277777777772E-4</v>
      </c>
      <c r="G223" s="37">
        <v>2.27</v>
      </c>
      <c r="H223">
        <v>2.91</v>
      </c>
      <c r="I223" s="37">
        <v>0.97</v>
      </c>
      <c r="J223">
        <f t="shared" si="3"/>
        <v>2.8227000000000002</v>
      </c>
    </row>
    <row r="224" spans="1:10" x14ac:dyDescent="0.3">
      <c r="A224" t="s">
        <v>3</v>
      </c>
      <c r="B224" t="s">
        <v>81</v>
      </c>
      <c r="C224" t="s">
        <v>43</v>
      </c>
      <c r="D224" t="s">
        <v>82</v>
      </c>
      <c r="E224" t="s">
        <v>56</v>
      </c>
      <c r="F224" s="1">
        <v>9.7196759259259274E-4</v>
      </c>
      <c r="G224" s="37">
        <v>2.2400000000000002</v>
      </c>
      <c r="H224">
        <v>2.89</v>
      </c>
      <c r="I224" s="37">
        <v>0.97</v>
      </c>
      <c r="J224">
        <f t="shared" si="3"/>
        <v>2.8033000000000001</v>
      </c>
    </row>
    <row r="225" spans="1:10" x14ac:dyDescent="0.3">
      <c r="A225" t="s">
        <v>3</v>
      </c>
      <c r="B225" t="s">
        <v>81</v>
      </c>
      <c r="C225" t="s">
        <v>43</v>
      </c>
      <c r="D225" t="s">
        <v>82</v>
      </c>
      <c r="E225" t="s">
        <v>57</v>
      </c>
      <c r="F225" s="1">
        <v>9.7494212962962964E-4</v>
      </c>
      <c r="G225" s="37">
        <v>2.2599999999999998</v>
      </c>
      <c r="H225">
        <v>2.9</v>
      </c>
      <c r="I225" s="37">
        <v>0.97</v>
      </c>
      <c r="J225">
        <f t="shared" si="3"/>
        <v>2.8129999999999997</v>
      </c>
    </row>
    <row r="226" spans="1:10" x14ac:dyDescent="0.3">
      <c r="A226" t="s">
        <v>3</v>
      </c>
      <c r="B226" t="s">
        <v>81</v>
      </c>
      <c r="C226" t="s">
        <v>43</v>
      </c>
      <c r="D226" t="s">
        <v>82</v>
      </c>
      <c r="E226" t="s">
        <v>58</v>
      </c>
      <c r="F226" s="1">
        <v>9.6592592592592596E-4</v>
      </c>
      <c r="G226" s="37">
        <v>2.27</v>
      </c>
      <c r="H226">
        <v>2.91</v>
      </c>
      <c r="I226" s="37">
        <v>0.97</v>
      </c>
      <c r="J226">
        <f t="shared" si="3"/>
        <v>2.8227000000000002</v>
      </c>
    </row>
    <row r="227" spans="1:10" x14ac:dyDescent="0.3">
      <c r="A227" t="s">
        <v>3</v>
      </c>
      <c r="B227" t="s">
        <v>81</v>
      </c>
      <c r="C227" t="s">
        <v>43</v>
      </c>
      <c r="D227" t="s">
        <v>82</v>
      </c>
      <c r="E227" t="s">
        <v>72</v>
      </c>
      <c r="F227" s="1">
        <v>9.6650462962962966E-4</v>
      </c>
      <c r="G227" s="37">
        <v>2.29</v>
      </c>
      <c r="H227">
        <v>2.94</v>
      </c>
      <c r="I227" s="37">
        <v>0.97</v>
      </c>
      <c r="J227">
        <f t="shared" si="3"/>
        <v>2.8517999999999999</v>
      </c>
    </row>
    <row r="228" spans="1:10" x14ac:dyDescent="0.3">
      <c r="A228" t="s">
        <v>3</v>
      </c>
      <c r="B228" t="s">
        <v>81</v>
      </c>
      <c r="C228" t="s">
        <v>43</v>
      </c>
      <c r="D228" t="s">
        <v>82</v>
      </c>
      <c r="E228" t="s">
        <v>59</v>
      </c>
      <c r="F228" s="1">
        <v>9.7140046296296297E-4</v>
      </c>
      <c r="G228" s="37">
        <v>2.2400000000000002</v>
      </c>
      <c r="H228">
        <v>2.88</v>
      </c>
      <c r="I228" s="37">
        <v>0.97</v>
      </c>
      <c r="J228">
        <f t="shared" si="3"/>
        <v>2.7935999999999996</v>
      </c>
    </row>
    <row r="229" spans="1:10" x14ac:dyDescent="0.3">
      <c r="A229" t="s">
        <v>3</v>
      </c>
      <c r="B229" t="s">
        <v>81</v>
      </c>
      <c r="C229" t="s">
        <v>43</v>
      </c>
      <c r="D229" t="s">
        <v>82</v>
      </c>
      <c r="E229" t="s">
        <v>60</v>
      </c>
      <c r="F229" s="1">
        <v>9.6587962962962958E-4</v>
      </c>
      <c r="G229" s="37">
        <v>2.2799999999999998</v>
      </c>
      <c r="H229">
        <v>2.91</v>
      </c>
      <c r="I229" s="37">
        <v>0.97</v>
      </c>
      <c r="J229">
        <f t="shared" si="3"/>
        <v>2.8227000000000002</v>
      </c>
    </row>
    <row r="230" spans="1:10" x14ac:dyDescent="0.3">
      <c r="A230" t="s">
        <v>3</v>
      </c>
      <c r="B230" t="s">
        <v>81</v>
      </c>
      <c r="C230" t="s">
        <v>43</v>
      </c>
      <c r="D230" t="s">
        <v>82</v>
      </c>
      <c r="E230" t="s">
        <v>61</v>
      </c>
      <c r="F230" s="1">
        <v>9.6689814814814804E-4</v>
      </c>
      <c r="G230" s="37">
        <v>2.27</v>
      </c>
      <c r="H230">
        <v>2.91</v>
      </c>
      <c r="I230" s="37">
        <v>0.97</v>
      </c>
      <c r="J230">
        <f t="shared" si="3"/>
        <v>2.8227000000000002</v>
      </c>
    </row>
    <row r="231" spans="1:10" x14ac:dyDescent="0.3">
      <c r="A231" t="s">
        <v>3</v>
      </c>
      <c r="B231" t="s">
        <v>81</v>
      </c>
      <c r="C231" t="s">
        <v>43</v>
      </c>
      <c r="D231" t="s">
        <v>82</v>
      </c>
      <c r="E231" t="s">
        <v>62</v>
      </c>
      <c r="F231" s="1">
        <v>9.7134259259259266E-4</v>
      </c>
      <c r="G231" s="37">
        <v>2.27</v>
      </c>
      <c r="H231">
        <v>2.91</v>
      </c>
      <c r="I231" s="37">
        <v>0.97</v>
      </c>
      <c r="J231">
        <f t="shared" si="3"/>
        <v>2.8227000000000002</v>
      </c>
    </row>
    <row r="232" spans="1:10" x14ac:dyDescent="0.3">
      <c r="A232" t="s">
        <v>3</v>
      </c>
      <c r="B232" t="s">
        <v>81</v>
      </c>
      <c r="C232" t="s">
        <v>43</v>
      </c>
      <c r="D232" t="s">
        <v>82</v>
      </c>
      <c r="E232" t="s">
        <v>63</v>
      </c>
      <c r="F232" s="1">
        <v>9.6695601851851858E-4</v>
      </c>
      <c r="G232" s="37">
        <v>2.29</v>
      </c>
      <c r="H232">
        <v>2.93</v>
      </c>
      <c r="I232" s="37">
        <v>0.97</v>
      </c>
      <c r="J232">
        <f t="shared" si="3"/>
        <v>2.8421000000000003</v>
      </c>
    </row>
    <row r="233" spans="1:10" x14ac:dyDescent="0.3">
      <c r="A233" t="s">
        <v>3</v>
      </c>
      <c r="B233" t="s">
        <v>81</v>
      </c>
      <c r="C233" t="s">
        <v>43</v>
      </c>
      <c r="D233" t="s">
        <v>82</v>
      </c>
      <c r="E233" t="s">
        <v>64</v>
      </c>
      <c r="F233" s="1">
        <v>9.6815972222222225E-4</v>
      </c>
      <c r="G233" s="37">
        <v>2.29</v>
      </c>
      <c r="H233">
        <v>2.93</v>
      </c>
      <c r="I233" s="37">
        <v>0.97</v>
      </c>
      <c r="J233">
        <f t="shared" si="3"/>
        <v>2.8421000000000003</v>
      </c>
    </row>
    <row r="234" spans="1:10" x14ac:dyDescent="0.3">
      <c r="A234" t="s">
        <v>3</v>
      </c>
      <c r="B234" t="s">
        <v>81</v>
      </c>
      <c r="C234" t="s">
        <v>43</v>
      </c>
      <c r="D234" t="s">
        <v>82</v>
      </c>
      <c r="E234" t="s">
        <v>65</v>
      </c>
      <c r="F234" s="1">
        <v>9.715162037037036E-4</v>
      </c>
      <c r="G234" s="37">
        <v>2.2799999999999998</v>
      </c>
      <c r="H234">
        <v>2.93</v>
      </c>
      <c r="I234" s="37">
        <v>0.97</v>
      </c>
      <c r="J234">
        <f t="shared" si="3"/>
        <v>2.8421000000000003</v>
      </c>
    </row>
    <row r="235" spans="1:10" x14ac:dyDescent="0.3">
      <c r="A235" t="s">
        <v>3</v>
      </c>
      <c r="B235" t="s">
        <v>81</v>
      </c>
      <c r="C235" t="s">
        <v>43</v>
      </c>
      <c r="D235" t="s">
        <v>82</v>
      </c>
      <c r="E235" t="s">
        <v>66</v>
      </c>
      <c r="F235" s="1">
        <v>9.6903935185185179E-4</v>
      </c>
      <c r="G235" s="37">
        <v>2.2799999999999998</v>
      </c>
      <c r="H235">
        <v>2.93</v>
      </c>
      <c r="I235" s="37">
        <v>0.97</v>
      </c>
      <c r="J235">
        <f t="shared" si="3"/>
        <v>2.8421000000000003</v>
      </c>
    </row>
    <row r="236" spans="1:10" x14ac:dyDescent="0.3">
      <c r="A236" t="s">
        <v>3</v>
      </c>
      <c r="B236" t="s">
        <v>81</v>
      </c>
      <c r="C236" t="s">
        <v>43</v>
      </c>
      <c r="D236" t="s">
        <v>82</v>
      </c>
      <c r="E236" t="s">
        <v>67</v>
      </c>
      <c r="F236" s="1">
        <v>9.7163194444444445E-4</v>
      </c>
      <c r="G236" s="37">
        <v>2.2799999999999998</v>
      </c>
      <c r="H236">
        <v>2.94</v>
      </c>
      <c r="I236" s="37">
        <v>0.97</v>
      </c>
      <c r="J236">
        <f t="shared" si="3"/>
        <v>2.8517999999999999</v>
      </c>
    </row>
    <row r="237" spans="1:10" x14ac:dyDescent="0.3">
      <c r="A237" t="s">
        <v>3</v>
      </c>
      <c r="B237" t="s">
        <v>81</v>
      </c>
      <c r="C237" t="s">
        <v>43</v>
      </c>
      <c r="D237" t="s">
        <v>82</v>
      </c>
      <c r="E237" t="s">
        <v>68</v>
      </c>
      <c r="F237" s="1">
        <v>9.7447916666666657E-4</v>
      </c>
      <c r="G237" s="37">
        <v>2.27</v>
      </c>
      <c r="H237">
        <v>2.92</v>
      </c>
      <c r="I237" s="37">
        <v>0.97</v>
      </c>
      <c r="J237">
        <f t="shared" si="3"/>
        <v>2.8323999999999998</v>
      </c>
    </row>
    <row r="238" spans="1:10" x14ac:dyDescent="0.3">
      <c r="A238" t="s">
        <v>3</v>
      </c>
      <c r="B238" t="s">
        <v>81</v>
      </c>
      <c r="C238" t="s">
        <v>43</v>
      </c>
      <c r="D238" t="s">
        <v>82</v>
      </c>
      <c r="E238" t="s">
        <v>69</v>
      </c>
      <c r="F238" s="1">
        <v>9.7331018518518513E-4</v>
      </c>
      <c r="G238" s="37">
        <v>2.2599999999999998</v>
      </c>
      <c r="H238">
        <v>2.91</v>
      </c>
      <c r="I238" s="37">
        <v>0.97</v>
      </c>
      <c r="J238">
        <f t="shared" si="3"/>
        <v>2.8227000000000002</v>
      </c>
    </row>
    <row r="239" spans="1:10" x14ac:dyDescent="0.3">
      <c r="A239" t="s">
        <v>3</v>
      </c>
      <c r="B239" t="s">
        <v>81</v>
      </c>
      <c r="C239" t="s">
        <v>43</v>
      </c>
      <c r="D239" t="s">
        <v>82</v>
      </c>
      <c r="E239" t="s">
        <v>70</v>
      </c>
      <c r="F239" s="1">
        <v>9.7394675925925925E-4</v>
      </c>
      <c r="G239" s="37">
        <v>2.2400000000000002</v>
      </c>
      <c r="H239">
        <v>2.87</v>
      </c>
      <c r="I239" s="37">
        <v>0.97</v>
      </c>
      <c r="J239">
        <f t="shared" si="3"/>
        <v>2.7839</v>
      </c>
    </row>
    <row r="240" spans="1:10" x14ac:dyDescent="0.3">
      <c r="A240" t="s">
        <v>3</v>
      </c>
      <c r="B240" t="s">
        <v>81</v>
      </c>
      <c r="C240" t="s">
        <v>43</v>
      </c>
      <c r="D240" t="s">
        <v>82</v>
      </c>
      <c r="E240" t="s">
        <v>71</v>
      </c>
      <c r="F240" s="1">
        <v>9.7556712962962961E-4</v>
      </c>
      <c r="G240" s="37">
        <v>2.25</v>
      </c>
      <c r="H240">
        <v>2.9</v>
      </c>
      <c r="I240" s="37">
        <v>0.97</v>
      </c>
      <c r="J240">
        <f t="shared" si="3"/>
        <v>2.8129999999999997</v>
      </c>
    </row>
    <row r="241" spans="1:10" x14ac:dyDescent="0.3">
      <c r="A241" t="s">
        <v>3</v>
      </c>
      <c r="B241" t="s">
        <v>83</v>
      </c>
      <c r="C241" t="s">
        <v>43</v>
      </c>
      <c r="D241" s="22">
        <v>0.73368055555555556</v>
      </c>
      <c r="E241" t="s">
        <v>9</v>
      </c>
      <c r="F241" s="1">
        <v>9.779050925925925E-4</v>
      </c>
      <c r="G241" s="37">
        <v>2.19</v>
      </c>
      <c r="H241">
        <v>2.82</v>
      </c>
      <c r="I241" s="37">
        <v>1.0069999999999999</v>
      </c>
      <c r="J241">
        <f t="shared" si="3"/>
        <v>2.8397399999999995</v>
      </c>
    </row>
    <row r="242" spans="1:10" x14ac:dyDescent="0.3">
      <c r="A242" t="s">
        <v>3</v>
      </c>
      <c r="B242" t="s">
        <v>83</v>
      </c>
      <c r="C242" t="s">
        <v>43</v>
      </c>
      <c r="D242" s="22">
        <v>0.73368055555555556</v>
      </c>
      <c r="E242" t="s">
        <v>10</v>
      </c>
      <c r="F242" s="1">
        <v>9.6806712962962949E-4</v>
      </c>
      <c r="G242" s="37">
        <v>2.2799999999999998</v>
      </c>
      <c r="H242">
        <v>2.93</v>
      </c>
      <c r="I242" s="37">
        <v>1.0069999999999999</v>
      </c>
      <c r="J242">
        <f t="shared" si="3"/>
        <v>2.95051</v>
      </c>
    </row>
    <row r="243" spans="1:10" x14ac:dyDescent="0.3">
      <c r="A243" t="s">
        <v>3</v>
      </c>
      <c r="B243" t="s">
        <v>83</v>
      </c>
      <c r="C243" t="s">
        <v>43</v>
      </c>
      <c r="D243" s="22">
        <v>0.73368055555555556</v>
      </c>
      <c r="E243" t="s">
        <v>15</v>
      </c>
      <c r="F243" s="1">
        <v>9.6929398148148146E-4</v>
      </c>
      <c r="G243" s="37">
        <v>2.27</v>
      </c>
      <c r="H243">
        <v>2.91</v>
      </c>
      <c r="I243" s="37">
        <v>1.0069999999999999</v>
      </c>
      <c r="J243">
        <f t="shared" si="3"/>
        <v>2.9303699999999999</v>
      </c>
    </row>
    <row r="244" spans="1:10" x14ac:dyDescent="0.3">
      <c r="A244" t="s">
        <v>3</v>
      </c>
      <c r="B244" t="s">
        <v>83</v>
      </c>
      <c r="C244" t="s">
        <v>43</v>
      </c>
      <c r="D244" s="22">
        <v>0.73368055555555556</v>
      </c>
      <c r="E244" t="s">
        <v>16</v>
      </c>
      <c r="F244" s="1">
        <v>9.7015046296296292E-4</v>
      </c>
      <c r="G244" s="37">
        <v>2.27</v>
      </c>
      <c r="H244">
        <v>2.91</v>
      </c>
      <c r="I244" s="37">
        <v>1.0069999999999999</v>
      </c>
      <c r="J244">
        <f t="shared" si="3"/>
        <v>2.9303699999999999</v>
      </c>
    </row>
    <row r="245" spans="1:10" x14ac:dyDescent="0.3">
      <c r="A245" t="s">
        <v>3</v>
      </c>
      <c r="B245" t="s">
        <v>83</v>
      </c>
      <c r="C245" t="s">
        <v>43</v>
      </c>
      <c r="D245" s="22">
        <v>0.73368055555555556</v>
      </c>
      <c r="E245" t="s">
        <v>17</v>
      </c>
      <c r="F245" s="1">
        <v>9.7125E-4</v>
      </c>
      <c r="G245" s="37">
        <v>2.2799999999999998</v>
      </c>
      <c r="H245">
        <v>2.92</v>
      </c>
      <c r="I245" s="37">
        <v>1.0069999999999999</v>
      </c>
      <c r="J245">
        <f t="shared" si="3"/>
        <v>2.9404399999999997</v>
      </c>
    </row>
    <row r="246" spans="1:10" x14ac:dyDescent="0.3">
      <c r="A246" t="s">
        <v>3</v>
      </c>
      <c r="B246" t="s">
        <v>83</v>
      </c>
      <c r="C246" t="s">
        <v>43</v>
      </c>
      <c r="D246" s="22">
        <v>0.73368055555555556</v>
      </c>
      <c r="E246" t="s">
        <v>18</v>
      </c>
      <c r="F246" s="1">
        <v>9.7564814814814801E-4</v>
      </c>
      <c r="G246" s="37">
        <v>2.2799999999999998</v>
      </c>
      <c r="H246">
        <v>2.91</v>
      </c>
      <c r="I246" s="37">
        <v>1.0069999999999999</v>
      </c>
      <c r="J246">
        <f t="shared" si="3"/>
        <v>2.9303699999999999</v>
      </c>
    </row>
    <row r="247" spans="1:10" x14ac:dyDescent="0.3">
      <c r="A247" t="s">
        <v>3</v>
      </c>
      <c r="B247" t="s">
        <v>83</v>
      </c>
      <c r="C247" t="s">
        <v>43</v>
      </c>
      <c r="D247" s="22">
        <v>0.73368055555555556</v>
      </c>
      <c r="E247" t="s">
        <v>19</v>
      </c>
      <c r="F247" s="1">
        <v>9.7287037037037036E-4</v>
      </c>
      <c r="G247" s="37">
        <v>2.27</v>
      </c>
      <c r="H247">
        <v>2.9</v>
      </c>
      <c r="I247" s="37">
        <v>1.0069999999999999</v>
      </c>
      <c r="J247">
        <f t="shared" si="3"/>
        <v>2.9202999999999997</v>
      </c>
    </row>
    <row r="248" spans="1:10" x14ac:dyDescent="0.3">
      <c r="A248" t="s">
        <v>3</v>
      </c>
      <c r="B248" t="s">
        <v>83</v>
      </c>
      <c r="C248" t="s">
        <v>43</v>
      </c>
      <c r="D248" s="22">
        <v>0.73368055555555556</v>
      </c>
      <c r="E248" t="s">
        <v>45</v>
      </c>
      <c r="F248" s="1">
        <v>9.7091435185185182E-4</v>
      </c>
      <c r="G248" s="37">
        <v>2.27</v>
      </c>
      <c r="H248">
        <v>2.91</v>
      </c>
      <c r="I248" s="37">
        <v>1.0069999999999999</v>
      </c>
      <c r="J248">
        <f t="shared" si="3"/>
        <v>2.9303699999999999</v>
      </c>
    </row>
    <row r="249" spans="1:10" x14ac:dyDescent="0.3">
      <c r="A249" t="s">
        <v>3</v>
      </c>
      <c r="B249" t="s">
        <v>83</v>
      </c>
      <c r="C249" t="s">
        <v>43</v>
      </c>
      <c r="D249" s="22">
        <v>0.73368055555555556</v>
      </c>
      <c r="E249" t="s">
        <v>46</v>
      </c>
      <c r="F249" s="1">
        <v>9.7592592592592588E-4</v>
      </c>
      <c r="G249" s="37">
        <v>2.23</v>
      </c>
      <c r="H249">
        <v>2.87</v>
      </c>
      <c r="I249" s="37">
        <v>1.0069999999999999</v>
      </c>
      <c r="J249">
        <f t="shared" si="3"/>
        <v>2.8900899999999998</v>
      </c>
    </row>
    <row r="250" spans="1:10" x14ac:dyDescent="0.3">
      <c r="A250" t="s">
        <v>3</v>
      </c>
      <c r="B250" t="s">
        <v>83</v>
      </c>
      <c r="C250" t="s">
        <v>43</v>
      </c>
      <c r="D250" s="22">
        <v>0.73368055555555556</v>
      </c>
      <c r="E250" t="s">
        <v>47</v>
      </c>
      <c r="F250" s="1">
        <v>9.7634259259259256E-4</v>
      </c>
      <c r="G250" s="37">
        <v>2.2599999999999998</v>
      </c>
      <c r="H250">
        <v>2.89</v>
      </c>
      <c r="I250" s="37">
        <v>1.0069999999999999</v>
      </c>
      <c r="J250">
        <f t="shared" si="3"/>
        <v>2.9102299999999999</v>
      </c>
    </row>
    <row r="251" spans="1:10" x14ac:dyDescent="0.3">
      <c r="A251" t="s">
        <v>3</v>
      </c>
      <c r="B251" t="s">
        <v>83</v>
      </c>
      <c r="C251" t="s">
        <v>43</v>
      </c>
      <c r="D251" s="22">
        <v>0.73368055555555556</v>
      </c>
      <c r="E251" t="s">
        <v>48</v>
      </c>
      <c r="F251" s="1">
        <v>9.7865740740740747E-4</v>
      </c>
      <c r="G251" s="37">
        <v>2.2400000000000002</v>
      </c>
      <c r="H251">
        <v>2.86</v>
      </c>
      <c r="I251" s="37">
        <v>1.0069999999999999</v>
      </c>
      <c r="J251">
        <f t="shared" si="3"/>
        <v>2.8800199999999996</v>
      </c>
    </row>
    <row r="252" spans="1:10" x14ac:dyDescent="0.3">
      <c r="A252" t="s">
        <v>3</v>
      </c>
      <c r="B252" t="s">
        <v>83</v>
      </c>
      <c r="C252" t="s">
        <v>43</v>
      </c>
      <c r="D252" s="22">
        <v>0.73368055555555556</v>
      </c>
      <c r="E252" t="s">
        <v>49</v>
      </c>
      <c r="F252" s="1">
        <v>9.7820601851851844E-4</v>
      </c>
      <c r="G252" s="37">
        <v>2.23</v>
      </c>
      <c r="H252">
        <v>2.86</v>
      </c>
      <c r="I252" s="37">
        <v>1.0069999999999999</v>
      </c>
      <c r="J252">
        <f t="shared" si="3"/>
        <v>2.8800199999999996</v>
      </c>
    </row>
    <row r="253" spans="1:10" x14ac:dyDescent="0.3">
      <c r="A253" t="s">
        <v>3</v>
      </c>
      <c r="B253" t="s">
        <v>83</v>
      </c>
      <c r="C253" t="s">
        <v>43</v>
      </c>
      <c r="D253" s="22">
        <v>0.73368055555555556</v>
      </c>
      <c r="E253" t="s">
        <v>50</v>
      </c>
      <c r="F253" s="1">
        <v>9.7883101851851842E-4</v>
      </c>
      <c r="G253" s="37">
        <v>2.23</v>
      </c>
      <c r="H253">
        <v>2.86</v>
      </c>
      <c r="I253" s="37">
        <v>1.0069999999999999</v>
      </c>
      <c r="J253">
        <f t="shared" si="3"/>
        <v>2.8800199999999996</v>
      </c>
    </row>
    <row r="254" spans="1:10" x14ac:dyDescent="0.3">
      <c r="A254" t="s">
        <v>3</v>
      </c>
      <c r="B254" t="s">
        <v>83</v>
      </c>
      <c r="C254" t="s">
        <v>43</v>
      </c>
      <c r="D254" s="22">
        <v>0.73368055555555556</v>
      </c>
      <c r="E254" t="s">
        <v>51</v>
      </c>
      <c r="F254" s="1">
        <v>9.7745370370370369E-4</v>
      </c>
      <c r="G254" s="37">
        <v>2.2200000000000002</v>
      </c>
      <c r="H254">
        <v>2.85</v>
      </c>
      <c r="I254" s="37">
        <v>1.0069999999999999</v>
      </c>
      <c r="J254">
        <f t="shared" si="3"/>
        <v>2.8699499999999998</v>
      </c>
    </row>
    <row r="255" spans="1:10" x14ac:dyDescent="0.3">
      <c r="A255" t="s">
        <v>3</v>
      </c>
      <c r="B255" t="s">
        <v>83</v>
      </c>
      <c r="C255" t="s">
        <v>43</v>
      </c>
      <c r="D255" s="22">
        <v>0.73368055555555556</v>
      </c>
      <c r="E255" t="s">
        <v>52</v>
      </c>
      <c r="F255" s="1">
        <v>9.7643518518518522E-4</v>
      </c>
      <c r="G255" s="37">
        <v>2.2400000000000002</v>
      </c>
      <c r="H255">
        <v>2.86</v>
      </c>
      <c r="I255" s="37">
        <v>1.0069999999999999</v>
      </c>
      <c r="J255">
        <f t="shared" si="3"/>
        <v>2.8800199999999996</v>
      </c>
    </row>
    <row r="256" spans="1:10" x14ac:dyDescent="0.3">
      <c r="A256" t="s">
        <v>3</v>
      </c>
      <c r="B256" t="s">
        <v>83</v>
      </c>
      <c r="C256" t="s">
        <v>43</v>
      </c>
      <c r="D256" s="22">
        <v>0.73368055555555556</v>
      </c>
      <c r="E256" t="s">
        <v>53</v>
      </c>
      <c r="F256" s="1">
        <v>9.7784722222222218E-4</v>
      </c>
      <c r="G256" s="37">
        <v>2.2400000000000002</v>
      </c>
      <c r="H256">
        <v>2.87</v>
      </c>
      <c r="I256" s="37">
        <v>1.0069999999999999</v>
      </c>
      <c r="J256">
        <f t="shared" si="3"/>
        <v>2.8900899999999998</v>
      </c>
    </row>
    <row r="257" spans="1:10" x14ac:dyDescent="0.3">
      <c r="A257" t="s">
        <v>3</v>
      </c>
      <c r="B257" t="s">
        <v>83</v>
      </c>
      <c r="C257" t="s">
        <v>43</v>
      </c>
      <c r="D257" s="22">
        <v>0.73368055555555556</v>
      </c>
      <c r="E257" t="s">
        <v>54</v>
      </c>
      <c r="F257" s="1">
        <v>9.7924768518518521E-4</v>
      </c>
      <c r="G257" s="37">
        <v>2.2400000000000002</v>
      </c>
      <c r="H257">
        <v>2.87</v>
      </c>
      <c r="I257" s="37">
        <v>1.0069999999999999</v>
      </c>
      <c r="J257">
        <f t="shared" si="3"/>
        <v>2.8900899999999998</v>
      </c>
    </row>
    <row r="258" spans="1:10" x14ac:dyDescent="0.3">
      <c r="A258" t="s">
        <v>3</v>
      </c>
      <c r="B258" t="s">
        <v>83</v>
      </c>
      <c r="C258" t="s">
        <v>43</v>
      </c>
      <c r="D258" s="22">
        <v>0.73368055555555556</v>
      </c>
      <c r="E258" t="s">
        <v>55</v>
      </c>
      <c r="F258" s="1">
        <v>9.7829861111111121E-4</v>
      </c>
      <c r="G258" s="37">
        <v>2.23</v>
      </c>
      <c r="H258">
        <v>2.86</v>
      </c>
      <c r="I258" s="37">
        <v>1.0069999999999999</v>
      </c>
      <c r="J258">
        <f t="shared" si="3"/>
        <v>2.8800199999999996</v>
      </c>
    </row>
    <row r="259" spans="1:10" x14ac:dyDescent="0.3">
      <c r="A259" t="s">
        <v>3</v>
      </c>
      <c r="B259" t="s">
        <v>83</v>
      </c>
      <c r="C259" t="s">
        <v>43</v>
      </c>
      <c r="D259" s="22">
        <v>0.73368055555555556</v>
      </c>
      <c r="E259" t="s">
        <v>57</v>
      </c>
      <c r="F259" s="1">
        <v>9.673032407407408E-4</v>
      </c>
      <c r="G259" s="37">
        <v>2.19</v>
      </c>
      <c r="H259">
        <v>2.81</v>
      </c>
      <c r="I259" s="37">
        <v>1.0069999999999999</v>
      </c>
      <c r="J259">
        <f t="shared" si="3"/>
        <v>2.8296699999999997</v>
      </c>
    </row>
    <row r="260" spans="1:10" x14ac:dyDescent="0.3">
      <c r="A260" t="s">
        <v>3</v>
      </c>
      <c r="B260" t="s">
        <v>83</v>
      </c>
      <c r="C260" t="s">
        <v>43</v>
      </c>
      <c r="D260" s="22">
        <v>0.73368055555555556</v>
      </c>
      <c r="E260" t="s">
        <v>58</v>
      </c>
      <c r="F260" s="1">
        <v>9.6673611111111103E-4</v>
      </c>
      <c r="G260" s="37">
        <v>2.15</v>
      </c>
      <c r="H260">
        <v>2.76</v>
      </c>
      <c r="I260" s="37">
        <v>1.0069999999999999</v>
      </c>
      <c r="J260">
        <f t="shared" ref="J260:J323" si="4">H260*I260</f>
        <v>2.7793199999999993</v>
      </c>
    </row>
    <row r="261" spans="1:10" x14ac:dyDescent="0.3">
      <c r="A261" t="s">
        <v>3</v>
      </c>
      <c r="B261" t="s">
        <v>83</v>
      </c>
      <c r="C261" t="s">
        <v>43</v>
      </c>
      <c r="D261" s="22">
        <v>0.73368055555555556</v>
      </c>
      <c r="E261" t="s">
        <v>72</v>
      </c>
      <c r="F261" s="1">
        <v>9.6685185185185188E-4</v>
      </c>
      <c r="G261" s="37">
        <v>2.16</v>
      </c>
      <c r="H261">
        <v>2.79</v>
      </c>
      <c r="I261" s="37">
        <v>1.0069999999999999</v>
      </c>
      <c r="J261">
        <f t="shared" si="4"/>
        <v>2.8095299999999996</v>
      </c>
    </row>
    <row r="262" spans="1:10" x14ac:dyDescent="0.3">
      <c r="A262" t="s">
        <v>3</v>
      </c>
      <c r="B262" t="s">
        <v>83</v>
      </c>
      <c r="C262" t="s">
        <v>43</v>
      </c>
      <c r="D262" s="22">
        <v>0.73368055555555556</v>
      </c>
      <c r="E262" t="s">
        <v>59</v>
      </c>
      <c r="F262" s="1">
        <v>9.6476851851851845E-4</v>
      </c>
      <c r="G262" s="37">
        <v>2.21</v>
      </c>
      <c r="H262">
        <v>2.84</v>
      </c>
      <c r="I262" s="37">
        <v>1.0069999999999999</v>
      </c>
      <c r="J262">
        <f t="shared" si="4"/>
        <v>2.8598799999999995</v>
      </c>
    </row>
    <row r="263" spans="1:10" x14ac:dyDescent="0.3">
      <c r="A263" t="s">
        <v>3</v>
      </c>
      <c r="B263" t="s">
        <v>83</v>
      </c>
      <c r="C263" t="s">
        <v>43</v>
      </c>
      <c r="D263" s="22">
        <v>0.73368055555555556</v>
      </c>
      <c r="E263" t="s">
        <v>60</v>
      </c>
      <c r="F263" s="1">
        <v>9.6853009259259255E-4</v>
      </c>
      <c r="G263" s="37">
        <v>2.19</v>
      </c>
      <c r="H263">
        <v>2.8</v>
      </c>
      <c r="I263" s="37">
        <v>1.0069999999999999</v>
      </c>
      <c r="J263">
        <f t="shared" si="4"/>
        <v>2.8195999999999994</v>
      </c>
    </row>
    <row r="264" spans="1:10" x14ac:dyDescent="0.3">
      <c r="A264" t="s">
        <v>3</v>
      </c>
      <c r="B264" t="s">
        <v>83</v>
      </c>
      <c r="C264" t="s">
        <v>43</v>
      </c>
      <c r="D264" s="22">
        <v>0.73368055555555556</v>
      </c>
      <c r="E264" t="s">
        <v>61</v>
      </c>
      <c r="F264" s="1">
        <v>9.7061342592592598E-4</v>
      </c>
      <c r="G264" s="37">
        <v>2.1800000000000002</v>
      </c>
      <c r="H264">
        <v>2.8</v>
      </c>
      <c r="I264" s="37">
        <v>1.0069999999999999</v>
      </c>
      <c r="J264">
        <f t="shared" si="4"/>
        <v>2.8195999999999994</v>
      </c>
    </row>
    <row r="265" spans="1:10" x14ac:dyDescent="0.3">
      <c r="A265" t="s">
        <v>3</v>
      </c>
      <c r="B265" t="s">
        <v>83</v>
      </c>
      <c r="C265" t="s">
        <v>43</v>
      </c>
      <c r="D265" s="22">
        <v>0.73368055555555556</v>
      </c>
      <c r="E265" t="s">
        <v>62</v>
      </c>
      <c r="F265" s="1">
        <v>9.7043981481481482E-4</v>
      </c>
      <c r="G265" s="37">
        <v>2.1800000000000002</v>
      </c>
      <c r="H265">
        <v>2.8</v>
      </c>
      <c r="I265" s="37">
        <v>1.0069999999999999</v>
      </c>
      <c r="J265">
        <f t="shared" si="4"/>
        <v>2.8195999999999994</v>
      </c>
    </row>
    <row r="266" spans="1:10" x14ac:dyDescent="0.3">
      <c r="A266" t="s">
        <v>3</v>
      </c>
      <c r="B266" t="s">
        <v>83</v>
      </c>
      <c r="C266" t="s">
        <v>43</v>
      </c>
      <c r="D266" s="22">
        <v>0.73368055555555556</v>
      </c>
      <c r="E266" t="s">
        <v>63</v>
      </c>
      <c r="F266" s="1">
        <v>9.7281250000000004E-4</v>
      </c>
      <c r="G266" s="37">
        <v>2.17</v>
      </c>
      <c r="H266">
        <v>2.79</v>
      </c>
      <c r="I266" s="37">
        <v>1.0069999999999999</v>
      </c>
      <c r="J266">
        <f t="shared" si="4"/>
        <v>2.8095299999999996</v>
      </c>
    </row>
    <row r="267" spans="1:10" x14ac:dyDescent="0.3">
      <c r="A267" t="s">
        <v>3</v>
      </c>
      <c r="B267" t="s">
        <v>83</v>
      </c>
      <c r="C267" t="s">
        <v>43</v>
      </c>
      <c r="D267" s="22">
        <v>0.73368055555555556</v>
      </c>
      <c r="E267" t="s">
        <v>64</v>
      </c>
      <c r="F267" s="1">
        <v>9.7648148148148138E-4</v>
      </c>
      <c r="G267" s="37">
        <v>2.11</v>
      </c>
      <c r="H267">
        <v>2.73</v>
      </c>
      <c r="I267" s="37">
        <v>1.0069999999999999</v>
      </c>
      <c r="J267">
        <f t="shared" si="4"/>
        <v>2.7491099999999995</v>
      </c>
    </row>
    <row r="268" spans="1:10" x14ac:dyDescent="0.3">
      <c r="A268" t="s">
        <v>3</v>
      </c>
      <c r="B268" t="s">
        <v>83</v>
      </c>
      <c r="C268" t="s">
        <v>43</v>
      </c>
      <c r="D268" s="22">
        <v>0.73368055555555556</v>
      </c>
      <c r="E268" t="s">
        <v>65</v>
      </c>
      <c r="F268" s="1">
        <v>9.7384259259259255E-4</v>
      </c>
      <c r="G268" s="37">
        <v>2.14</v>
      </c>
      <c r="H268">
        <v>2.76</v>
      </c>
      <c r="I268" s="37">
        <v>1.0069999999999999</v>
      </c>
      <c r="J268">
        <f t="shared" si="4"/>
        <v>2.7793199999999993</v>
      </c>
    </row>
    <row r="269" spans="1:10" x14ac:dyDescent="0.3">
      <c r="A269" t="s">
        <v>3</v>
      </c>
      <c r="B269" t="s">
        <v>83</v>
      </c>
      <c r="C269" t="s">
        <v>43</v>
      </c>
      <c r="D269" s="22">
        <v>0.73368055555555556</v>
      </c>
      <c r="E269" t="s">
        <v>66</v>
      </c>
      <c r="F269" s="1">
        <v>9.7738425925925922E-4</v>
      </c>
      <c r="G269" s="37">
        <v>2.11</v>
      </c>
      <c r="H269">
        <v>2.72</v>
      </c>
      <c r="I269" s="37">
        <v>1.0069999999999999</v>
      </c>
      <c r="J269">
        <f t="shared" si="4"/>
        <v>2.7390399999999997</v>
      </c>
    </row>
    <row r="270" spans="1:10" x14ac:dyDescent="0.3">
      <c r="A270" t="s">
        <v>3</v>
      </c>
      <c r="B270" t="s">
        <v>83</v>
      </c>
      <c r="C270" t="s">
        <v>43</v>
      </c>
      <c r="D270" s="22">
        <v>0.73368055555555556</v>
      </c>
      <c r="E270" t="s">
        <v>67</v>
      </c>
      <c r="F270" s="1">
        <v>9.7935185185185191E-4</v>
      </c>
      <c r="G270" s="37">
        <v>2.1</v>
      </c>
      <c r="H270">
        <v>2.7</v>
      </c>
      <c r="I270" s="37">
        <v>1.0069999999999999</v>
      </c>
      <c r="J270">
        <f t="shared" si="4"/>
        <v>2.7189000000000001</v>
      </c>
    </row>
    <row r="271" spans="1:10" x14ac:dyDescent="0.3">
      <c r="A271" t="s">
        <v>3</v>
      </c>
      <c r="B271" t="s">
        <v>83</v>
      </c>
      <c r="C271" t="s">
        <v>43</v>
      </c>
      <c r="D271" s="22">
        <v>0.73368055555555556</v>
      </c>
      <c r="E271" t="s">
        <v>68</v>
      </c>
      <c r="F271" s="1">
        <v>9.8681712962962959E-4</v>
      </c>
      <c r="G271" s="37">
        <v>2.0699999999999998</v>
      </c>
      <c r="H271">
        <v>2.66</v>
      </c>
      <c r="I271" s="37">
        <v>1.0069999999999999</v>
      </c>
      <c r="J271">
        <f t="shared" si="4"/>
        <v>2.67862</v>
      </c>
    </row>
    <row r="272" spans="1:10" x14ac:dyDescent="0.3">
      <c r="A272" t="s">
        <v>3</v>
      </c>
      <c r="B272" t="s">
        <v>83</v>
      </c>
      <c r="C272" t="s">
        <v>43</v>
      </c>
      <c r="D272" s="22">
        <v>0.73368055555555556</v>
      </c>
      <c r="E272" t="s">
        <v>69</v>
      </c>
      <c r="F272" s="1">
        <v>9.8207175925925936E-4</v>
      </c>
      <c r="G272" s="37">
        <v>2.14</v>
      </c>
      <c r="H272">
        <v>2.75</v>
      </c>
      <c r="I272" s="37">
        <v>1.0069999999999999</v>
      </c>
      <c r="J272">
        <f t="shared" si="4"/>
        <v>2.7692499999999995</v>
      </c>
    </row>
    <row r="273" spans="1:10" x14ac:dyDescent="0.3">
      <c r="A273" t="s">
        <v>3</v>
      </c>
      <c r="B273" t="s">
        <v>83</v>
      </c>
      <c r="C273" t="s">
        <v>43</v>
      </c>
      <c r="D273" s="22">
        <v>0.73368055555555556</v>
      </c>
      <c r="E273" t="s">
        <v>70</v>
      </c>
      <c r="F273" s="1">
        <v>9.8311342592592591E-4</v>
      </c>
      <c r="G273" s="37">
        <v>2.11</v>
      </c>
      <c r="H273">
        <v>2.72</v>
      </c>
      <c r="I273" s="37">
        <v>1.0069999999999999</v>
      </c>
      <c r="J273">
        <f t="shared" si="4"/>
        <v>2.7390399999999997</v>
      </c>
    </row>
    <row r="274" spans="1:10" x14ac:dyDescent="0.3">
      <c r="A274" t="s">
        <v>3</v>
      </c>
      <c r="B274" t="s">
        <v>83</v>
      </c>
      <c r="C274" t="s">
        <v>43</v>
      </c>
      <c r="D274" s="22">
        <v>0.73368055555555556</v>
      </c>
      <c r="E274" t="s">
        <v>71</v>
      </c>
      <c r="F274" s="1">
        <v>9.9978009259259269E-4</v>
      </c>
      <c r="G274" s="37">
        <v>2.1</v>
      </c>
      <c r="H274">
        <v>2.71</v>
      </c>
      <c r="I274" s="37">
        <v>1.0069999999999999</v>
      </c>
      <c r="J274">
        <f t="shared" si="4"/>
        <v>2.7289699999999999</v>
      </c>
    </row>
    <row r="275" spans="1:10" x14ac:dyDescent="0.3">
      <c r="A275" t="s">
        <v>3</v>
      </c>
      <c r="B275" t="s">
        <v>4</v>
      </c>
      <c r="C275" t="s">
        <v>43</v>
      </c>
      <c r="D275" t="s">
        <v>84</v>
      </c>
      <c r="E275" t="s">
        <v>9</v>
      </c>
      <c r="F275" s="1">
        <v>9.9128472222222218E-4</v>
      </c>
      <c r="G275" s="37">
        <v>2.15</v>
      </c>
      <c r="H275">
        <v>2.76</v>
      </c>
      <c r="I275" s="37">
        <v>0.97499999999999998</v>
      </c>
      <c r="J275">
        <f t="shared" si="4"/>
        <v>2.6909999999999998</v>
      </c>
    </row>
    <row r="276" spans="1:10" x14ac:dyDescent="0.3">
      <c r="A276" t="s">
        <v>3</v>
      </c>
      <c r="B276" t="s">
        <v>4</v>
      </c>
      <c r="C276" t="s">
        <v>43</v>
      </c>
      <c r="D276" t="s">
        <v>84</v>
      </c>
      <c r="E276" t="s">
        <v>10</v>
      </c>
      <c r="F276" s="1">
        <v>9.8662037037037034E-4</v>
      </c>
      <c r="G276" s="37">
        <v>2.13</v>
      </c>
      <c r="H276">
        <v>2.73</v>
      </c>
      <c r="I276" s="37">
        <v>0.97499999999999998</v>
      </c>
      <c r="J276">
        <f t="shared" si="4"/>
        <v>2.6617500000000001</v>
      </c>
    </row>
    <row r="277" spans="1:10" x14ac:dyDescent="0.3">
      <c r="A277" t="s">
        <v>3</v>
      </c>
      <c r="B277" t="s">
        <v>4</v>
      </c>
      <c r="C277" t="s">
        <v>43</v>
      </c>
      <c r="D277" t="s">
        <v>84</v>
      </c>
      <c r="E277" t="s">
        <v>15</v>
      </c>
      <c r="F277" s="1">
        <v>9.8021990740740752E-4</v>
      </c>
      <c r="G277" s="37">
        <v>2.12</v>
      </c>
      <c r="H277">
        <v>2.73</v>
      </c>
      <c r="I277" s="37">
        <v>0.97499999999999998</v>
      </c>
      <c r="J277">
        <f t="shared" si="4"/>
        <v>2.6617500000000001</v>
      </c>
    </row>
    <row r="278" spans="1:10" x14ac:dyDescent="0.3">
      <c r="A278" t="s">
        <v>3</v>
      </c>
      <c r="B278" t="s">
        <v>4</v>
      </c>
      <c r="C278" t="s">
        <v>43</v>
      </c>
      <c r="D278" t="s">
        <v>84</v>
      </c>
      <c r="E278" t="s">
        <v>16</v>
      </c>
      <c r="F278" s="1">
        <v>9.8612268518518515E-4</v>
      </c>
      <c r="G278" s="37">
        <v>2.16</v>
      </c>
      <c r="H278">
        <v>2.78</v>
      </c>
      <c r="I278" s="37">
        <v>0.97499999999999998</v>
      </c>
      <c r="J278">
        <f t="shared" si="4"/>
        <v>2.7104999999999997</v>
      </c>
    </row>
    <row r="279" spans="1:10" x14ac:dyDescent="0.3">
      <c r="A279" t="s">
        <v>3</v>
      </c>
      <c r="B279" t="s">
        <v>4</v>
      </c>
      <c r="C279" t="s">
        <v>43</v>
      </c>
      <c r="D279" t="s">
        <v>84</v>
      </c>
      <c r="E279" t="s">
        <v>17</v>
      </c>
      <c r="F279" s="1">
        <v>9.7466435185185189E-4</v>
      </c>
      <c r="G279" s="37">
        <v>2.1800000000000002</v>
      </c>
      <c r="H279">
        <v>2.81</v>
      </c>
      <c r="I279" s="37">
        <v>0.97499999999999998</v>
      </c>
      <c r="J279">
        <f t="shared" si="4"/>
        <v>2.7397499999999999</v>
      </c>
    </row>
    <row r="280" spans="1:10" x14ac:dyDescent="0.3">
      <c r="A280" t="s">
        <v>3</v>
      </c>
      <c r="B280" t="s">
        <v>4</v>
      </c>
      <c r="C280" t="s">
        <v>43</v>
      </c>
      <c r="D280" t="s">
        <v>84</v>
      </c>
      <c r="E280" t="s">
        <v>18</v>
      </c>
      <c r="F280" s="1">
        <v>9.774305555555556E-4</v>
      </c>
      <c r="G280" s="37">
        <v>2.16</v>
      </c>
      <c r="H280">
        <v>2.77</v>
      </c>
      <c r="I280" s="37">
        <v>0.97499999999999998</v>
      </c>
      <c r="J280">
        <f t="shared" si="4"/>
        <v>2.7007499999999998</v>
      </c>
    </row>
    <row r="281" spans="1:10" x14ac:dyDescent="0.3">
      <c r="A281" t="s">
        <v>3</v>
      </c>
      <c r="B281" t="s">
        <v>4</v>
      </c>
      <c r="C281" t="s">
        <v>43</v>
      </c>
      <c r="D281" t="s">
        <v>84</v>
      </c>
      <c r="E281" t="s">
        <v>19</v>
      </c>
      <c r="F281" s="1">
        <v>9.7553240740740738E-4</v>
      </c>
      <c r="G281" s="37">
        <v>2.17</v>
      </c>
      <c r="H281">
        <v>2.8</v>
      </c>
      <c r="I281" s="37">
        <v>0.97499999999999998</v>
      </c>
      <c r="J281">
        <f t="shared" si="4"/>
        <v>2.73</v>
      </c>
    </row>
    <row r="282" spans="1:10" x14ac:dyDescent="0.3">
      <c r="A282" t="s">
        <v>3</v>
      </c>
      <c r="B282" t="s">
        <v>4</v>
      </c>
      <c r="C282" t="s">
        <v>43</v>
      </c>
      <c r="D282" t="s">
        <v>84</v>
      </c>
      <c r="E282" t="s">
        <v>45</v>
      </c>
      <c r="F282" s="1">
        <v>9.7716435185185167E-4</v>
      </c>
      <c r="G282" s="37">
        <v>2.2000000000000002</v>
      </c>
      <c r="H282">
        <v>2.82</v>
      </c>
      <c r="I282" s="37">
        <v>0.97499999999999998</v>
      </c>
      <c r="J282">
        <f t="shared" si="4"/>
        <v>2.7494999999999998</v>
      </c>
    </row>
    <row r="283" spans="1:10" x14ac:dyDescent="0.3">
      <c r="A283" t="s">
        <v>3</v>
      </c>
      <c r="B283" t="s">
        <v>4</v>
      </c>
      <c r="C283" t="s">
        <v>43</v>
      </c>
      <c r="D283" t="s">
        <v>84</v>
      </c>
      <c r="E283" t="s">
        <v>46</v>
      </c>
      <c r="F283" s="1">
        <v>9.7523148148148154E-4</v>
      </c>
      <c r="G283" s="37">
        <v>2.2000000000000002</v>
      </c>
      <c r="H283">
        <v>2.84</v>
      </c>
      <c r="I283" s="37">
        <v>0.97499999999999998</v>
      </c>
      <c r="J283">
        <f t="shared" si="4"/>
        <v>2.7689999999999997</v>
      </c>
    </row>
    <row r="284" spans="1:10" x14ac:dyDescent="0.3">
      <c r="A284" t="s">
        <v>3</v>
      </c>
      <c r="B284" t="s">
        <v>4</v>
      </c>
      <c r="C284" t="s">
        <v>43</v>
      </c>
      <c r="D284" t="s">
        <v>84</v>
      </c>
      <c r="E284" t="s">
        <v>47</v>
      </c>
      <c r="F284" s="1">
        <v>9.7807870370370366E-4</v>
      </c>
      <c r="G284" s="37">
        <v>2.16</v>
      </c>
      <c r="H284">
        <v>2.79</v>
      </c>
      <c r="I284" s="37">
        <v>0.97499999999999998</v>
      </c>
      <c r="J284">
        <f t="shared" si="4"/>
        <v>2.7202500000000001</v>
      </c>
    </row>
    <row r="285" spans="1:10" x14ac:dyDescent="0.3">
      <c r="A285" t="s">
        <v>3</v>
      </c>
      <c r="B285" t="s">
        <v>4</v>
      </c>
      <c r="C285" t="s">
        <v>43</v>
      </c>
      <c r="D285" t="s">
        <v>84</v>
      </c>
      <c r="E285" t="s">
        <v>48</v>
      </c>
      <c r="F285" s="1">
        <v>9.7980324074074072E-4</v>
      </c>
      <c r="G285" s="37">
        <v>2.1800000000000002</v>
      </c>
      <c r="H285">
        <v>2.8</v>
      </c>
      <c r="I285" s="37">
        <v>0.97499999999999998</v>
      </c>
      <c r="J285">
        <f t="shared" si="4"/>
        <v>2.73</v>
      </c>
    </row>
    <row r="286" spans="1:10" x14ac:dyDescent="0.3">
      <c r="A286" t="s">
        <v>3</v>
      </c>
      <c r="B286" t="s">
        <v>4</v>
      </c>
      <c r="C286" t="s">
        <v>43</v>
      </c>
      <c r="D286" t="s">
        <v>84</v>
      </c>
      <c r="E286" t="s">
        <v>49</v>
      </c>
      <c r="F286" s="1">
        <v>9.7796296296296281E-4</v>
      </c>
      <c r="G286" s="37">
        <v>2.2000000000000002</v>
      </c>
      <c r="H286">
        <v>2.83</v>
      </c>
      <c r="I286" s="37">
        <v>0.97499999999999998</v>
      </c>
      <c r="J286">
        <f t="shared" si="4"/>
        <v>2.7592500000000002</v>
      </c>
    </row>
    <row r="287" spans="1:10" x14ac:dyDescent="0.3">
      <c r="A287" t="s">
        <v>3</v>
      </c>
      <c r="B287" t="s">
        <v>4</v>
      </c>
      <c r="C287" t="s">
        <v>43</v>
      </c>
      <c r="D287" t="s">
        <v>84</v>
      </c>
      <c r="E287" t="s">
        <v>51</v>
      </c>
      <c r="F287" s="1">
        <v>9.7223379629629634E-4</v>
      </c>
      <c r="G287" s="37">
        <v>2.2799999999999998</v>
      </c>
      <c r="H287">
        <v>2.93</v>
      </c>
      <c r="I287" s="37">
        <v>0.97499999999999998</v>
      </c>
      <c r="J287">
        <f t="shared" si="4"/>
        <v>2.8567499999999999</v>
      </c>
    </row>
    <row r="288" spans="1:10" x14ac:dyDescent="0.3">
      <c r="A288" t="s">
        <v>3</v>
      </c>
      <c r="B288" t="s">
        <v>4</v>
      </c>
      <c r="C288" t="s">
        <v>43</v>
      </c>
      <c r="D288" t="s">
        <v>84</v>
      </c>
      <c r="E288" t="s">
        <v>52</v>
      </c>
      <c r="F288" s="1">
        <v>9.7195601851851859E-4</v>
      </c>
      <c r="G288" s="37">
        <v>2.29</v>
      </c>
      <c r="H288">
        <v>2.93</v>
      </c>
      <c r="I288" s="37">
        <v>0.97499999999999998</v>
      </c>
      <c r="J288">
        <f t="shared" si="4"/>
        <v>2.8567499999999999</v>
      </c>
    </row>
    <row r="289" spans="1:10" x14ac:dyDescent="0.3">
      <c r="A289" t="s">
        <v>3</v>
      </c>
      <c r="B289" t="s">
        <v>4</v>
      </c>
      <c r="C289" t="s">
        <v>43</v>
      </c>
      <c r="D289" t="s">
        <v>84</v>
      </c>
      <c r="E289" t="s">
        <v>53</v>
      </c>
      <c r="F289" s="1">
        <v>9.7193287037037029E-4</v>
      </c>
      <c r="G289" s="37">
        <v>2.29</v>
      </c>
      <c r="H289">
        <v>2.93</v>
      </c>
      <c r="I289" s="37">
        <v>0.97499999999999998</v>
      </c>
      <c r="J289">
        <f t="shared" si="4"/>
        <v>2.8567499999999999</v>
      </c>
    </row>
    <row r="290" spans="1:10" x14ac:dyDescent="0.3">
      <c r="A290" t="s">
        <v>3</v>
      </c>
      <c r="B290" t="s">
        <v>4</v>
      </c>
      <c r="C290" t="s">
        <v>43</v>
      </c>
      <c r="D290" t="s">
        <v>84</v>
      </c>
      <c r="E290" t="s">
        <v>54</v>
      </c>
      <c r="F290" s="1">
        <v>9.8027777777777783E-4</v>
      </c>
      <c r="G290" s="37">
        <v>2.2200000000000002</v>
      </c>
      <c r="H290">
        <v>2.84</v>
      </c>
      <c r="I290" s="37">
        <v>0.97499999999999998</v>
      </c>
      <c r="J290">
        <f t="shared" si="4"/>
        <v>2.7689999999999997</v>
      </c>
    </row>
    <row r="291" spans="1:10" x14ac:dyDescent="0.3">
      <c r="A291" t="s">
        <v>3</v>
      </c>
      <c r="B291" t="s">
        <v>4</v>
      </c>
      <c r="C291" t="s">
        <v>43</v>
      </c>
      <c r="D291" t="s">
        <v>84</v>
      </c>
      <c r="E291" t="s">
        <v>55</v>
      </c>
      <c r="F291" s="1">
        <v>9.7310185185185173E-4</v>
      </c>
      <c r="G291" s="37">
        <v>2.23</v>
      </c>
      <c r="H291">
        <v>2.87</v>
      </c>
      <c r="I291" s="37">
        <v>0.97499999999999998</v>
      </c>
      <c r="J291">
        <f t="shared" si="4"/>
        <v>2.7982499999999999</v>
      </c>
    </row>
    <row r="292" spans="1:10" x14ac:dyDescent="0.3">
      <c r="A292" t="s">
        <v>3</v>
      </c>
      <c r="B292" t="s">
        <v>4</v>
      </c>
      <c r="C292" t="s">
        <v>43</v>
      </c>
      <c r="D292" t="s">
        <v>84</v>
      </c>
      <c r="E292" t="s">
        <v>56</v>
      </c>
      <c r="F292" s="1">
        <v>9.6846064814814809E-4</v>
      </c>
      <c r="G292" s="37">
        <v>2.25</v>
      </c>
      <c r="H292">
        <v>2.88</v>
      </c>
      <c r="I292" s="37">
        <v>0.97499999999999998</v>
      </c>
      <c r="J292">
        <f t="shared" si="4"/>
        <v>2.8079999999999998</v>
      </c>
    </row>
    <row r="293" spans="1:10" x14ac:dyDescent="0.3">
      <c r="A293" t="s">
        <v>3</v>
      </c>
      <c r="B293" t="s">
        <v>4</v>
      </c>
      <c r="C293" t="s">
        <v>43</v>
      </c>
      <c r="D293" t="s">
        <v>84</v>
      </c>
      <c r="E293" t="s">
        <v>57</v>
      </c>
      <c r="F293" s="1">
        <v>9.7825231481481483E-4</v>
      </c>
      <c r="G293" s="37">
        <v>2.13</v>
      </c>
      <c r="H293">
        <v>2.73</v>
      </c>
      <c r="I293" s="37">
        <v>0.97499999999999998</v>
      </c>
      <c r="J293">
        <f t="shared" si="4"/>
        <v>2.6617500000000001</v>
      </c>
    </row>
    <row r="294" spans="1:10" x14ac:dyDescent="0.3">
      <c r="A294" t="s">
        <v>3</v>
      </c>
      <c r="B294" t="s">
        <v>4</v>
      </c>
      <c r="C294" t="s">
        <v>43</v>
      </c>
      <c r="D294" t="s">
        <v>84</v>
      </c>
      <c r="E294" t="s">
        <v>58</v>
      </c>
      <c r="F294" s="1">
        <v>9.779050925925925E-4</v>
      </c>
      <c r="G294" s="37">
        <v>2.19</v>
      </c>
      <c r="H294">
        <v>2.82</v>
      </c>
      <c r="I294" s="37">
        <v>0.97499999999999998</v>
      </c>
      <c r="J294">
        <f t="shared" si="4"/>
        <v>2.7494999999999998</v>
      </c>
    </row>
    <row r="295" spans="1:10" x14ac:dyDescent="0.3">
      <c r="A295" t="s">
        <v>3</v>
      </c>
      <c r="B295" t="s">
        <v>4</v>
      </c>
      <c r="C295" t="s">
        <v>43</v>
      </c>
      <c r="D295" t="s">
        <v>84</v>
      </c>
      <c r="E295" t="s">
        <v>72</v>
      </c>
      <c r="F295" s="1">
        <v>9.8655092592592588E-4</v>
      </c>
      <c r="G295" s="37">
        <v>2.15</v>
      </c>
      <c r="H295">
        <v>2.77</v>
      </c>
      <c r="I295" s="37">
        <v>0.97499999999999998</v>
      </c>
      <c r="J295">
        <f t="shared" si="4"/>
        <v>2.7007499999999998</v>
      </c>
    </row>
    <row r="296" spans="1:10" x14ac:dyDescent="0.3">
      <c r="A296" t="s">
        <v>3</v>
      </c>
      <c r="B296" t="s">
        <v>4</v>
      </c>
      <c r="C296" t="s">
        <v>43</v>
      </c>
      <c r="D296" t="s">
        <v>84</v>
      </c>
      <c r="E296" t="s">
        <v>59</v>
      </c>
      <c r="F296" s="1">
        <v>9.7192129629629636E-4</v>
      </c>
      <c r="G296" s="37">
        <v>2.2400000000000002</v>
      </c>
      <c r="H296">
        <v>2.89</v>
      </c>
      <c r="I296" s="37">
        <v>0.97499999999999998</v>
      </c>
      <c r="J296">
        <f t="shared" si="4"/>
        <v>2.8177500000000002</v>
      </c>
    </row>
    <row r="297" spans="1:10" x14ac:dyDescent="0.3">
      <c r="A297" t="s">
        <v>3</v>
      </c>
      <c r="B297" t="s">
        <v>4</v>
      </c>
      <c r="C297" t="s">
        <v>43</v>
      </c>
      <c r="D297" t="s">
        <v>84</v>
      </c>
      <c r="E297" t="s">
        <v>60</v>
      </c>
      <c r="F297" s="1">
        <v>9.7449074074074072E-4</v>
      </c>
      <c r="G297" s="37">
        <v>2.2400000000000002</v>
      </c>
      <c r="H297">
        <v>2.88</v>
      </c>
      <c r="I297" s="37">
        <v>0.97499999999999998</v>
      </c>
      <c r="J297">
        <f t="shared" si="4"/>
        <v>2.8079999999999998</v>
      </c>
    </row>
    <row r="298" spans="1:10" x14ac:dyDescent="0.3">
      <c r="A298" t="s">
        <v>3</v>
      </c>
      <c r="B298" t="s">
        <v>4</v>
      </c>
      <c r="C298" t="s">
        <v>43</v>
      </c>
      <c r="D298" t="s">
        <v>84</v>
      </c>
      <c r="E298" t="s">
        <v>61</v>
      </c>
      <c r="F298" s="1">
        <v>9.767476851851851E-4</v>
      </c>
      <c r="G298" s="37">
        <v>2.25</v>
      </c>
      <c r="H298">
        <v>2.88</v>
      </c>
      <c r="I298" s="37">
        <v>0.97499999999999998</v>
      </c>
      <c r="J298">
        <f t="shared" si="4"/>
        <v>2.8079999999999998</v>
      </c>
    </row>
    <row r="299" spans="1:10" x14ac:dyDescent="0.3">
      <c r="A299" t="s">
        <v>3</v>
      </c>
      <c r="B299" t="s">
        <v>4</v>
      </c>
      <c r="C299" t="s">
        <v>43</v>
      </c>
      <c r="D299" t="s">
        <v>84</v>
      </c>
      <c r="E299" t="s">
        <v>62</v>
      </c>
      <c r="F299" s="1">
        <v>9.7789351851851856E-4</v>
      </c>
      <c r="G299" s="37">
        <v>2.2400000000000002</v>
      </c>
      <c r="H299">
        <v>2.88</v>
      </c>
      <c r="I299" s="37">
        <v>0.97499999999999998</v>
      </c>
      <c r="J299">
        <f t="shared" si="4"/>
        <v>2.8079999999999998</v>
      </c>
    </row>
    <row r="300" spans="1:10" x14ac:dyDescent="0.3">
      <c r="A300" t="s">
        <v>3</v>
      </c>
      <c r="B300" t="s">
        <v>4</v>
      </c>
      <c r="C300" t="s">
        <v>43</v>
      </c>
      <c r="D300" t="s">
        <v>84</v>
      </c>
      <c r="E300" t="s">
        <v>63</v>
      </c>
      <c r="F300" s="1">
        <v>9.7518518518518516E-4</v>
      </c>
      <c r="G300" s="37">
        <v>2.25</v>
      </c>
      <c r="H300">
        <v>2.9</v>
      </c>
      <c r="I300" s="37">
        <v>0.97499999999999998</v>
      </c>
      <c r="J300">
        <f t="shared" si="4"/>
        <v>2.8274999999999997</v>
      </c>
    </row>
    <row r="301" spans="1:10" x14ac:dyDescent="0.3">
      <c r="A301" t="s">
        <v>3</v>
      </c>
      <c r="B301" t="s">
        <v>4</v>
      </c>
      <c r="C301" t="s">
        <v>43</v>
      </c>
      <c r="D301" t="s">
        <v>84</v>
      </c>
      <c r="E301" t="s">
        <v>64</v>
      </c>
      <c r="F301" s="1">
        <v>9.764583333333333E-4</v>
      </c>
      <c r="G301" s="37">
        <v>2.25</v>
      </c>
      <c r="H301">
        <v>2.89</v>
      </c>
      <c r="I301" s="37">
        <v>0.97499999999999998</v>
      </c>
      <c r="J301">
        <f t="shared" si="4"/>
        <v>2.8177500000000002</v>
      </c>
    </row>
    <row r="302" spans="1:10" x14ac:dyDescent="0.3">
      <c r="A302" t="s">
        <v>3</v>
      </c>
      <c r="B302" t="s">
        <v>4</v>
      </c>
      <c r="C302" t="s">
        <v>43</v>
      </c>
      <c r="D302" t="s">
        <v>84</v>
      </c>
      <c r="E302" t="s">
        <v>65</v>
      </c>
      <c r="F302" s="1">
        <v>9.7651620370370362E-4</v>
      </c>
      <c r="G302" s="37">
        <v>2.2400000000000002</v>
      </c>
      <c r="H302">
        <v>2.87</v>
      </c>
      <c r="I302" s="37">
        <v>0.97499999999999998</v>
      </c>
      <c r="J302">
        <f t="shared" si="4"/>
        <v>2.7982499999999999</v>
      </c>
    </row>
    <row r="303" spans="1:10" x14ac:dyDescent="0.3">
      <c r="A303" t="s">
        <v>3</v>
      </c>
      <c r="B303" t="s">
        <v>4</v>
      </c>
      <c r="C303" t="s">
        <v>43</v>
      </c>
      <c r="D303" t="s">
        <v>84</v>
      </c>
      <c r="E303" t="s">
        <v>66</v>
      </c>
      <c r="F303" s="1">
        <v>9.779050925925925E-4</v>
      </c>
      <c r="G303" s="37">
        <v>2.23</v>
      </c>
      <c r="H303">
        <v>2.86</v>
      </c>
      <c r="I303" s="37">
        <v>0.97499999999999998</v>
      </c>
      <c r="J303">
        <f t="shared" si="4"/>
        <v>2.7885</v>
      </c>
    </row>
    <row r="304" spans="1:10" x14ac:dyDescent="0.3">
      <c r="A304" t="s">
        <v>3</v>
      </c>
      <c r="B304" t="s">
        <v>4</v>
      </c>
      <c r="C304" t="s">
        <v>43</v>
      </c>
      <c r="D304" t="s">
        <v>84</v>
      </c>
      <c r="E304" t="s">
        <v>67</v>
      </c>
      <c r="F304" s="1">
        <v>9.8039351851851846E-4</v>
      </c>
      <c r="G304" s="37">
        <v>2.23</v>
      </c>
      <c r="H304">
        <v>2.86</v>
      </c>
      <c r="I304" s="37">
        <v>0.97499999999999998</v>
      </c>
      <c r="J304">
        <f t="shared" si="4"/>
        <v>2.7885</v>
      </c>
    </row>
    <row r="305" spans="1:10" x14ac:dyDescent="0.3">
      <c r="A305" t="s">
        <v>3</v>
      </c>
      <c r="B305" t="s">
        <v>4</v>
      </c>
      <c r="C305" t="s">
        <v>43</v>
      </c>
      <c r="D305" t="s">
        <v>84</v>
      </c>
      <c r="E305" t="s">
        <v>68</v>
      </c>
      <c r="F305" s="1">
        <v>9.7778935185185187E-4</v>
      </c>
      <c r="G305" s="37">
        <v>2.2200000000000002</v>
      </c>
      <c r="H305">
        <v>2.84</v>
      </c>
      <c r="I305" s="37">
        <v>0.97499999999999998</v>
      </c>
      <c r="J305">
        <f t="shared" si="4"/>
        <v>2.7689999999999997</v>
      </c>
    </row>
    <row r="306" spans="1:10" x14ac:dyDescent="0.3">
      <c r="A306" t="s">
        <v>3</v>
      </c>
      <c r="B306" t="s">
        <v>4</v>
      </c>
      <c r="C306" t="s">
        <v>43</v>
      </c>
      <c r="D306" t="s">
        <v>84</v>
      </c>
      <c r="E306" t="s">
        <v>69</v>
      </c>
      <c r="F306" s="1">
        <v>9.7935185185185191E-4</v>
      </c>
      <c r="G306" s="37">
        <v>2.2200000000000002</v>
      </c>
      <c r="H306">
        <v>2.85</v>
      </c>
      <c r="I306" s="37">
        <v>0.97499999999999998</v>
      </c>
      <c r="J306">
        <f t="shared" si="4"/>
        <v>2.7787500000000001</v>
      </c>
    </row>
    <row r="307" spans="1:10" x14ac:dyDescent="0.3">
      <c r="A307" t="s">
        <v>3</v>
      </c>
      <c r="B307" t="s">
        <v>4</v>
      </c>
      <c r="C307" t="s">
        <v>43</v>
      </c>
      <c r="D307" s="22" t="s">
        <v>84</v>
      </c>
      <c r="E307" t="s">
        <v>70</v>
      </c>
      <c r="F307" s="1">
        <v>9.7910879629629628E-4</v>
      </c>
      <c r="G307" s="37">
        <v>2.2200000000000002</v>
      </c>
      <c r="H307">
        <v>2.85</v>
      </c>
      <c r="I307" s="37">
        <v>0.97499999999999998</v>
      </c>
      <c r="J307">
        <f t="shared" si="4"/>
        <v>2.7787500000000001</v>
      </c>
    </row>
    <row r="308" spans="1:10" x14ac:dyDescent="0.3">
      <c r="A308" t="s">
        <v>3</v>
      </c>
      <c r="B308" t="s">
        <v>4</v>
      </c>
      <c r="C308" t="s">
        <v>43</v>
      </c>
      <c r="D308" s="22" t="s">
        <v>84</v>
      </c>
      <c r="E308" t="s">
        <v>71</v>
      </c>
      <c r="F308" s="1">
        <v>9.8295138888888889E-4</v>
      </c>
      <c r="G308" s="37">
        <v>2.21</v>
      </c>
      <c r="H308">
        <v>2.85</v>
      </c>
      <c r="I308" s="37">
        <v>0.97499999999999998</v>
      </c>
      <c r="J308">
        <f t="shared" si="4"/>
        <v>2.7787500000000001</v>
      </c>
    </row>
    <row r="309" spans="1:10" x14ac:dyDescent="0.3">
      <c r="A309" t="s">
        <v>3</v>
      </c>
      <c r="B309" t="s">
        <v>85</v>
      </c>
      <c r="C309" t="s">
        <v>43</v>
      </c>
      <c r="D309" s="22" t="s">
        <v>86</v>
      </c>
      <c r="E309" t="s">
        <v>9</v>
      </c>
      <c r="F309" s="1">
        <v>9.8879629629629643E-4</v>
      </c>
      <c r="G309" s="37">
        <v>2.11</v>
      </c>
      <c r="H309">
        <v>2.63</v>
      </c>
      <c r="I309" s="37">
        <v>1.04</v>
      </c>
      <c r="J309">
        <f t="shared" si="4"/>
        <v>2.7351999999999999</v>
      </c>
    </row>
    <row r="310" spans="1:10" x14ac:dyDescent="0.3">
      <c r="A310" t="s">
        <v>3</v>
      </c>
      <c r="B310" t="s">
        <v>85</v>
      </c>
      <c r="C310" t="s">
        <v>43</v>
      </c>
      <c r="D310" s="22" t="s">
        <v>86</v>
      </c>
      <c r="E310" t="s">
        <v>10</v>
      </c>
      <c r="F310" s="1">
        <v>9.6944444444444454E-4</v>
      </c>
      <c r="G310" s="37">
        <v>2.16</v>
      </c>
      <c r="H310">
        <v>2.69</v>
      </c>
      <c r="I310" s="37">
        <v>1.04</v>
      </c>
      <c r="J310">
        <f t="shared" si="4"/>
        <v>2.7976000000000001</v>
      </c>
    </row>
    <row r="311" spans="1:10" x14ac:dyDescent="0.3">
      <c r="A311" t="s">
        <v>3</v>
      </c>
      <c r="B311" t="s">
        <v>85</v>
      </c>
      <c r="C311" t="s">
        <v>43</v>
      </c>
      <c r="D311" s="22" t="s">
        <v>86</v>
      </c>
      <c r="E311" t="s">
        <v>15</v>
      </c>
      <c r="F311" s="1">
        <v>9.6899305555555562E-4</v>
      </c>
      <c r="G311" s="37">
        <v>2.16</v>
      </c>
      <c r="H311">
        <v>2.68</v>
      </c>
      <c r="I311" s="37">
        <v>1.04</v>
      </c>
      <c r="J311">
        <f t="shared" si="4"/>
        <v>2.7872000000000003</v>
      </c>
    </row>
    <row r="312" spans="1:10" x14ac:dyDescent="0.3">
      <c r="A312" t="s">
        <v>3</v>
      </c>
      <c r="B312" t="s">
        <v>85</v>
      </c>
      <c r="C312" t="s">
        <v>43</v>
      </c>
      <c r="D312" s="22" t="s">
        <v>86</v>
      </c>
      <c r="E312" t="s">
        <v>16</v>
      </c>
      <c r="F312" s="1">
        <v>9.7089120370370374E-4</v>
      </c>
      <c r="G312" s="37">
        <v>2.15</v>
      </c>
      <c r="H312">
        <v>2.68</v>
      </c>
      <c r="I312" s="37">
        <v>1.04</v>
      </c>
      <c r="J312">
        <f t="shared" si="4"/>
        <v>2.7872000000000003</v>
      </c>
    </row>
    <row r="313" spans="1:10" x14ac:dyDescent="0.3">
      <c r="A313" t="s">
        <v>3</v>
      </c>
      <c r="B313" t="s">
        <v>85</v>
      </c>
      <c r="C313" t="s">
        <v>43</v>
      </c>
      <c r="D313" s="22" t="s">
        <v>86</v>
      </c>
      <c r="E313" t="s">
        <v>17</v>
      </c>
      <c r="F313" s="1">
        <v>9.6881944444444446E-4</v>
      </c>
      <c r="G313" s="37">
        <v>2.17</v>
      </c>
      <c r="H313">
        <v>2.7</v>
      </c>
      <c r="I313" s="37">
        <v>1.04</v>
      </c>
      <c r="J313">
        <f t="shared" si="4"/>
        <v>2.8080000000000003</v>
      </c>
    </row>
    <row r="314" spans="1:10" x14ac:dyDescent="0.3">
      <c r="A314" t="s">
        <v>3</v>
      </c>
      <c r="B314" t="s">
        <v>85</v>
      </c>
      <c r="C314" t="s">
        <v>43</v>
      </c>
      <c r="D314" s="22" t="s">
        <v>86</v>
      </c>
      <c r="E314" t="s">
        <v>18</v>
      </c>
      <c r="F314" s="1">
        <v>9.7246527777777782E-4</v>
      </c>
      <c r="G314" s="37">
        <v>2.2000000000000002</v>
      </c>
      <c r="H314">
        <v>2.74</v>
      </c>
      <c r="I314" s="37">
        <v>1.04</v>
      </c>
      <c r="J314">
        <f t="shared" si="4"/>
        <v>2.8496000000000001</v>
      </c>
    </row>
    <row r="315" spans="1:10" x14ac:dyDescent="0.3">
      <c r="A315" t="s">
        <v>3</v>
      </c>
      <c r="B315" t="s">
        <v>85</v>
      </c>
      <c r="C315" t="s">
        <v>43</v>
      </c>
      <c r="D315" s="22" t="s">
        <v>86</v>
      </c>
      <c r="E315" t="s">
        <v>19</v>
      </c>
      <c r="F315" s="1">
        <v>9.7304398148148142E-4</v>
      </c>
      <c r="G315" s="37">
        <v>2.17</v>
      </c>
      <c r="H315">
        <v>2.71</v>
      </c>
      <c r="I315" s="37">
        <v>1.04</v>
      </c>
      <c r="J315">
        <f t="shared" si="4"/>
        <v>2.8184</v>
      </c>
    </row>
    <row r="316" spans="1:10" x14ac:dyDescent="0.3">
      <c r="A316" t="s">
        <v>3</v>
      </c>
      <c r="B316" t="s">
        <v>85</v>
      </c>
      <c r="C316" t="s">
        <v>43</v>
      </c>
      <c r="D316" s="22" t="s">
        <v>86</v>
      </c>
      <c r="E316" t="s">
        <v>45</v>
      </c>
      <c r="F316" s="1">
        <v>9.7010416666666675E-4</v>
      </c>
      <c r="G316" s="37">
        <v>2.19</v>
      </c>
      <c r="H316">
        <v>2.72</v>
      </c>
      <c r="I316" s="37">
        <v>1.04</v>
      </c>
      <c r="J316">
        <f t="shared" si="4"/>
        <v>2.8288000000000002</v>
      </c>
    </row>
    <row r="317" spans="1:10" x14ac:dyDescent="0.3">
      <c r="A317" t="s">
        <v>3</v>
      </c>
      <c r="B317" t="s">
        <v>85</v>
      </c>
      <c r="C317" t="s">
        <v>43</v>
      </c>
      <c r="D317" s="22" t="s">
        <v>86</v>
      </c>
      <c r="E317" t="s">
        <v>46</v>
      </c>
      <c r="F317" s="1">
        <v>9.7390046296296287E-4</v>
      </c>
      <c r="G317" s="37">
        <v>2.14</v>
      </c>
      <c r="H317">
        <v>2.66</v>
      </c>
      <c r="I317" s="37">
        <v>1.04</v>
      </c>
      <c r="J317">
        <f t="shared" si="4"/>
        <v>2.7664000000000004</v>
      </c>
    </row>
    <row r="318" spans="1:10" x14ac:dyDescent="0.3">
      <c r="A318" t="s">
        <v>3</v>
      </c>
      <c r="B318" t="s">
        <v>85</v>
      </c>
      <c r="C318" t="s">
        <v>43</v>
      </c>
      <c r="D318" s="22" t="s">
        <v>86</v>
      </c>
      <c r="E318" t="s">
        <v>47</v>
      </c>
      <c r="F318" s="1">
        <v>9.7692129629629626E-4</v>
      </c>
      <c r="G318" s="37">
        <v>2.12</v>
      </c>
      <c r="H318">
        <v>2.65</v>
      </c>
      <c r="I318" s="37">
        <v>1.04</v>
      </c>
      <c r="J318">
        <f t="shared" si="4"/>
        <v>2.7559999999999998</v>
      </c>
    </row>
    <row r="319" spans="1:10" x14ac:dyDescent="0.3">
      <c r="A319" t="s">
        <v>3</v>
      </c>
      <c r="B319" t="s">
        <v>85</v>
      </c>
      <c r="C319" t="s">
        <v>43</v>
      </c>
      <c r="D319" s="22" t="s">
        <v>86</v>
      </c>
      <c r="E319" t="s">
        <v>48</v>
      </c>
      <c r="F319" s="1">
        <v>9.8004629629629635E-4</v>
      </c>
      <c r="G319" s="37">
        <v>2.12</v>
      </c>
      <c r="H319">
        <v>2.64</v>
      </c>
      <c r="I319" s="37">
        <v>1.04</v>
      </c>
      <c r="J319">
        <f t="shared" si="4"/>
        <v>2.7456</v>
      </c>
    </row>
    <row r="320" spans="1:10" x14ac:dyDescent="0.3">
      <c r="A320" t="s">
        <v>3</v>
      </c>
      <c r="B320" t="s">
        <v>85</v>
      </c>
      <c r="C320" t="s">
        <v>43</v>
      </c>
      <c r="D320" s="22" t="s">
        <v>86</v>
      </c>
      <c r="E320" t="s">
        <v>49</v>
      </c>
      <c r="F320" s="1">
        <v>9.7871527777777779E-4</v>
      </c>
      <c r="G320" s="37">
        <v>2.12</v>
      </c>
      <c r="H320">
        <v>2.64</v>
      </c>
      <c r="I320" s="37">
        <v>1.04</v>
      </c>
      <c r="J320">
        <f t="shared" si="4"/>
        <v>2.7456</v>
      </c>
    </row>
    <row r="321" spans="1:10" x14ac:dyDescent="0.3">
      <c r="A321" t="s">
        <v>3</v>
      </c>
      <c r="B321" t="s">
        <v>85</v>
      </c>
      <c r="C321" t="s">
        <v>43</v>
      </c>
      <c r="D321" s="22" t="s">
        <v>86</v>
      </c>
      <c r="E321" t="s">
        <v>51</v>
      </c>
      <c r="F321" s="1">
        <v>9.6424768518518528E-4</v>
      </c>
      <c r="G321" s="37">
        <v>2.29</v>
      </c>
      <c r="H321">
        <v>2.85</v>
      </c>
      <c r="I321" s="37">
        <v>1.04</v>
      </c>
      <c r="J321">
        <f t="shared" si="4"/>
        <v>2.9640000000000004</v>
      </c>
    </row>
    <row r="322" spans="1:10" x14ac:dyDescent="0.3">
      <c r="A322" t="s">
        <v>3</v>
      </c>
      <c r="B322" t="s">
        <v>85</v>
      </c>
      <c r="C322" t="s">
        <v>43</v>
      </c>
      <c r="D322" s="22" t="s">
        <v>86</v>
      </c>
      <c r="E322" t="s">
        <v>52</v>
      </c>
      <c r="F322" s="1">
        <v>9.6285879629629629E-4</v>
      </c>
      <c r="G322" s="37">
        <v>2.2400000000000002</v>
      </c>
      <c r="H322">
        <v>2.79</v>
      </c>
      <c r="I322" s="37">
        <v>1.04</v>
      </c>
      <c r="J322">
        <f t="shared" si="4"/>
        <v>2.9016000000000002</v>
      </c>
    </row>
    <row r="323" spans="1:10" x14ac:dyDescent="0.3">
      <c r="A323" t="s">
        <v>3</v>
      </c>
      <c r="B323" t="s">
        <v>85</v>
      </c>
      <c r="C323" t="s">
        <v>43</v>
      </c>
      <c r="D323" s="22" t="s">
        <v>86</v>
      </c>
      <c r="E323" t="s">
        <v>53</v>
      </c>
      <c r="F323" s="1">
        <v>9.6562500000000012E-4</v>
      </c>
      <c r="G323" s="37">
        <v>2.29</v>
      </c>
      <c r="H323">
        <v>2.85</v>
      </c>
      <c r="I323" s="37">
        <v>1.04</v>
      </c>
      <c r="J323">
        <f t="shared" si="4"/>
        <v>2.9640000000000004</v>
      </c>
    </row>
    <row r="324" spans="1:10" x14ac:dyDescent="0.3">
      <c r="A324" t="s">
        <v>3</v>
      </c>
      <c r="B324" t="s">
        <v>85</v>
      </c>
      <c r="C324" t="s">
        <v>43</v>
      </c>
      <c r="D324" s="22" t="s">
        <v>86</v>
      </c>
      <c r="E324" t="s">
        <v>54</v>
      </c>
      <c r="F324" s="1">
        <v>9.685416666666667E-4</v>
      </c>
      <c r="G324" s="37">
        <v>2.2599999999999998</v>
      </c>
      <c r="H324">
        <v>2.82</v>
      </c>
      <c r="I324" s="37">
        <v>1.04</v>
      </c>
      <c r="J324">
        <f t="shared" ref="J324:J387" si="5">H324*I324</f>
        <v>2.9327999999999999</v>
      </c>
    </row>
    <row r="325" spans="1:10" x14ac:dyDescent="0.3">
      <c r="A325" t="s">
        <v>3</v>
      </c>
      <c r="B325" t="s">
        <v>85</v>
      </c>
      <c r="C325" t="s">
        <v>43</v>
      </c>
      <c r="D325" s="22" t="s">
        <v>86</v>
      </c>
      <c r="E325" t="s">
        <v>55</v>
      </c>
      <c r="F325" s="1">
        <v>9.6741898148148154E-4</v>
      </c>
      <c r="G325" s="37">
        <v>2.2400000000000002</v>
      </c>
      <c r="H325">
        <v>2.8</v>
      </c>
      <c r="I325" s="37">
        <v>1.04</v>
      </c>
      <c r="J325">
        <f t="shared" si="5"/>
        <v>2.9119999999999999</v>
      </c>
    </row>
    <row r="326" spans="1:10" x14ac:dyDescent="0.3">
      <c r="A326" t="s">
        <v>3</v>
      </c>
      <c r="B326" t="s">
        <v>85</v>
      </c>
      <c r="C326" t="s">
        <v>43</v>
      </c>
      <c r="D326" s="22" t="s">
        <v>86</v>
      </c>
      <c r="E326" t="s">
        <v>56</v>
      </c>
      <c r="F326" s="1">
        <v>9.6986111111111101E-4</v>
      </c>
      <c r="G326" s="37">
        <v>2.25</v>
      </c>
      <c r="H326">
        <v>2.8</v>
      </c>
      <c r="I326" s="37">
        <v>1.04</v>
      </c>
      <c r="J326">
        <f t="shared" si="5"/>
        <v>2.9119999999999999</v>
      </c>
    </row>
    <row r="327" spans="1:10" x14ac:dyDescent="0.3">
      <c r="A327" t="s">
        <v>3</v>
      </c>
      <c r="B327" t="s">
        <v>85</v>
      </c>
      <c r="C327" t="s">
        <v>43</v>
      </c>
      <c r="D327" s="22" t="s">
        <v>86</v>
      </c>
      <c r="E327" t="s">
        <v>57</v>
      </c>
      <c r="F327" s="1">
        <v>9.6922453703703699E-4</v>
      </c>
      <c r="G327" s="37">
        <v>2.25</v>
      </c>
      <c r="H327">
        <v>2.81</v>
      </c>
      <c r="I327" s="37">
        <v>1.04</v>
      </c>
      <c r="J327">
        <f t="shared" si="5"/>
        <v>2.9224000000000001</v>
      </c>
    </row>
    <row r="328" spans="1:10" x14ac:dyDescent="0.3">
      <c r="A328" t="s">
        <v>3</v>
      </c>
      <c r="B328" t="s">
        <v>85</v>
      </c>
      <c r="C328" t="s">
        <v>43</v>
      </c>
      <c r="D328" s="22" t="s">
        <v>86</v>
      </c>
      <c r="E328" t="s">
        <v>58</v>
      </c>
      <c r="F328" s="1">
        <v>9.7189814814814827E-4</v>
      </c>
      <c r="G328" s="37">
        <v>2.25</v>
      </c>
      <c r="H328">
        <v>2.79</v>
      </c>
      <c r="I328" s="37">
        <v>1.04</v>
      </c>
      <c r="J328">
        <f t="shared" si="5"/>
        <v>2.9016000000000002</v>
      </c>
    </row>
    <row r="329" spans="1:10" x14ac:dyDescent="0.3">
      <c r="A329" t="s">
        <v>3</v>
      </c>
      <c r="B329" t="s">
        <v>85</v>
      </c>
      <c r="C329" t="s">
        <v>43</v>
      </c>
      <c r="D329" s="22" t="s">
        <v>86</v>
      </c>
      <c r="E329" t="s">
        <v>72</v>
      </c>
      <c r="F329" s="1">
        <v>9.7037037037037046E-4</v>
      </c>
      <c r="G329" s="37">
        <v>2.23</v>
      </c>
      <c r="H329">
        <v>2.78</v>
      </c>
      <c r="I329" s="37">
        <v>1.04</v>
      </c>
      <c r="J329">
        <f t="shared" si="5"/>
        <v>2.8912</v>
      </c>
    </row>
    <row r="330" spans="1:10" x14ac:dyDescent="0.3">
      <c r="A330" t="s">
        <v>3</v>
      </c>
      <c r="B330" t="s">
        <v>85</v>
      </c>
      <c r="C330" t="s">
        <v>43</v>
      </c>
      <c r="D330" s="22" t="s">
        <v>86</v>
      </c>
      <c r="E330" t="s">
        <v>59</v>
      </c>
      <c r="F330" s="1">
        <v>9.7097222222222214E-4</v>
      </c>
      <c r="G330" s="37">
        <v>2.2400000000000002</v>
      </c>
      <c r="H330">
        <v>2.78</v>
      </c>
      <c r="I330" s="37">
        <v>1.04</v>
      </c>
      <c r="J330">
        <f t="shared" si="5"/>
        <v>2.8912</v>
      </c>
    </row>
    <row r="331" spans="1:10" x14ac:dyDescent="0.3">
      <c r="A331" t="s">
        <v>3</v>
      </c>
      <c r="B331" t="s">
        <v>85</v>
      </c>
      <c r="C331" t="s">
        <v>43</v>
      </c>
      <c r="D331" s="22" t="s">
        <v>86</v>
      </c>
      <c r="E331" t="s">
        <v>60</v>
      </c>
      <c r="F331" s="1">
        <v>9.7129629629629627E-4</v>
      </c>
      <c r="G331" s="37">
        <v>2.25</v>
      </c>
      <c r="H331">
        <v>2.8</v>
      </c>
      <c r="I331" s="37">
        <v>1.04</v>
      </c>
      <c r="J331">
        <f t="shared" si="5"/>
        <v>2.9119999999999999</v>
      </c>
    </row>
    <row r="332" spans="1:10" x14ac:dyDescent="0.3">
      <c r="A332" t="s">
        <v>3</v>
      </c>
      <c r="B332" t="s">
        <v>85</v>
      </c>
      <c r="C332" t="s">
        <v>43</v>
      </c>
      <c r="D332" s="22" t="s">
        <v>86</v>
      </c>
      <c r="E332" t="s">
        <v>61</v>
      </c>
      <c r="F332" s="1">
        <v>9.706712962962963E-4</v>
      </c>
      <c r="G332" s="37">
        <v>2.23</v>
      </c>
      <c r="H332">
        <v>2.78</v>
      </c>
      <c r="I332" s="37">
        <v>1.04</v>
      </c>
      <c r="J332">
        <f t="shared" si="5"/>
        <v>2.8912</v>
      </c>
    </row>
    <row r="333" spans="1:10" x14ac:dyDescent="0.3">
      <c r="A333" t="s">
        <v>3</v>
      </c>
      <c r="B333" t="s">
        <v>85</v>
      </c>
      <c r="C333" t="s">
        <v>43</v>
      </c>
      <c r="D333" s="22" t="s">
        <v>86</v>
      </c>
      <c r="E333" t="s">
        <v>62</v>
      </c>
      <c r="F333" s="1">
        <v>9.814814814814814E-4</v>
      </c>
      <c r="G333" s="37">
        <v>2.21</v>
      </c>
      <c r="H333">
        <v>2.75</v>
      </c>
      <c r="I333" s="37">
        <v>1.04</v>
      </c>
      <c r="J333">
        <f t="shared" si="5"/>
        <v>2.8600000000000003</v>
      </c>
    </row>
    <row r="334" spans="1:10" x14ac:dyDescent="0.3">
      <c r="A334" t="s">
        <v>3</v>
      </c>
      <c r="B334" t="s">
        <v>85</v>
      </c>
      <c r="C334" t="s">
        <v>43</v>
      </c>
      <c r="D334" s="22" t="s">
        <v>86</v>
      </c>
      <c r="E334" t="s">
        <v>63</v>
      </c>
      <c r="F334" s="1">
        <v>9.8237268518518508E-4</v>
      </c>
      <c r="G334" s="37">
        <v>2.1800000000000002</v>
      </c>
      <c r="H334">
        <v>2.71</v>
      </c>
      <c r="I334" s="37">
        <v>1.04</v>
      </c>
      <c r="J334">
        <f t="shared" si="5"/>
        <v>2.8184</v>
      </c>
    </row>
    <row r="335" spans="1:10" x14ac:dyDescent="0.3">
      <c r="A335" t="s">
        <v>3</v>
      </c>
      <c r="B335" t="s">
        <v>85</v>
      </c>
      <c r="C335" t="s">
        <v>43</v>
      </c>
      <c r="D335" s="22" t="s">
        <v>86</v>
      </c>
      <c r="E335" t="s">
        <v>64</v>
      </c>
      <c r="F335" s="1">
        <v>9.7783564814814825E-4</v>
      </c>
      <c r="G335" s="37">
        <v>2.2000000000000002</v>
      </c>
      <c r="H335">
        <v>2.74</v>
      </c>
      <c r="I335" s="37">
        <v>1.04</v>
      </c>
      <c r="J335">
        <f t="shared" si="5"/>
        <v>2.8496000000000001</v>
      </c>
    </row>
    <row r="336" spans="1:10" x14ac:dyDescent="0.3">
      <c r="A336" t="s">
        <v>3</v>
      </c>
      <c r="B336" t="s">
        <v>85</v>
      </c>
      <c r="C336" t="s">
        <v>43</v>
      </c>
      <c r="D336" s="22" t="s">
        <v>86</v>
      </c>
      <c r="E336" t="s">
        <v>65</v>
      </c>
      <c r="F336" s="1">
        <v>9.7454861111111104E-4</v>
      </c>
      <c r="G336" s="37">
        <v>2.21</v>
      </c>
      <c r="H336">
        <v>2.76</v>
      </c>
      <c r="I336" s="37">
        <v>1.04</v>
      </c>
      <c r="J336">
        <f t="shared" si="5"/>
        <v>2.8704000000000001</v>
      </c>
    </row>
    <row r="337" spans="1:10" x14ac:dyDescent="0.3">
      <c r="A337" t="s">
        <v>3</v>
      </c>
      <c r="B337" t="s">
        <v>85</v>
      </c>
      <c r="C337" t="s">
        <v>43</v>
      </c>
      <c r="D337" s="22" t="s">
        <v>86</v>
      </c>
      <c r="E337" t="s">
        <v>66</v>
      </c>
      <c r="F337" s="1">
        <v>9.7431712962962956E-4</v>
      </c>
      <c r="G337" s="37">
        <v>2.21</v>
      </c>
      <c r="H337">
        <v>2.77</v>
      </c>
      <c r="I337" s="37">
        <v>1.04</v>
      </c>
      <c r="J337">
        <f t="shared" si="5"/>
        <v>2.8808000000000002</v>
      </c>
    </row>
    <row r="338" spans="1:10" x14ac:dyDescent="0.3">
      <c r="A338" t="s">
        <v>3</v>
      </c>
      <c r="B338" t="s">
        <v>85</v>
      </c>
      <c r="C338" t="s">
        <v>43</v>
      </c>
      <c r="D338" s="22" t="s">
        <v>86</v>
      </c>
      <c r="E338" t="s">
        <v>67</v>
      </c>
      <c r="F338" s="1">
        <v>9.7478009259259263E-4</v>
      </c>
      <c r="G338" s="37">
        <v>2.21</v>
      </c>
      <c r="H338">
        <v>2.77</v>
      </c>
      <c r="I338" s="37">
        <v>1.04</v>
      </c>
      <c r="J338">
        <f t="shared" si="5"/>
        <v>2.8808000000000002</v>
      </c>
    </row>
    <row r="339" spans="1:10" x14ac:dyDescent="0.3">
      <c r="A339" t="s">
        <v>3</v>
      </c>
      <c r="B339" t="s">
        <v>85</v>
      </c>
      <c r="C339" t="s">
        <v>43</v>
      </c>
      <c r="D339" s="22" t="s">
        <v>86</v>
      </c>
      <c r="E339" t="s">
        <v>68</v>
      </c>
      <c r="F339" s="1">
        <v>9.7692129629629626E-4</v>
      </c>
      <c r="G339" s="37">
        <v>2.2200000000000002</v>
      </c>
      <c r="H339">
        <v>2.78</v>
      </c>
      <c r="I339" s="37">
        <v>1.04</v>
      </c>
      <c r="J339">
        <f t="shared" si="5"/>
        <v>2.8912</v>
      </c>
    </row>
    <row r="340" spans="1:10" x14ac:dyDescent="0.3">
      <c r="A340" t="s">
        <v>3</v>
      </c>
      <c r="B340" t="s">
        <v>85</v>
      </c>
      <c r="C340" t="s">
        <v>43</v>
      </c>
      <c r="D340" s="22" t="s">
        <v>86</v>
      </c>
      <c r="E340" t="s">
        <v>69</v>
      </c>
      <c r="F340" s="1">
        <v>9.7767361111111123E-4</v>
      </c>
      <c r="G340" s="37">
        <v>2.2200000000000002</v>
      </c>
      <c r="H340">
        <v>2.77</v>
      </c>
      <c r="I340" s="37">
        <v>1.04</v>
      </c>
      <c r="J340">
        <f t="shared" si="5"/>
        <v>2.8808000000000002</v>
      </c>
    </row>
    <row r="341" spans="1:10" x14ac:dyDescent="0.3">
      <c r="A341" t="s">
        <v>3</v>
      </c>
      <c r="B341" t="s">
        <v>85</v>
      </c>
      <c r="C341" t="s">
        <v>43</v>
      </c>
      <c r="D341" t="s">
        <v>86</v>
      </c>
      <c r="E341" t="s">
        <v>70</v>
      </c>
      <c r="F341" s="1">
        <v>9.7716435185185167E-4</v>
      </c>
      <c r="G341" s="37">
        <v>2.2200000000000002</v>
      </c>
      <c r="H341">
        <v>2.77</v>
      </c>
      <c r="I341" s="37">
        <v>1.04</v>
      </c>
      <c r="J341">
        <f t="shared" si="5"/>
        <v>2.8808000000000002</v>
      </c>
    </row>
    <row r="342" spans="1:10" x14ac:dyDescent="0.3">
      <c r="A342" t="s">
        <v>3</v>
      </c>
      <c r="B342" t="s">
        <v>85</v>
      </c>
      <c r="C342" t="s">
        <v>43</v>
      </c>
      <c r="D342" t="s">
        <v>86</v>
      </c>
      <c r="E342" t="s">
        <v>71</v>
      </c>
      <c r="F342" s="1">
        <v>9.775347222222223E-4</v>
      </c>
      <c r="G342" s="37">
        <v>2.2200000000000002</v>
      </c>
      <c r="H342">
        <v>2.76</v>
      </c>
      <c r="I342" s="37">
        <v>1.04</v>
      </c>
      <c r="J342">
        <f t="shared" si="5"/>
        <v>2.8704000000000001</v>
      </c>
    </row>
    <row r="343" spans="1:10" x14ac:dyDescent="0.3">
      <c r="A343" t="s">
        <v>3</v>
      </c>
      <c r="B343" t="s">
        <v>87</v>
      </c>
      <c r="C343" t="s">
        <v>43</v>
      </c>
      <c r="D343" t="s">
        <v>88</v>
      </c>
      <c r="E343" t="s">
        <v>9</v>
      </c>
      <c r="F343" s="1">
        <v>9.846643518518518E-4</v>
      </c>
      <c r="G343" s="37">
        <v>2.1</v>
      </c>
      <c r="H343">
        <v>2.68</v>
      </c>
      <c r="I343" s="37">
        <v>1.006</v>
      </c>
      <c r="J343">
        <f t="shared" si="5"/>
        <v>2.6960800000000003</v>
      </c>
    </row>
    <row r="344" spans="1:10" x14ac:dyDescent="0.3">
      <c r="A344" t="s">
        <v>3</v>
      </c>
      <c r="B344" t="s">
        <v>87</v>
      </c>
      <c r="C344" t="s">
        <v>43</v>
      </c>
      <c r="D344" t="s">
        <v>88</v>
      </c>
      <c r="E344" t="s">
        <v>10</v>
      </c>
      <c r="F344" s="1">
        <v>9.8415509259259268E-4</v>
      </c>
      <c r="G344" s="37">
        <v>2.0699999999999998</v>
      </c>
      <c r="H344">
        <v>2.66</v>
      </c>
      <c r="I344" s="37">
        <v>1.006</v>
      </c>
      <c r="J344">
        <f t="shared" si="5"/>
        <v>2.6759600000000003</v>
      </c>
    </row>
    <row r="345" spans="1:10" x14ac:dyDescent="0.3">
      <c r="A345" t="s">
        <v>3</v>
      </c>
      <c r="B345" t="s">
        <v>87</v>
      </c>
      <c r="C345" t="s">
        <v>43</v>
      </c>
      <c r="D345" t="s">
        <v>88</v>
      </c>
      <c r="E345" t="s">
        <v>15</v>
      </c>
      <c r="F345" s="1">
        <v>9.7736111111111114E-4</v>
      </c>
      <c r="G345" s="37">
        <v>2.12</v>
      </c>
      <c r="H345">
        <v>2.73</v>
      </c>
      <c r="I345" s="37">
        <v>1.006</v>
      </c>
      <c r="J345">
        <f t="shared" si="5"/>
        <v>2.7463799999999998</v>
      </c>
    </row>
    <row r="346" spans="1:10" x14ac:dyDescent="0.3">
      <c r="A346" t="s">
        <v>3</v>
      </c>
      <c r="B346" t="s">
        <v>87</v>
      </c>
      <c r="C346" t="s">
        <v>43</v>
      </c>
      <c r="D346" t="s">
        <v>88</v>
      </c>
      <c r="E346" t="s">
        <v>16</v>
      </c>
      <c r="F346" s="1">
        <v>1.001377314814815E-3</v>
      </c>
      <c r="G346" s="37">
        <v>2.1</v>
      </c>
      <c r="H346">
        <v>2.69</v>
      </c>
      <c r="I346" s="37">
        <v>1.006</v>
      </c>
      <c r="J346">
        <f t="shared" si="5"/>
        <v>2.70614</v>
      </c>
    </row>
    <row r="347" spans="1:10" x14ac:dyDescent="0.3">
      <c r="A347" t="s">
        <v>3</v>
      </c>
      <c r="B347" t="s">
        <v>87</v>
      </c>
      <c r="C347" t="s">
        <v>43</v>
      </c>
      <c r="D347" t="s">
        <v>88</v>
      </c>
      <c r="E347" t="s">
        <v>17</v>
      </c>
      <c r="F347" s="1">
        <v>9.7797453703703696E-4</v>
      </c>
      <c r="G347" s="37">
        <v>2.19</v>
      </c>
      <c r="H347">
        <v>2.81</v>
      </c>
      <c r="I347" s="37">
        <v>1.006</v>
      </c>
      <c r="J347">
        <f t="shared" si="5"/>
        <v>2.8268599999999999</v>
      </c>
    </row>
    <row r="348" spans="1:10" x14ac:dyDescent="0.3">
      <c r="A348" t="s">
        <v>3</v>
      </c>
      <c r="B348" t="s">
        <v>87</v>
      </c>
      <c r="C348" t="s">
        <v>43</v>
      </c>
      <c r="D348" t="s">
        <v>88</v>
      </c>
      <c r="E348" t="s">
        <v>18</v>
      </c>
      <c r="F348" s="1">
        <v>9.787731481481481E-4</v>
      </c>
      <c r="G348" s="37">
        <v>2.2000000000000002</v>
      </c>
      <c r="H348">
        <v>2.82</v>
      </c>
      <c r="I348" s="37">
        <v>1.006</v>
      </c>
      <c r="J348">
        <f t="shared" si="5"/>
        <v>2.8369199999999997</v>
      </c>
    </row>
    <row r="349" spans="1:10" x14ac:dyDescent="0.3">
      <c r="A349" t="s">
        <v>3</v>
      </c>
      <c r="B349" t="s">
        <v>87</v>
      </c>
      <c r="C349" t="s">
        <v>43</v>
      </c>
      <c r="D349" t="s">
        <v>88</v>
      </c>
      <c r="E349" t="s">
        <v>19</v>
      </c>
      <c r="F349" s="1">
        <v>9.7787037037037026E-4</v>
      </c>
      <c r="G349" s="37">
        <v>2.19</v>
      </c>
      <c r="H349">
        <v>2.8</v>
      </c>
      <c r="I349" s="37">
        <v>1.006</v>
      </c>
      <c r="J349">
        <f t="shared" si="5"/>
        <v>2.8167999999999997</v>
      </c>
    </row>
    <row r="350" spans="1:10" x14ac:dyDescent="0.3">
      <c r="A350" t="s">
        <v>3</v>
      </c>
      <c r="B350" t="s">
        <v>87</v>
      </c>
      <c r="C350" t="s">
        <v>43</v>
      </c>
      <c r="D350" t="s">
        <v>88</v>
      </c>
      <c r="E350" t="s">
        <v>45</v>
      </c>
      <c r="F350" s="1">
        <v>9.8067129629629633E-4</v>
      </c>
      <c r="G350" s="37">
        <v>2.19</v>
      </c>
      <c r="H350">
        <v>2.79</v>
      </c>
      <c r="I350" s="37">
        <v>1.006</v>
      </c>
      <c r="J350">
        <f t="shared" si="5"/>
        <v>2.80674</v>
      </c>
    </row>
    <row r="351" spans="1:10" x14ac:dyDescent="0.3">
      <c r="A351" t="s">
        <v>3</v>
      </c>
      <c r="B351" t="s">
        <v>87</v>
      </c>
      <c r="C351" t="s">
        <v>43</v>
      </c>
      <c r="D351" t="s">
        <v>88</v>
      </c>
      <c r="E351" t="s">
        <v>46</v>
      </c>
      <c r="F351" s="1">
        <v>9.8236111111111115E-4</v>
      </c>
      <c r="G351" s="37">
        <v>2.17</v>
      </c>
      <c r="H351">
        <v>2.78</v>
      </c>
      <c r="I351" s="37">
        <v>1.006</v>
      </c>
      <c r="J351">
        <f t="shared" si="5"/>
        <v>2.7966799999999998</v>
      </c>
    </row>
    <row r="352" spans="1:10" x14ac:dyDescent="0.3">
      <c r="A352" t="s">
        <v>3</v>
      </c>
      <c r="B352" t="s">
        <v>87</v>
      </c>
      <c r="C352" t="s">
        <v>43</v>
      </c>
      <c r="D352" t="s">
        <v>88</v>
      </c>
      <c r="E352" t="s">
        <v>47</v>
      </c>
      <c r="F352" s="1">
        <v>9.813773148148147E-4</v>
      </c>
      <c r="G352" s="37">
        <v>2.16</v>
      </c>
      <c r="H352">
        <v>2.77</v>
      </c>
      <c r="I352" s="37">
        <v>1.006</v>
      </c>
      <c r="J352">
        <f t="shared" si="5"/>
        <v>2.7866200000000001</v>
      </c>
    </row>
    <row r="353" spans="1:10" x14ac:dyDescent="0.3">
      <c r="A353" t="s">
        <v>3</v>
      </c>
      <c r="B353" t="s">
        <v>87</v>
      </c>
      <c r="C353" t="s">
        <v>43</v>
      </c>
      <c r="D353" t="s">
        <v>88</v>
      </c>
      <c r="E353" t="s">
        <v>48</v>
      </c>
      <c r="F353" s="1">
        <v>9.8452546296296309E-4</v>
      </c>
      <c r="G353" s="37">
        <v>2.17</v>
      </c>
      <c r="H353">
        <v>2.78</v>
      </c>
      <c r="I353" s="37">
        <v>1.006</v>
      </c>
      <c r="J353">
        <f t="shared" si="5"/>
        <v>2.7966799999999998</v>
      </c>
    </row>
    <row r="354" spans="1:10" x14ac:dyDescent="0.3">
      <c r="A354" t="s">
        <v>3</v>
      </c>
      <c r="B354" t="s">
        <v>87</v>
      </c>
      <c r="C354" t="s">
        <v>43</v>
      </c>
      <c r="D354" t="s">
        <v>88</v>
      </c>
      <c r="E354" t="s">
        <v>49</v>
      </c>
      <c r="F354" s="1">
        <v>9.8211805555555552E-4</v>
      </c>
      <c r="G354" s="37">
        <v>2.16</v>
      </c>
      <c r="H354">
        <v>2.77</v>
      </c>
      <c r="I354" s="37">
        <v>1.006</v>
      </c>
      <c r="J354">
        <f t="shared" si="5"/>
        <v>2.7866200000000001</v>
      </c>
    </row>
    <row r="355" spans="1:10" x14ac:dyDescent="0.3">
      <c r="A355" t="s">
        <v>3</v>
      </c>
      <c r="B355" t="s">
        <v>87</v>
      </c>
      <c r="C355" t="s">
        <v>43</v>
      </c>
      <c r="D355" t="s">
        <v>88</v>
      </c>
      <c r="E355" t="s">
        <v>50</v>
      </c>
      <c r="F355" s="1">
        <v>9.8120370370370375E-4</v>
      </c>
      <c r="G355" s="37">
        <v>2.15</v>
      </c>
      <c r="H355">
        <v>2.76</v>
      </c>
      <c r="I355" s="37">
        <v>1.006</v>
      </c>
      <c r="J355">
        <f t="shared" si="5"/>
        <v>2.7765599999999999</v>
      </c>
    </row>
    <row r="356" spans="1:10" x14ac:dyDescent="0.3">
      <c r="A356" t="s">
        <v>3</v>
      </c>
      <c r="B356" t="s">
        <v>87</v>
      </c>
      <c r="C356" t="s">
        <v>43</v>
      </c>
      <c r="D356" t="s">
        <v>88</v>
      </c>
      <c r="E356" t="s">
        <v>51</v>
      </c>
      <c r="F356" s="1">
        <v>9.8380787037037035E-4</v>
      </c>
      <c r="G356" s="37">
        <v>2.17</v>
      </c>
      <c r="H356">
        <v>2.78</v>
      </c>
      <c r="I356" s="37">
        <v>1.006</v>
      </c>
      <c r="J356">
        <f t="shared" si="5"/>
        <v>2.7966799999999998</v>
      </c>
    </row>
    <row r="357" spans="1:10" x14ac:dyDescent="0.3">
      <c r="A357" t="s">
        <v>3</v>
      </c>
      <c r="B357" t="s">
        <v>87</v>
      </c>
      <c r="C357" t="s">
        <v>43</v>
      </c>
      <c r="D357" t="s">
        <v>88</v>
      </c>
      <c r="E357" t="s">
        <v>52</v>
      </c>
      <c r="F357" s="1">
        <v>9.8666666666666672E-4</v>
      </c>
      <c r="G357" s="37">
        <v>2.14</v>
      </c>
      <c r="H357">
        <v>2.74</v>
      </c>
      <c r="I357" s="37">
        <v>1.006</v>
      </c>
      <c r="J357">
        <f t="shared" si="5"/>
        <v>2.7564400000000004</v>
      </c>
    </row>
    <row r="358" spans="1:10" x14ac:dyDescent="0.3">
      <c r="A358" t="s">
        <v>3</v>
      </c>
      <c r="B358" t="s">
        <v>87</v>
      </c>
      <c r="C358" t="s">
        <v>43</v>
      </c>
      <c r="D358" t="s">
        <v>88</v>
      </c>
      <c r="E358" t="s">
        <v>53</v>
      </c>
      <c r="F358" s="1">
        <v>9.8674768518518512E-4</v>
      </c>
      <c r="G358" s="37">
        <v>2.16</v>
      </c>
      <c r="H358">
        <v>2.76</v>
      </c>
      <c r="I358" s="37">
        <v>1.006</v>
      </c>
      <c r="J358">
        <f t="shared" si="5"/>
        <v>2.7765599999999999</v>
      </c>
    </row>
    <row r="359" spans="1:10" x14ac:dyDescent="0.3">
      <c r="A359" t="s">
        <v>3</v>
      </c>
      <c r="B359" t="s">
        <v>87</v>
      </c>
      <c r="C359" t="s">
        <v>43</v>
      </c>
      <c r="D359" t="s">
        <v>88</v>
      </c>
      <c r="E359" t="s">
        <v>54</v>
      </c>
      <c r="F359" s="1">
        <v>9.9417824074074057E-4</v>
      </c>
      <c r="G359" s="37">
        <v>2.13</v>
      </c>
      <c r="H359">
        <v>2.73</v>
      </c>
      <c r="I359" s="37">
        <v>1.006</v>
      </c>
      <c r="J359">
        <f t="shared" si="5"/>
        <v>2.7463799999999998</v>
      </c>
    </row>
    <row r="360" spans="1:10" x14ac:dyDescent="0.3">
      <c r="A360" t="s">
        <v>3</v>
      </c>
      <c r="B360" t="s">
        <v>87</v>
      </c>
      <c r="C360" t="s">
        <v>43</v>
      </c>
      <c r="D360" t="s">
        <v>88</v>
      </c>
      <c r="E360" t="s">
        <v>56</v>
      </c>
      <c r="F360" s="1">
        <v>9.8438657407407416E-4</v>
      </c>
      <c r="G360" s="37">
        <v>2.1</v>
      </c>
      <c r="H360">
        <v>2.7</v>
      </c>
      <c r="I360" s="37">
        <v>1.006</v>
      </c>
      <c r="J360">
        <f t="shared" si="5"/>
        <v>2.7162000000000002</v>
      </c>
    </row>
    <row r="361" spans="1:10" x14ac:dyDescent="0.3">
      <c r="A361" t="s">
        <v>3</v>
      </c>
      <c r="B361" t="s">
        <v>87</v>
      </c>
      <c r="C361" t="s">
        <v>43</v>
      </c>
      <c r="D361" t="s">
        <v>88</v>
      </c>
      <c r="E361" t="s">
        <v>57</v>
      </c>
      <c r="F361" s="1">
        <v>9.7212962962962965E-4</v>
      </c>
      <c r="G361" s="37">
        <v>2.14</v>
      </c>
      <c r="H361">
        <v>2.76</v>
      </c>
      <c r="I361" s="37">
        <v>1.006</v>
      </c>
      <c r="J361">
        <f t="shared" si="5"/>
        <v>2.7765599999999999</v>
      </c>
    </row>
    <row r="362" spans="1:10" x14ac:dyDescent="0.3">
      <c r="A362" t="s">
        <v>3</v>
      </c>
      <c r="B362" t="s">
        <v>87</v>
      </c>
      <c r="C362" t="s">
        <v>43</v>
      </c>
      <c r="D362" t="s">
        <v>88</v>
      </c>
      <c r="E362" t="s">
        <v>58</v>
      </c>
      <c r="F362" s="1">
        <v>9.7344907407407406E-4</v>
      </c>
      <c r="G362" s="37">
        <v>2.13</v>
      </c>
      <c r="H362">
        <v>2.76</v>
      </c>
      <c r="I362" s="37">
        <v>1.006</v>
      </c>
      <c r="J362">
        <f t="shared" si="5"/>
        <v>2.7765599999999999</v>
      </c>
    </row>
    <row r="363" spans="1:10" x14ac:dyDescent="0.3">
      <c r="A363" t="s">
        <v>3</v>
      </c>
      <c r="B363" t="s">
        <v>87</v>
      </c>
      <c r="C363" t="s">
        <v>43</v>
      </c>
      <c r="D363" t="s">
        <v>88</v>
      </c>
      <c r="E363" t="s">
        <v>72</v>
      </c>
      <c r="F363" s="1">
        <v>9.7315972222222226E-4</v>
      </c>
      <c r="G363" s="37">
        <v>2.13</v>
      </c>
      <c r="H363">
        <v>2.74</v>
      </c>
      <c r="I363" s="37">
        <v>1.006</v>
      </c>
      <c r="J363">
        <f t="shared" si="5"/>
        <v>2.7564400000000004</v>
      </c>
    </row>
    <row r="364" spans="1:10" x14ac:dyDescent="0.3">
      <c r="A364" t="s">
        <v>3</v>
      </c>
      <c r="B364" t="s">
        <v>87</v>
      </c>
      <c r="C364" t="s">
        <v>43</v>
      </c>
      <c r="D364" t="s">
        <v>88</v>
      </c>
      <c r="E364" t="s">
        <v>59</v>
      </c>
      <c r="F364" s="1">
        <v>9.7554398148148153E-4</v>
      </c>
      <c r="G364" s="37">
        <v>2.11</v>
      </c>
      <c r="H364">
        <v>2.7</v>
      </c>
      <c r="I364" s="37">
        <v>1.006</v>
      </c>
      <c r="J364">
        <f t="shared" si="5"/>
        <v>2.7162000000000002</v>
      </c>
    </row>
    <row r="365" spans="1:10" x14ac:dyDescent="0.3">
      <c r="A365" t="s">
        <v>3</v>
      </c>
      <c r="B365" t="s">
        <v>87</v>
      </c>
      <c r="C365" t="s">
        <v>43</v>
      </c>
      <c r="D365" t="s">
        <v>88</v>
      </c>
      <c r="E365" t="s">
        <v>60</v>
      </c>
      <c r="F365" s="1">
        <v>9.8369212962962972E-4</v>
      </c>
      <c r="G365" s="37">
        <v>2.09</v>
      </c>
      <c r="H365">
        <v>2.7</v>
      </c>
      <c r="I365" s="37">
        <v>1.006</v>
      </c>
      <c r="J365">
        <f t="shared" si="5"/>
        <v>2.7162000000000002</v>
      </c>
    </row>
    <row r="366" spans="1:10" x14ac:dyDescent="0.3">
      <c r="A366" t="s">
        <v>3</v>
      </c>
      <c r="B366" t="s">
        <v>87</v>
      </c>
      <c r="C366" t="s">
        <v>43</v>
      </c>
      <c r="D366" t="s">
        <v>88</v>
      </c>
      <c r="E366" t="s">
        <v>61</v>
      </c>
      <c r="F366" s="1">
        <v>9.8438657407407416E-4</v>
      </c>
      <c r="G366" s="37">
        <v>2.1</v>
      </c>
      <c r="H366">
        <v>2.71</v>
      </c>
      <c r="I366" s="37">
        <v>1.006</v>
      </c>
      <c r="J366">
        <f t="shared" si="5"/>
        <v>2.7262599999999999</v>
      </c>
    </row>
    <row r="367" spans="1:10" x14ac:dyDescent="0.3">
      <c r="A367" t="s">
        <v>3</v>
      </c>
      <c r="B367" t="s">
        <v>87</v>
      </c>
      <c r="C367" t="s">
        <v>43</v>
      </c>
      <c r="D367" t="s">
        <v>88</v>
      </c>
      <c r="E367" t="s">
        <v>62</v>
      </c>
      <c r="F367" s="1">
        <v>9.8180555555555564E-4</v>
      </c>
      <c r="G367" s="37">
        <v>2.09</v>
      </c>
      <c r="H367">
        <v>2.69</v>
      </c>
      <c r="I367" s="37">
        <v>1.006</v>
      </c>
      <c r="J367">
        <f t="shared" si="5"/>
        <v>2.70614</v>
      </c>
    </row>
    <row r="368" spans="1:10" x14ac:dyDescent="0.3">
      <c r="A368" t="s">
        <v>3</v>
      </c>
      <c r="B368" t="s">
        <v>87</v>
      </c>
      <c r="C368" t="s">
        <v>43</v>
      </c>
      <c r="D368" t="s">
        <v>88</v>
      </c>
      <c r="E368" t="s">
        <v>63</v>
      </c>
      <c r="F368" s="1">
        <v>9.8738425925925925E-4</v>
      </c>
      <c r="G368" s="37">
        <v>2.04</v>
      </c>
      <c r="H368">
        <v>2.64</v>
      </c>
      <c r="I368" s="37">
        <v>1.006</v>
      </c>
      <c r="J368">
        <f t="shared" si="5"/>
        <v>2.65584</v>
      </c>
    </row>
    <row r="369" spans="1:10" x14ac:dyDescent="0.3">
      <c r="A369" t="s">
        <v>3</v>
      </c>
      <c r="B369" t="s">
        <v>87</v>
      </c>
      <c r="C369" t="s">
        <v>43</v>
      </c>
      <c r="D369" t="s">
        <v>88</v>
      </c>
      <c r="E369" t="s">
        <v>64</v>
      </c>
      <c r="F369" s="1">
        <v>9.827662037037038E-4</v>
      </c>
      <c r="G369" s="37">
        <v>2.04</v>
      </c>
      <c r="H369">
        <v>2.62</v>
      </c>
      <c r="I369" s="37">
        <v>1.006</v>
      </c>
      <c r="J369">
        <f t="shared" si="5"/>
        <v>2.6357200000000001</v>
      </c>
    </row>
    <row r="370" spans="1:10" x14ac:dyDescent="0.3">
      <c r="A370" t="s">
        <v>3</v>
      </c>
      <c r="B370" t="s">
        <v>87</v>
      </c>
      <c r="C370" t="s">
        <v>43</v>
      </c>
      <c r="D370" t="s">
        <v>88</v>
      </c>
      <c r="E370" t="s">
        <v>65</v>
      </c>
      <c r="F370" s="1">
        <v>9.7984953703703689E-4</v>
      </c>
      <c r="G370" s="37">
        <v>2.08</v>
      </c>
      <c r="H370">
        <v>2.69</v>
      </c>
      <c r="I370" s="37">
        <v>1.006</v>
      </c>
      <c r="J370">
        <f t="shared" si="5"/>
        <v>2.70614</v>
      </c>
    </row>
    <row r="371" spans="1:10" x14ac:dyDescent="0.3">
      <c r="A371" t="s">
        <v>3</v>
      </c>
      <c r="B371" t="s">
        <v>87</v>
      </c>
      <c r="C371" t="s">
        <v>43</v>
      </c>
      <c r="D371" t="s">
        <v>88</v>
      </c>
      <c r="E371" t="s">
        <v>66</v>
      </c>
      <c r="F371" s="1">
        <v>9.8240740740740732E-4</v>
      </c>
      <c r="G371" s="37">
        <v>2.08</v>
      </c>
      <c r="H371">
        <v>2.68</v>
      </c>
      <c r="I371" s="37">
        <v>1.006</v>
      </c>
      <c r="J371">
        <f t="shared" si="5"/>
        <v>2.6960800000000003</v>
      </c>
    </row>
    <row r="372" spans="1:10" x14ac:dyDescent="0.3">
      <c r="A372" t="s">
        <v>3</v>
      </c>
      <c r="B372" t="s">
        <v>87</v>
      </c>
      <c r="C372" t="s">
        <v>43</v>
      </c>
      <c r="D372" t="s">
        <v>88</v>
      </c>
      <c r="E372" t="s">
        <v>67</v>
      </c>
      <c r="F372" s="1">
        <v>9.8068287037037026E-4</v>
      </c>
      <c r="G372" s="37">
        <v>2.1</v>
      </c>
      <c r="H372">
        <v>2.71</v>
      </c>
      <c r="I372" s="37">
        <v>1.006</v>
      </c>
      <c r="J372">
        <f t="shared" si="5"/>
        <v>2.7262599999999999</v>
      </c>
    </row>
    <row r="373" spans="1:10" x14ac:dyDescent="0.3">
      <c r="A373" t="s">
        <v>3</v>
      </c>
      <c r="B373" t="s">
        <v>87</v>
      </c>
      <c r="C373" t="s">
        <v>43</v>
      </c>
      <c r="D373" t="s">
        <v>88</v>
      </c>
      <c r="E373" t="s">
        <v>68</v>
      </c>
      <c r="F373" s="1">
        <v>9.8392361111111098E-4</v>
      </c>
      <c r="G373" s="37">
        <v>2.0499999999999998</v>
      </c>
      <c r="H373">
        <v>2.66</v>
      </c>
      <c r="I373" s="37">
        <v>1.006</v>
      </c>
      <c r="J373">
        <f t="shared" si="5"/>
        <v>2.6759600000000003</v>
      </c>
    </row>
    <row r="374" spans="1:10" x14ac:dyDescent="0.3">
      <c r="A374" t="s">
        <v>3</v>
      </c>
      <c r="B374" t="s">
        <v>87</v>
      </c>
      <c r="C374" t="s">
        <v>43</v>
      </c>
      <c r="D374" t="s">
        <v>88</v>
      </c>
      <c r="E374" t="s">
        <v>69</v>
      </c>
      <c r="F374" s="1">
        <v>9.8115740740740737E-4</v>
      </c>
      <c r="G374" s="37">
        <v>2.09</v>
      </c>
      <c r="H374">
        <v>2.68</v>
      </c>
      <c r="I374" s="37">
        <v>1.006</v>
      </c>
      <c r="J374">
        <f t="shared" si="5"/>
        <v>2.6960800000000003</v>
      </c>
    </row>
    <row r="375" spans="1:10" x14ac:dyDescent="0.3">
      <c r="A375" t="s">
        <v>3</v>
      </c>
      <c r="B375" t="s">
        <v>87</v>
      </c>
      <c r="C375" t="s">
        <v>43</v>
      </c>
      <c r="D375" t="s">
        <v>88</v>
      </c>
      <c r="E375" t="s">
        <v>70</v>
      </c>
      <c r="F375" s="1">
        <v>9.9203703703703715E-4</v>
      </c>
      <c r="G375" s="37">
        <v>2.04</v>
      </c>
      <c r="H375">
        <v>2.63</v>
      </c>
      <c r="I375" s="37">
        <v>1.006</v>
      </c>
      <c r="J375">
        <f t="shared" si="5"/>
        <v>2.6457799999999998</v>
      </c>
    </row>
    <row r="376" spans="1:10" x14ac:dyDescent="0.3">
      <c r="A376" t="s">
        <v>3</v>
      </c>
      <c r="B376" t="s">
        <v>87</v>
      </c>
      <c r="C376" t="s">
        <v>43</v>
      </c>
      <c r="D376" t="s">
        <v>88</v>
      </c>
      <c r="E376" t="s">
        <v>71</v>
      </c>
      <c r="F376" s="1">
        <v>9.967592592592593E-4</v>
      </c>
      <c r="G376" s="37">
        <v>1.98</v>
      </c>
      <c r="H376">
        <v>2.56</v>
      </c>
      <c r="I376" s="37">
        <v>1.006</v>
      </c>
      <c r="J376">
        <f t="shared" si="5"/>
        <v>2.5753599999999999</v>
      </c>
    </row>
    <row r="377" spans="1:10" x14ac:dyDescent="0.3">
      <c r="A377" t="s">
        <v>3</v>
      </c>
      <c r="B377" t="s">
        <v>89</v>
      </c>
      <c r="C377" t="s">
        <v>43</v>
      </c>
      <c r="D377" t="s">
        <v>90</v>
      </c>
      <c r="E377" t="s">
        <v>9</v>
      </c>
      <c r="F377" s="1">
        <v>9.7912037037037043E-4</v>
      </c>
      <c r="G377" s="37">
        <v>2.12</v>
      </c>
      <c r="H377">
        <v>3.36</v>
      </c>
      <c r="I377" s="37">
        <v>0.83199999999999996</v>
      </c>
      <c r="J377">
        <f t="shared" si="5"/>
        <v>2.7955199999999998</v>
      </c>
    </row>
    <row r="378" spans="1:10" x14ac:dyDescent="0.3">
      <c r="A378" t="s">
        <v>3</v>
      </c>
      <c r="B378" t="s">
        <v>89</v>
      </c>
      <c r="C378" t="s">
        <v>43</v>
      </c>
      <c r="D378" t="s">
        <v>90</v>
      </c>
      <c r="E378" t="s">
        <v>10</v>
      </c>
      <c r="F378" s="1">
        <v>9.6689814814814804E-4</v>
      </c>
      <c r="G378" s="37">
        <v>2.14</v>
      </c>
      <c r="H378">
        <v>3.4</v>
      </c>
      <c r="I378" s="37">
        <v>0.83199999999999996</v>
      </c>
      <c r="J378">
        <f t="shared" si="5"/>
        <v>2.8287999999999998</v>
      </c>
    </row>
    <row r="379" spans="1:10" x14ac:dyDescent="0.3">
      <c r="A379" t="s">
        <v>3</v>
      </c>
      <c r="B379" t="s">
        <v>89</v>
      </c>
      <c r="C379" t="s">
        <v>43</v>
      </c>
      <c r="D379" t="s">
        <v>90</v>
      </c>
      <c r="E379" t="s">
        <v>15</v>
      </c>
      <c r="F379" s="1">
        <v>9.7245370370370367E-4</v>
      </c>
      <c r="G379" s="37">
        <v>2.17</v>
      </c>
      <c r="H379">
        <v>3.43</v>
      </c>
      <c r="I379" s="37">
        <v>0.83199999999999996</v>
      </c>
      <c r="J379">
        <f t="shared" si="5"/>
        <v>2.8537599999999999</v>
      </c>
    </row>
    <row r="380" spans="1:10" x14ac:dyDescent="0.3">
      <c r="A380" t="s">
        <v>3</v>
      </c>
      <c r="B380" t="s">
        <v>89</v>
      </c>
      <c r="C380" t="s">
        <v>43</v>
      </c>
      <c r="D380" t="s">
        <v>90</v>
      </c>
      <c r="E380" t="s">
        <v>16</v>
      </c>
      <c r="F380" s="1">
        <v>9.6784722222222226E-4</v>
      </c>
      <c r="G380" s="37">
        <v>2.1800000000000002</v>
      </c>
      <c r="H380">
        <v>3.43</v>
      </c>
      <c r="I380" s="37">
        <v>0.83199999999999996</v>
      </c>
      <c r="J380">
        <f t="shared" si="5"/>
        <v>2.8537599999999999</v>
      </c>
    </row>
    <row r="381" spans="1:10" x14ac:dyDescent="0.3">
      <c r="A381" t="s">
        <v>3</v>
      </c>
      <c r="B381" t="s">
        <v>89</v>
      </c>
      <c r="C381" t="s">
        <v>43</v>
      </c>
      <c r="D381" t="s">
        <v>90</v>
      </c>
      <c r="E381" t="s">
        <v>17</v>
      </c>
      <c r="F381" s="1">
        <v>9.6991898148148154E-4</v>
      </c>
      <c r="G381" s="37">
        <v>2.14</v>
      </c>
      <c r="H381">
        <v>3.39</v>
      </c>
      <c r="I381" s="37">
        <v>0.83199999999999996</v>
      </c>
      <c r="J381">
        <f t="shared" si="5"/>
        <v>2.8204799999999999</v>
      </c>
    </row>
    <row r="382" spans="1:10" x14ac:dyDescent="0.3">
      <c r="A382" t="s">
        <v>3</v>
      </c>
      <c r="B382" t="s">
        <v>89</v>
      </c>
      <c r="C382" t="s">
        <v>43</v>
      </c>
      <c r="D382" t="s">
        <v>90</v>
      </c>
      <c r="E382" t="s">
        <v>18</v>
      </c>
      <c r="F382" s="1">
        <v>1.004085648148148E-3</v>
      </c>
      <c r="G382" s="37">
        <v>2.09</v>
      </c>
      <c r="H382">
        <v>3.31</v>
      </c>
      <c r="I382" s="37">
        <v>0.83199999999999996</v>
      </c>
      <c r="J382">
        <f t="shared" si="5"/>
        <v>2.7539199999999999</v>
      </c>
    </row>
    <row r="383" spans="1:10" x14ac:dyDescent="0.3">
      <c r="A383" t="s">
        <v>3</v>
      </c>
      <c r="B383" t="s">
        <v>89</v>
      </c>
      <c r="C383" t="s">
        <v>43</v>
      </c>
      <c r="D383" t="s">
        <v>90</v>
      </c>
      <c r="E383" t="s">
        <v>19</v>
      </c>
      <c r="F383" s="1">
        <v>9.7439814814814817E-4</v>
      </c>
      <c r="G383" s="37">
        <v>2.17</v>
      </c>
      <c r="H383">
        <v>3.43</v>
      </c>
      <c r="I383" s="37">
        <v>0.83199999999999996</v>
      </c>
      <c r="J383">
        <f t="shared" si="5"/>
        <v>2.8537599999999999</v>
      </c>
    </row>
    <row r="384" spans="1:10" x14ac:dyDescent="0.3">
      <c r="A384" t="s">
        <v>3</v>
      </c>
      <c r="B384" t="s">
        <v>89</v>
      </c>
      <c r="C384" t="s">
        <v>43</v>
      </c>
      <c r="D384" t="s">
        <v>90</v>
      </c>
      <c r="E384" t="s">
        <v>45</v>
      </c>
      <c r="F384" s="1">
        <v>9.7012731481481483E-4</v>
      </c>
      <c r="G384" s="37">
        <v>2.21</v>
      </c>
      <c r="H384">
        <v>3.49</v>
      </c>
      <c r="I384" s="37">
        <v>0.83199999999999996</v>
      </c>
      <c r="J384">
        <f t="shared" si="5"/>
        <v>2.90368</v>
      </c>
    </row>
    <row r="385" spans="1:10" x14ac:dyDescent="0.3">
      <c r="A385" t="s">
        <v>3</v>
      </c>
      <c r="B385" t="s">
        <v>89</v>
      </c>
      <c r="C385" t="s">
        <v>43</v>
      </c>
      <c r="D385" t="s">
        <v>90</v>
      </c>
      <c r="E385" t="s">
        <v>46</v>
      </c>
      <c r="F385" s="1">
        <v>9.7384259259259255E-4</v>
      </c>
      <c r="G385" s="37">
        <v>2.21</v>
      </c>
      <c r="H385">
        <v>3.47</v>
      </c>
      <c r="I385" s="37">
        <v>0.83199999999999996</v>
      </c>
      <c r="J385">
        <f t="shared" si="5"/>
        <v>2.8870399999999998</v>
      </c>
    </row>
    <row r="386" spans="1:10" x14ac:dyDescent="0.3">
      <c r="A386" t="s">
        <v>3</v>
      </c>
      <c r="B386" t="s">
        <v>89</v>
      </c>
      <c r="C386" t="s">
        <v>43</v>
      </c>
      <c r="D386" t="s">
        <v>90</v>
      </c>
      <c r="E386" t="s">
        <v>47</v>
      </c>
      <c r="F386" s="1">
        <v>9.7355324074074065E-4</v>
      </c>
      <c r="G386" s="37">
        <v>2.2000000000000002</v>
      </c>
      <c r="H386">
        <v>3.44</v>
      </c>
      <c r="I386" s="37">
        <v>0.83199999999999996</v>
      </c>
      <c r="J386">
        <f t="shared" si="5"/>
        <v>2.8620799999999997</v>
      </c>
    </row>
    <row r="387" spans="1:10" x14ac:dyDescent="0.3">
      <c r="A387" t="s">
        <v>3</v>
      </c>
      <c r="B387" t="s">
        <v>89</v>
      </c>
      <c r="C387" t="s">
        <v>43</v>
      </c>
      <c r="D387" t="s">
        <v>90</v>
      </c>
      <c r="E387" t="s">
        <v>48</v>
      </c>
      <c r="F387" s="1">
        <v>9.745370370370371E-4</v>
      </c>
      <c r="G387" s="37">
        <v>2.19</v>
      </c>
      <c r="H387">
        <v>3.44</v>
      </c>
      <c r="I387" s="37">
        <v>0.83199999999999996</v>
      </c>
      <c r="J387">
        <f t="shared" si="5"/>
        <v>2.8620799999999997</v>
      </c>
    </row>
    <row r="388" spans="1:10" x14ac:dyDescent="0.3">
      <c r="A388" t="s">
        <v>3</v>
      </c>
      <c r="B388" t="s">
        <v>89</v>
      </c>
      <c r="C388" t="s">
        <v>43</v>
      </c>
      <c r="D388" t="s">
        <v>90</v>
      </c>
      <c r="E388" t="s">
        <v>49</v>
      </c>
      <c r="F388" s="1">
        <v>9.779050925925925E-4</v>
      </c>
      <c r="G388" s="37">
        <v>2.1800000000000002</v>
      </c>
      <c r="H388">
        <v>3.44</v>
      </c>
      <c r="I388" s="37">
        <v>0.83199999999999996</v>
      </c>
      <c r="J388">
        <f t="shared" ref="J388:J451" si="6">H388*I388</f>
        <v>2.8620799999999997</v>
      </c>
    </row>
    <row r="389" spans="1:10" x14ac:dyDescent="0.3">
      <c r="A389" t="s">
        <v>3</v>
      </c>
      <c r="B389" t="s">
        <v>89</v>
      </c>
      <c r="C389" t="s">
        <v>43</v>
      </c>
      <c r="D389" t="s">
        <v>90</v>
      </c>
      <c r="E389" t="s">
        <v>50</v>
      </c>
      <c r="F389" s="1">
        <v>9.7876157407407395E-4</v>
      </c>
      <c r="G389" s="37">
        <v>2.17</v>
      </c>
      <c r="H389">
        <v>3.43</v>
      </c>
      <c r="I389" s="37">
        <v>0.83199999999999996</v>
      </c>
      <c r="J389">
        <f t="shared" si="6"/>
        <v>2.8537599999999999</v>
      </c>
    </row>
    <row r="390" spans="1:10" x14ac:dyDescent="0.3">
      <c r="A390" t="s">
        <v>3</v>
      </c>
      <c r="B390" t="s">
        <v>89</v>
      </c>
      <c r="C390" t="s">
        <v>43</v>
      </c>
      <c r="D390" t="s">
        <v>90</v>
      </c>
      <c r="E390" t="s">
        <v>51</v>
      </c>
      <c r="F390" s="1">
        <v>9.7586805555555556E-4</v>
      </c>
      <c r="G390" s="37">
        <v>2.1800000000000002</v>
      </c>
      <c r="H390">
        <v>3.42</v>
      </c>
      <c r="I390" s="37">
        <v>0.83199999999999996</v>
      </c>
      <c r="J390">
        <f t="shared" si="6"/>
        <v>2.84544</v>
      </c>
    </row>
    <row r="391" spans="1:10" x14ac:dyDescent="0.3">
      <c r="A391" t="s">
        <v>3</v>
      </c>
      <c r="B391" t="s">
        <v>89</v>
      </c>
      <c r="C391" t="s">
        <v>43</v>
      </c>
      <c r="D391" t="s">
        <v>90</v>
      </c>
      <c r="E391" t="s">
        <v>52</v>
      </c>
      <c r="F391" s="1">
        <v>9.7501157407407411E-4</v>
      </c>
      <c r="G391" s="37">
        <v>2.16</v>
      </c>
      <c r="H391">
        <v>3.42</v>
      </c>
      <c r="I391" s="37">
        <v>0.83199999999999996</v>
      </c>
      <c r="J391">
        <f t="shared" si="6"/>
        <v>2.84544</v>
      </c>
    </row>
    <row r="392" spans="1:10" x14ac:dyDescent="0.3">
      <c r="A392" t="s">
        <v>3</v>
      </c>
      <c r="B392" t="s">
        <v>89</v>
      </c>
      <c r="C392" t="s">
        <v>43</v>
      </c>
      <c r="D392" t="s">
        <v>90</v>
      </c>
      <c r="E392" t="s">
        <v>53</v>
      </c>
      <c r="F392" s="1">
        <v>9.759837962962963E-4</v>
      </c>
      <c r="G392" s="37">
        <v>2.16</v>
      </c>
      <c r="H392">
        <v>3.41</v>
      </c>
      <c r="I392" s="37">
        <v>0.83199999999999996</v>
      </c>
      <c r="J392">
        <f t="shared" si="6"/>
        <v>2.8371200000000001</v>
      </c>
    </row>
    <row r="393" spans="1:10" x14ac:dyDescent="0.3">
      <c r="A393" t="s">
        <v>3</v>
      </c>
      <c r="B393" t="s">
        <v>89</v>
      </c>
      <c r="C393" t="s">
        <v>43</v>
      </c>
      <c r="D393" t="s">
        <v>90</v>
      </c>
      <c r="E393" t="s">
        <v>54</v>
      </c>
      <c r="F393" s="1">
        <v>9.8049768518518516E-4</v>
      </c>
      <c r="G393" s="37">
        <v>2.15</v>
      </c>
      <c r="H393">
        <v>3.39</v>
      </c>
      <c r="I393" s="37">
        <v>0.83199999999999996</v>
      </c>
      <c r="J393">
        <f t="shared" si="6"/>
        <v>2.8204799999999999</v>
      </c>
    </row>
    <row r="394" spans="1:10" x14ac:dyDescent="0.3">
      <c r="A394" t="s">
        <v>3</v>
      </c>
      <c r="B394" t="s">
        <v>89</v>
      </c>
      <c r="C394" t="s">
        <v>43</v>
      </c>
      <c r="D394" t="s">
        <v>90</v>
      </c>
      <c r="E394" t="s">
        <v>56</v>
      </c>
      <c r="F394" s="1">
        <v>9.5920138888888889E-4</v>
      </c>
      <c r="G394" s="37">
        <v>2.2000000000000002</v>
      </c>
      <c r="H394">
        <v>3.47</v>
      </c>
      <c r="I394" s="37">
        <v>0.83199999999999996</v>
      </c>
      <c r="J394">
        <f t="shared" si="6"/>
        <v>2.8870399999999998</v>
      </c>
    </row>
    <row r="395" spans="1:10" x14ac:dyDescent="0.3">
      <c r="A395" t="s">
        <v>3</v>
      </c>
      <c r="B395" t="s">
        <v>89</v>
      </c>
      <c r="C395" t="s">
        <v>43</v>
      </c>
      <c r="D395" t="s">
        <v>90</v>
      </c>
      <c r="E395" t="s">
        <v>57</v>
      </c>
      <c r="F395" s="1">
        <v>9.588078703703705E-4</v>
      </c>
      <c r="G395" s="37">
        <v>2.21</v>
      </c>
      <c r="H395">
        <v>3.47</v>
      </c>
      <c r="I395" s="37">
        <v>0.83199999999999996</v>
      </c>
      <c r="J395">
        <f t="shared" si="6"/>
        <v>2.8870399999999998</v>
      </c>
    </row>
    <row r="396" spans="1:10" x14ac:dyDescent="0.3">
      <c r="A396" t="s">
        <v>3</v>
      </c>
      <c r="B396" t="s">
        <v>89</v>
      </c>
      <c r="C396" t="s">
        <v>43</v>
      </c>
      <c r="D396" t="s">
        <v>90</v>
      </c>
      <c r="E396" t="s">
        <v>58</v>
      </c>
      <c r="F396" s="1">
        <v>9.6152777777777773E-4</v>
      </c>
      <c r="G396" s="37">
        <v>2.19</v>
      </c>
      <c r="H396">
        <v>3.47</v>
      </c>
      <c r="I396" s="37">
        <v>0.83199999999999996</v>
      </c>
      <c r="J396">
        <f t="shared" si="6"/>
        <v>2.8870399999999998</v>
      </c>
    </row>
    <row r="397" spans="1:10" x14ac:dyDescent="0.3">
      <c r="A397" t="s">
        <v>3</v>
      </c>
      <c r="B397" t="s">
        <v>89</v>
      </c>
      <c r="C397" t="s">
        <v>43</v>
      </c>
      <c r="D397" t="s">
        <v>90</v>
      </c>
      <c r="E397" t="s">
        <v>72</v>
      </c>
      <c r="F397" s="1">
        <v>9.6099537037037041E-4</v>
      </c>
      <c r="G397" s="37">
        <v>2.16</v>
      </c>
      <c r="H397">
        <v>3.43</v>
      </c>
      <c r="I397" s="37">
        <v>0.83199999999999996</v>
      </c>
      <c r="J397">
        <f t="shared" si="6"/>
        <v>2.8537599999999999</v>
      </c>
    </row>
    <row r="398" spans="1:10" x14ac:dyDescent="0.3">
      <c r="A398" t="s">
        <v>3</v>
      </c>
      <c r="B398" t="s">
        <v>89</v>
      </c>
      <c r="C398" t="s">
        <v>43</v>
      </c>
      <c r="D398" t="s">
        <v>90</v>
      </c>
      <c r="E398" t="s">
        <v>59</v>
      </c>
      <c r="F398" s="1">
        <v>9.6469907407407398E-4</v>
      </c>
      <c r="G398" s="37">
        <v>2.16</v>
      </c>
      <c r="H398">
        <v>3.43</v>
      </c>
      <c r="I398" s="37">
        <v>0.83199999999999996</v>
      </c>
      <c r="J398">
        <f t="shared" si="6"/>
        <v>2.8537599999999999</v>
      </c>
    </row>
    <row r="399" spans="1:10" x14ac:dyDescent="0.3">
      <c r="A399" t="s">
        <v>3</v>
      </c>
      <c r="B399" t="s">
        <v>89</v>
      </c>
      <c r="C399" t="s">
        <v>43</v>
      </c>
      <c r="D399" t="s">
        <v>90</v>
      </c>
      <c r="E399" t="s">
        <v>60</v>
      </c>
      <c r="F399" s="1">
        <v>9.6408564814814816E-4</v>
      </c>
      <c r="G399" s="37">
        <v>2.16</v>
      </c>
      <c r="H399">
        <v>3.42</v>
      </c>
      <c r="I399" s="37">
        <v>0.83199999999999996</v>
      </c>
      <c r="J399">
        <f t="shared" si="6"/>
        <v>2.84544</v>
      </c>
    </row>
    <row r="400" spans="1:10" x14ac:dyDescent="0.3">
      <c r="A400" t="s">
        <v>3</v>
      </c>
      <c r="B400" t="s">
        <v>89</v>
      </c>
      <c r="C400" t="s">
        <v>43</v>
      </c>
      <c r="D400" t="s">
        <v>90</v>
      </c>
      <c r="E400" t="s">
        <v>61</v>
      </c>
      <c r="F400" s="1">
        <v>9.6770833333333333E-4</v>
      </c>
      <c r="G400" s="37">
        <v>2.16</v>
      </c>
      <c r="H400">
        <v>3.41</v>
      </c>
      <c r="I400" s="37">
        <v>0.83199999999999996</v>
      </c>
      <c r="J400">
        <f t="shared" si="6"/>
        <v>2.8371200000000001</v>
      </c>
    </row>
    <row r="401" spans="1:10" x14ac:dyDescent="0.3">
      <c r="A401" t="s">
        <v>3</v>
      </c>
      <c r="B401" t="s">
        <v>89</v>
      </c>
      <c r="C401" t="s">
        <v>43</v>
      </c>
      <c r="D401" t="s">
        <v>90</v>
      </c>
      <c r="E401" t="s">
        <v>62</v>
      </c>
      <c r="F401" s="1">
        <v>9.6967592592592591E-4</v>
      </c>
      <c r="G401" s="37">
        <v>2.19</v>
      </c>
      <c r="H401">
        <v>3.47</v>
      </c>
      <c r="I401" s="37">
        <v>0.83199999999999996</v>
      </c>
      <c r="J401">
        <f t="shared" si="6"/>
        <v>2.8870399999999998</v>
      </c>
    </row>
    <row r="402" spans="1:10" x14ac:dyDescent="0.3">
      <c r="A402" t="s">
        <v>3</v>
      </c>
      <c r="B402" t="s">
        <v>89</v>
      </c>
      <c r="C402" t="s">
        <v>43</v>
      </c>
      <c r="D402" t="s">
        <v>90</v>
      </c>
      <c r="E402" t="s">
        <v>63</v>
      </c>
      <c r="F402" s="1">
        <v>9.6643518518518519E-4</v>
      </c>
      <c r="G402" s="37">
        <v>2.17</v>
      </c>
      <c r="H402">
        <v>3.42</v>
      </c>
      <c r="I402" s="37">
        <v>0.83199999999999996</v>
      </c>
      <c r="J402">
        <f t="shared" si="6"/>
        <v>2.84544</v>
      </c>
    </row>
    <row r="403" spans="1:10" x14ac:dyDescent="0.3">
      <c r="A403" t="s">
        <v>3</v>
      </c>
      <c r="B403" t="s">
        <v>89</v>
      </c>
      <c r="C403" t="s">
        <v>43</v>
      </c>
      <c r="D403" t="s">
        <v>90</v>
      </c>
      <c r="E403" t="s">
        <v>64</v>
      </c>
      <c r="F403" s="1">
        <v>9.6859953703703702E-4</v>
      </c>
      <c r="G403" s="37">
        <v>2.15</v>
      </c>
      <c r="H403">
        <v>3.4</v>
      </c>
      <c r="I403" s="37">
        <v>0.83199999999999996</v>
      </c>
      <c r="J403">
        <f t="shared" si="6"/>
        <v>2.8287999999999998</v>
      </c>
    </row>
    <row r="404" spans="1:10" x14ac:dyDescent="0.3">
      <c r="A404" t="s">
        <v>3</v>
      </c>
      <c r="B404" t="s">
        <v>89</v>
      </c>
      <c r="C404" t="s">
        <v>43</v>
      </c>
      <c r="D404" t="s">
        <v>90</v>
      </c>
      <c r="E404" t="s">
        <v>65</v>
      </c>
      <c r="F404" s="1">
        <v>9.6938657407407401E-4</v>
      </c>
      <c r="G404" s="37">
        <v>2.14</v>
      </c>
      <c r="H404">
        <v>3.39</v>
      </c>
      <c r="I404" s="37">
        <v>0.83199999999999996</v>
      </c>
      <c r="J404">
        <f t="shared" si="6"/>
        <v>2.8204799999999999</v>
      </c>
    </row>
    <row r="405" spans="1:10" x14ac:dyDescent="0.3">
      <c r="A405" t="s">
        <v>3</v>
      </c>
      <c r="B405" t="s">
        <v>89</v>
      </c>
      <c r="C405" t="s">
        <v>43</v>
      </c>
      <c r="D405" t="s">
        <v>90</v>
      </c>
      <c r="E405" t="s">
        <v>66</v>
      </c>
      <c r="F405" s="1">
        <v>9.6962962962962964E-4</v>
      </c>
      <c r="G405" s="37">
        <v>2.13</v>
      </c>
      <c r="H405">
        <v>3.4</v>
      </c>
      <c r="I405" s="37">
        <v>0.83199999999999996</v>
      </c>
      <c r="J405">
        <f t="shared" si="6"/>
        <v>2.8287999999999998</v>
      </c>
    </row>
    <row r="406" spans="1:10" x14ac:dyDescent="0.3">
      <c r="A406" t="s">
        <v>3</v>
      </c>
      <c r="B406" t="s">
        <v>89</v>
      </c>
      <c r="C406" t="s">
        <v>43</v>
      </c>
      <c r="D406" t="s">
        <v>90</v>
      </c>
      <c r="E406" t="s">
        <v>67</v>
      </c>
      <c r="F406" s="1">
        <v>9.7277777777777781E-4</v>
      </c>
      <c r="G406" s="37">
        <v>2.12</v>
      </c>
      <c r="H406">
        <v>3.35</v>
      </c>
      <c r="I406" s="37">
        <v>0.83199999999999996</v>
      </c>
      <c r="J406">
        <f t="shared" si="6"/>
        <v>2.7871999999999999</v>
      </c>
    </row>
    <row r="407" spans="1:10" x14ac:dyDescent="0.3">
      <c r="A407" t="s">
        <v>3</v>
      </c>
      <c r="B407" t="s">
        <v>89</v>
      </c>
      <c r="C407" t="s">
        <v>43</v>
      </c>
      <c r="D407" t="s">
        <v>90</v>
      </c>
      <c r="E407" t="s">
        <v>68</v>
      </c>
      <c r="F407" s="1">
        <v>9.7333333333333343E-4</v>
      </c>
      <c r="G407" s="37">
        <v>2.16</v>
      </c>
      <c r="H407">
        <v>3.43</v>
      </c>
      <c r="I407" s="37">
        <v>0.83199999999999996</v>
      </c>
      <c r="J407">
        <f t="shared" si="6"/>
        <v>2.8537599999999999</v>
      </c>
    </row>
    <row r="408" spans="1:10" x14ac:dyDescent="0.3">
      <c r="A408" t="s">
        <v>3</v>
      </c>
      <c r="B408" t="s">
        <v>89</v>
      </c>
      <c r="C408" t="s">
        <v>43</v>
      </c>
      <c r="D408" t="s">
        <v>90</v>
      </c>
      <c r="E408" t="s">
        <v>69</v>
      </c>
      <c r="F408" s="1">
        <v>9.7418981481481488E-4</v>
      </c>
      <c r="G408" s="37">
        <v>2.13</v>
      </c>
      <c r="H408">
        <v>3.38</v>
      </c>
      <c r="I408" s="37">
        <v>0.83199999999999996</v>
      </c>
      <c r="J408">
        <f t="shared" si="6"/>
        <v>2.81216</v>
      </c>
    </row>
    <row r="409" spans="1:10" x14ac:dyDescent="0.3">
      <c r="A409" t="s">
        <v>3</v>
      </c>
      <c r="B409" t="s">
        <v>89</v>
      </c>
      <c r="C409" t="s">
        <v>43</v>
      </c>
      <c r="D409" t="s">
        <v>90</v>
      </c>
      <c r="E409" t="s">
        <v>70</v>
      </c>
      <c r="F409" s="1">
        <v>9.7408564814814818E-4</v>
      </c>
      <c r="G409" s="37">
        <v>2.08</v>
      </c>
      <c r="H409">
        <v>3.3</v>
      </c>
      <c r="I409" s="37">
        <v>0.83199999999999996</v>
      </c>
      <c r="J409">
        <f t="shared" si="6"/>
        <v>2.7455999999999996</v>
      </c>
    </row>
    <row r="410" spans="1:10" x14ac:dyDescent="0.3">
      <c r="A410" t="s">
        <v>3</v>
      </c>
      <c r="B410" t="s">
        <v>89</v>
      </c>
      <c r="C410" t="s">
        <v>43</v>
      </c>
      <c r="D410" t="s">
        <v>90</v>
      </c>
      <c r="E410" t="s">
        <v>71</v>
      </c>
      <c r="F410" s="1">
        <v>9.7857638888888907E-4</v>
      </c>
      <c r="G410" s="37">
        <v>2.08</v>
      </c>
      <c r="H410">
        <v>3.3</v>
      </c>
      <c r="I410" s="37">
        <v>0.83199999999999996</v>
      </c>
      <c r="J410">
        <f t="shared" si="6"/>
        <v>2.7455999999999996</v>
      </c>
    </row>
    <row r="411" spans="1:10" x14ac:dyDescent="0.3">
      <c r="A411" t="s">
        <v>3</v>
      </c>
      <c r="B411" t="s">
        <v>91</v>
      </c>
      <c r="C411" t="s">
        <v>43</v>
      </c>
      <c r="D411" t="s">
        <v>92</v>
      </c>
      <c r="E411" t="s">
        <v>9</v>
      </c>
      <c r="F411" s="1">
        <v>9.9114583333333346E-4</v>
      </c>
      <c r="G411" s="37">
        <v>2.17</v>
      </c>
      <c r="H411">
        <v>2.71</v>
      </c>
      <c r="I411" s="37">
        <v>1.032</v>
      </c>
      <c r="J411">
        <f t="shared" si="6"/>
        <v>2.7967200000000001</v>
      </c>
    </row>
    <row r="412" spans="1:10" x14ac:dyDescent="0.3">
      <c r="A412" t="s">
        <v>3</v>
      </c>
      <c r="B412" t="s">
        <v>91</v>
      </c>
      <c r="C412" t="s">
        <v>43</v>
      </c>
      <c r="D412" t="s">
        <v>92</v>
      </c>
      <c r="E412" t="s">
        <v>10</v>
      </c>
      <c r="F412" s="1">
        <v>9.8136574074074055E-4</v>
      </c>
      <c r="G412" s="37">
        <v>2.21</v>
      </c>
      <c r="H412">
        <v>2.77</v>
      </c>
      <c r="I412" s="37">
        <v>1.032</v>
      </c>
      <c r="J412">
        <f t="shared" si="6"/>
        <v>2.8586400000000003</v>
      </c>
    </row>
    <row r="413" spans="1:10" x14ac:dyDescent="0.3">
      <c r="A413" t="s">
        <v>3</v>
      </c>
      <c r="B413" t="s">
        <v>91</v>
      </c>
      <c r="C413" t="s">
        <v>43</v>
      </c>
      <c r="D413" t="s">
        <v>92</v>
      </c>
      <c r="E413" t="s">
        <v>15</v>
      </c>
      <c r="F413" s="1">
        <v>1.0032986111111111E-3</v>
      </c>
      <c r="G413" s="37">
        <v>2.2799999999999998</v>
      </c>
      <c r="H413">
        <v>2.84</v>
      </c>
      <c r="I413" s="37">
        <v>1.032</v>
      </c>
      <c r="J413">
        <f t="shared" si="6"/>
        <v>2.9308800000000002</v>
      </c>
    </row>
    <row r="414" spans="1:10" x14ac:dyDescent="0.3">
      <c r="A414" t="s">
        <v>3</v>
      </c>
      <c r="B414" t="s">
        <v>91</v>
      </c>
      <c r="C414" t="s">
        <v>43</v>
      </c>
      <c r="D414" t="s">
        <v>92</v>
      </c>
      <c r="E414" t="s">
        <v>17</v>
      </c>
      <c r="F414" s="1">
        <v>9.921296296296297E-4</v>
      </c>
      <c r="G414" s="37">
        <v>2.19</v>
      </c>
      <c r="H414">
        <v>2.75</v>
      </c>
      <c r="I414" s="37">
        <v>1.032</v>
      </c>
      <c r="J414">
        <f t="shared" si="6"/>
        <v>2.8380000000000001</v>
      </c>
    </row>
    <row r="415" spans="1:10" x14ac:dyDescent="0.3">
      <c r="A415" t="s">
        <v>3</v>
      </c>
      <c r="B415" t="s">
        <v>91</v>
      </c>
      <c r="C415" t="s">
        <v>43</v>
      </c>
      <c r="D415" t="s">
        <v>92</v>
      </c>
      <c r="E415" t="s">
        <v>18</v>
      </c>
      <c r="F415" s="1">
        <v>9.811921296296296E-4</v>
      </c>
      <c r="G415" s="37">
        <v>2.25</v>
      </c>
      <c r="H415">
        <v>2.82</v>
      </c>
      <c r="I415" s="37">
        <v>1.032</v>
      </c>
      <c r="J415">
        <f t="shared" si="6"/>
        <v>2.9102399999999999</v>
      </c>
    </row>
    <row r="416" spans="1:10" x14ac:dyDescent="0.3">
      <c r="A416" t="s">
        <v>3</v>
      </c>
      <c r="B416" t="s">
        <v>91</v>
      </c>
      <c r="C416" t="s">
        <v>43</v>
      </c>
      <c r="D416" t="s">
        <v>92</v>
      </c>
      <c r="E416" t="s">
        <v>19</v>
      </c>
      <c r="F416" s="1">
        <v>9.849537037037036E-4</v>
      </c>
      <c r="G416" s="37">
        <v>2.2599999999999998</v>
      </c>
      <c r="H416">
        <v>2.83</v>
      </c>
      <c r="I416" s="37">
        <v>1.032</v>
      </c>
      <c r="J416">
        <f t="shared" si="6"/>
        <v>2.92056</v>
      </c>
    </row>
    <row r="417" spans="1:10" x14ac:dyDescent="0.3">
      <c r="A417" t="s">
        <v>3</v>
      </c>
      <c r="B417" t="s">
        <v>91</v>
      </c>
      <c r="C417" t="s">
        <v>43</v>
      </c>
      <c r="D417" t="s">
        <v>92</v>
      </c>
      <c r="E417" t="s">
        <v>45</v>
      </c>
      <c r="F417" s="1">
        <v>9.8530092592592593E-4</v>
      </c>
      <c r="G417" s="37">
        <v>2.2599999999999998</v>
      </c>
      <c r="H417">
        <v>2.83</v>
      </c>
      <c r="I417" s="37">
        <v>1.032</v>
      </c>
      <c r="J417">
        <f t="shared" si="6"/>
        <v>2.92056</v>
      </c>
    </row>
    <row r="418" spans="1:10" x14ac:dyDescent="0.3">
      <c r="A418" t="s">
        <v>3</v>
      </c>
      <c r="B418" t="s">
        <v>91</v>
      </c>
      <c r="C418" t="s">
        <v>43</v>
      </c>
      <c r="D418" t="s">
        <v>92</v>
      </c>
      <c r="E418" t="s">
        <v>46</v>
      </c>
      <c r="F418" s="1">
        <v>9.8541666666666678E-4</v>
      </c>
      <c r="G418" s="37">
        <v>2.2599999999999998</v>
      </c>
      <c r="H418">
        <v>2.82</v>
      </c>
      <c r="I418" s="37">
        <v>1.032</v>
      </c>
      <c r="J418">
        <f t="shared" si="6"/>
        <v>2.9102399999999999</v>
      </c>
    </row>
    <row r="419" spans="1:10" x14ac:dyDescent="0.3">
      <c r="A419" t="s">
        <v>3</v>
      </c>
      <c r="B419" t="s">
        <v>91</v>
      </c>
      <c r="C419" t="s">
        <v>43</v>
      </c>
      <c r="D419" t="s">
        <v>92</v>
      </c>
      <c r="E419" t="s">
        <v>47</v>
      </c>
      <c r="F419" s="1">
        <v>9.8368055555555557E-4</v>
      </c>
      <c r="G419" s="37">
        <v>2.2599999999999998</v>
      </c>
      <c r="H419">
        <v>2.83</v>
      </c>
      <c r="I419" s="37">
        <v>1.032</v>
      </c>
      <c r="J419">
        <f t="shared" si="6"/>
        <v>2.92056</v>
      </c>
    </row>
    <row r="420" spans="1:10" x14ac:dyDescent="0.3">
      <c r="A420" t="s">
        <v>3</v>
      </c>
      <c r="B420" t="s">
        <v>91</v>
      </c>
      <c r="C420" t="s">
        <v>43</v>
      </c>
      <c r="D420" t="s">
        <v>92</v>
      </c>
      <c r="E420" t="s">
        <v>49</v>
      </c>
      <c r="F420" s="1">
        <v>9.7564814814814801E-4</v>
      </c>
      <c r="G420" s="37">
        <v>2.2599999999999998</v>
      </c>
      <c r="H420">
        <v>2.82</v>
      </c>
      <c r="I420" s="37">
        <v>1.032</v>
      </c>
      <c r="J420">
        <f t="shared" si="6"/>
        <v>2.9102399999999999</v>
      </c>
    </row>
    <row r="421" spans="1:10" x14ac:dyDescent="0.3">
      <c r="A421" t="s">
        <v>3</v>
      </c>
      <c r="B421" t="s">
        <v>91</v>
      </c>
      <c r="C421" t="s">
        <v>43</v>
      </c>
      <c r="D421" t="s">
        <v>92</v>
      </c>
      <c r="E421" t="s">
        <v>50</v>
      </c>
      <c r="F421" s="1">
        <v>9.7638888888888884E-4</v>
      </c>
      <c r="G421" s="37">
        <v>2.27</v>
      </c>
      <c r="H421">
        <v>2.83</v>
      </c>
      <c r="I421" s="37">
        <v>1.032</v>
      </c>
      <c r="J421">
        <f t="shared" si="6"/>
        <v>2.92056</v>
      </c>
    </row>
    <row r="422" spans="1:10" x14ac:dyDescent="0.3">
      <c r="A422" t="s">
        <v>3</v>
      </c>
      <c r="B422" t="s">
        <v>91</v>
      </c>
      <c r="C422" t="s">
        <v>43</v>
      </c>
      <c r="D422" t="s">
        <v>92</v>
      </c>
      <c r="E422" t="s">
        <v>51</v>
      </c>
      <c r="F422" s="1">
        <v>9.7792824074074058E-4</v>
      </c>
      <c r="G422" s="37">
        <v>2.25</v>
      </c>
      <c r="H422">
        <v>2.81</v>
      </c>
      <c r="I422" s="37">
        <v>1.032</v>
      </c>
      <c r="J422">
        <f t="shared" si="6"/>
        <v>2.8999200000000003</v>
      </c>
    </row>
    <row r="423" spans="1:10" x14ac:dyDescent="0.3">
      <c r="A423" t="s">
        <v>3</v>
      </c>
      <c r="B423" t="s">
        <v>91</v>
      </c>
      <c r="C423" t="s">
        <v>43</v>
      </c>
      <c r="D423" t="s">
        <v>92</v>
      </c>
      <c r="E423" t="s">
        <v>52</v>
      </c>
      <c r="F423" s="1">
        <v>9.7557870370370366E-4</v>
      </c>
      <c r="G423" s="37">
        <v>2.25</v>
      </c>
      <c r="H423">
        <v>2.82</v>
      </c>
      <c r="I423" s="37">
        <v>1.032</v>
      </c>
      <c r="J423">
        <f t="shared" si="6"/>
        <v>2.9102399999999999</v>
      </c>
    </row>
    <row r="424" spans="1:10" x14ac:dyDescent="0.3">
      <c r="A424" t="s">
        <v>3</v>
      </c>
      <c r="B424" t="s">
        <v>91</v>
      </c>
      <c r="C424" t="s">
        <v>43</v>
      </c>
      <c r="D424" t="s">
        <v>92</v>
      </c>
      <c r="E424" t="s">
        <v>53</v>
      </c>
      <c r="F424" s="1">
        <v>9.7732638888888891E-4</v>
      </c>
      <c r="G424" s="37">
        <v>2.2599999999999998</v>
      </c>
      <c r="H424">
        <v>2.82</v>
      </c>
      <c r="I424" s="37">
        <v>1.032</v>
      </c>
      <c r="J424">
        <f t="shared" si="6"/>
        <v>2.9102399999999999</v>
      </c>
    </row>
    <row r="425" spans="1:10" x14ac:dyDescent="0.3">
      <c r="A425" t="s">
        <v>3</v>
      </c>
      <c r="B425" t="s">
        <v>91</v>
      </c>
      <c r="C425" t="s">
        <v>43</v>
      </c>
      <c r="D425" t="s">
        <v>92</v>
      </c>
      <c r="E425" t="s">
        <v>54</v>
      </c>
      <c r="F425" s="1">
        <v>9.751157407407407E-4</v>
      </c>
      <c r="G425" s="37">
        <v>2.23</v>
      </c>
      <c r="H425">
        <v>2.79</v>
      </c>
      <c r="I425" s="37">
        <v>1.032</v>
      </c>
      <c r="J425">
        <f t="shared" si="6"/>
        <v>2.8792800000000001</v>
      </c>
    </row>
    <row r="426" spans="1:10" x14ac:dyDescent="0.3">
      <c r="A426" t="s">
        <v>3</v>
      </c>
      <c r="B426" t="s">
        <v>91</v>
      </c>
      <c r="C426" t="s">
        <v>43</v>
      </c>
      <c r="D426" t="s">
        <v>92</v>
      </c>
      <c r="E426" t="s">
        <v>55</v>
      </c>
      <c r="F426" s="1">
        <v>9.8456018518518532E-4</v>
      </c>
      <c r="G426" s="37">
        <v>2.25</v>
      </c>
      <c r="H426">
        <v>2.82</v>
      </c>
      <c r="I426" s="37">
        <v>1.032</v>
      </c>
      <c r="J426">
        <f t="shared" si="6"/>
        <v>2.9102399999999999</v>
      </c>
    </row>
    <row r="427" spans="1:10" x14ac:dyDescent="0.3">
      <c r="A427" t="s">
        <v>3</v>
      </c>
      <c r="B427" t="s">
        <v>91</v>
      </c>
      <c r="C427" t="s">
        <v>43</v>
      </c>
      <c r="D427" t="s">
        <v>92</v>
      </c>
      <c r="E427" t="s">
        <v>56</v>
      </c>
      <c r="F427" s="1">
        <v>9.7966435185185179E-4</v>
      </c>
      <c r="G427" s="37">
        <v>2.23</v>
      </c>
      <c r="H427">
        <v>2.79</v>
      </c>
      <c r="I427" s="37">
        <v>1.032</v>
      </c>
      <c r="J427">
        <f t="shared" si="6"/>
        <v>2.8792800000000001</v>
      </c>
    </row>
    <row r="428" spans="1:10" x14ac:dyDescent="0.3">
      <c r="A428" t="s">
        <v>3</v>
      </c>
      <c r="B428" t="s">
        <v>91</v>
      </c>
      <c r="C428" t="s">
        <v>43</v>
      </c>
      <c r="D428" t="s">
        <v>92</v>
      </c>
      <c r="E428" t="s">
        <v>57</v>
      </c>
      <c r="F428" s="1">
        <v>9.8461805555555564E-4</v>
      </c>
      <c r="G428" s="37">
        <v>2.17</v>
      </c>
      <c r="H428">
        <v>2.72</v>
      </c>
      <c r="I428" s="37">
        <v>1.032</v>
      </c>
      <c r="J428">
        <f t="shared" si="6"/>
        <v>2.8070400000000002</v>
      </c>
    </row>
    <row r="429" spans="1:10" x14ac:dyDescent="0.3">
      <c r="A429" t="s">
        <v>3</v>
      </c>
      <c r="B429" t="s">
        <v>91</v>
      </c>
      <c r="C429" t="s">
        <v>43</v>
      </c>
      <c r="D429" t="s">
        <v>92</v>
      </c>
      <c r="E429" t="s">
        <v>58</v>
      </c>
      <c r="F429" s="1">
        <v>9.7465277777777784E-4</v>
      </c>
      <c r="G429" s="37">
        <v>2.2000000000000002</v>
      </c>
      <c r="H429">
        <v>2.76</v>
      </c>
      <c r="I429" s="37">
        <v>1.032</v>
      </c>
      <c r="J429">
        <f t="shared" si="6"/>
        <v>2.8483199999999997</v>
      </c>
    </row>
    <row r="430" spans="1:10" x14ac:dyDescent="0.3">
      <c r="A430" t="s">
        <v>3</v>
      </c>
      <c r="B430" t="s">
        <v>91</v>
      </c>
      <c r="C430" t="s">
        <v>43</v>
      </c>
      <c r="D430" t="s">
        <v>92</v>
      </c>
      <c r="E430" t="s">
        <v>72</v>
      </c>
      <c r="F430" s="1">
        <v>9.8166666666666671E-4</v>
      </c>
      <c r="G430" s="37">
        <v>2.15</v>
      </c>
      <c r="H430">
        <v>2.7</v>
      </c>
      <c r="I430" s="37">
        <v>1.032</v>
      </c>
      <c r="J430">
        <f t="shared" si="6"/>
        <v>2.7864000000000004</v>
      </c>
    </row>
    <row r="431" spans="1:10" x14ac:dyDescent="0.3">
      <c r="A431" t="s">
        <v>3</v>
      </c>
      <c r="B431" t="s">
        <v>91</v>
      </c>
      <c r="C431" t="s">
        <v>43</v>
      </c>
      <c r="D431" t="s">
        <v>92</v>
      </c>
      <c r="E431" t="s">
        <v>59</v>
      </c>
      <c r="F431" s="1">
        <v>9.7927083333333351E-4</v>
      </c>
      <c r="G431" s="37">
        <v>2.21</v>
      </c>
      <c r="H431">
        <v>2.77</v>
      </c>
      <c r="I431" s="37">
        <v>1.032</v>
      </c>
      <c r="J431">
        <f t="shared" si="6"/>
        <v>2.8586400000000003</v>
      </c>
    </row>
    <row r="432" spans="1:10" x14ac:dyDescent="0.3">
      <c r="A432" t="s">
        <v>3</v>
      </c>
      <c r="B432" t="s">
        <v>91</v>
      </c>
      <c r="C432" t="s">
        <v>43</v>
      </c>
      <c r="D432" t="s">
        <v>92</v>
      </c>
      <c r="E432" t="s">
        <v>60</v>
      </c>
      <c r="F432" s="1">
        <v>9.8809027777777762E-4</v>
      </c>
      <c r="G432" s="37">
        <v>2.19</v>
      </c>
      <c r="H432">
        <v>2.74</v>
      </c>
      <c r="I432" s="37">
        <v>1.032</v>
      </c>
      <c r="J432">
        <f t="shared" si="6"/>
        <v>2.8276800000000004</v>
      </c>
    </row>
    <row r="433" spans="1:10" x14ac:dyDescent="0.3">
      <c r="A433" t="s">
        <v>3</v>
      </c>
      <c r="B433" t="s">
        <v>91</v>
      </c>
      <c r="C433" t="s">
        <v>43</v>
      </c>
      <c r="D433" t="s">
        <v>92</v>
      </c>
      <c r="E433" t="s">
        <v>61</v>
      </c>
      <c r="F433" s="1">
        <v>9.8565972222222219E-4</v>
      </c>
      <c r="G433" s="37">
        <v>2.17</v>
      </c>
      <c r="H433">
        <v>2.72</v>
      </c>
      <c r="I433" s="37">
        <v>1.032</v>
      </c>
      <c r="J433">
        <f t="shared" si="6"/>
        <v>2.8070400000000002</v>
      </c>
    </row>
    <row r="434" spans="1:10" x14ac:dyDescent="0.3">
      <c r="A434" t="s">
        <v>3</v>
      </c>
      <c r="B434" t="s">
        <v>91</v>
      </c>
      <c r="C434" t="s">
        <v>43</v>
      </c>
      <c r="D434" t="s">
        <v>92</v>
      </c>
      <c r="E434" t="s">
        <v>62</v>
      </c>
      <c r="F434" s="1">
        <v>9.799537037037038E-4</v>
      </c>
      <c r="G434" s="37">
        <v>2.17</v>
      </c>
      <c r="H434">
        <v>2.72</v>
      </c>
      <c r="I434" s="37">
        <v>1.032</v>
      </c>
      <c r="J434">
        <f t="shared" si="6"/>
        <v>2.8070400000000002</v>
      </c>
    </row>
    <row r="435" spans="1:10" x14ac:dyDescent="0.3">
      <c r="A435" t="s">
        <v>3</v>
      </c>
      <c r="B435" t="s">
        <v>91</v>
      </c>
      <c r="C435" t="s">
        <v>43</v>
      </c>
      <c r="D435" t="s">
        <v>92</v>
      </c>
      <c r="E435" t="s">
        <v>63</v>
      </c>
      <c r="F435" s="1">
        <v>9.8924768518518524E-4</v>
      </c>
      <c r="G435" s="37">
        <v>2.1800000000000002</v>
      </c>
      <c r="H435">
        <v>2.73</v>
      </c>
      <c r="I435" s="37">
        <v>1.032</v>
      </c>
      <c r="J435">
        <f t="shared" si="6"/>
        <v>2.8173599999999999</v>
      </c>
    </row>
    <row r="436" spans="1:10" x14ac:dyDescent="0.3">
      <c r="A436" t="s">
        <v>3</v>
      </c>
      <c r="B436" t="s">
        <v>91</v>
      </c>
      <c r="C436" t="s">
        <v>43</v>
      </c>
      <c r="D436" t="s">
        <v>92</v>
      </c>
      <c r="E436" t="s">
        <v>64</v>
      </c>
      <c r="F436" s="1">
        <v>9.7998842592592582E-4</v>
      </c>
      <c r="G436" s="37">
        <v>2.2000000000000002</v>
      </c>
      <c r="H436">
        <v>2.77</v>
      </c>
      <c r="I436" s="37">
        <v>1.032</v>
      </c>
      <c r="J436">
        <f t="shared" si="6"/>
        <v>2.8586400000000003</v>
      </c>
    </row>
    <row r="437" spans="1:10" x14ac:dyDescent="0.3">
      <c r="A437" t="s">
        <v>3</v>
      </c>
      <c r="B437" t="s">
        <v>91</v>
      </c>
      <c r="C437" t="s">
        <v>43</v>
      </c>
      <c r="D437" t="s">
        <v>92</v>
      </c>
      <c r="E437" t="s">
        <v>65</v>
      </c>
      <c r="F437" s="1">
        <v>9.7718749999999997E-4</v>
      </c>
      <c r="G437" s="37">
        <v>2.2000000000000002</v>
      </c>
      <c r="H437">
        <v>2.75</v>
      </c>
      <c r="I437" s="37">
        <v>1.032</v>
      </c>
      <c r="J437">
        <f t="shared" si="6"/>
        <v>2.8380000000000001</v>
      </c>
    </row>
    <row r="438" spans="1:10" x14ac:dyDescent="0.3">
      <c r="A438" t="s">
        <v>3</v>
      </c>
      <c r="B438" t="s">
        <v>91</v>
      </c>
      <c r="C438" t="s">
        <v>43</v>
      </c>
      <c r="D438" t="s">
        <v>92</v>
      </c>
      <c r="E438" t="s">
        <v>66</v>
      </c>
      <c r="F438" s="1">
        <v>9.7990740740740742E-4</v>
      </c>
      <c r="G438" s="37">
        <v>2.21</v>
      </c>
      <c r="H438">
        <v>2.78</v>
      </c>
      <c r="I438" s="37">
        <v>1.032</v>
      </c>
      <c r="J438">
        <f t="shared" si="6"/>
        <v>2.86896</v>
      </c>
    </row>
    <row r="439" spans="1:10" x14ac:dyDescent="0.3">
      <c r="A439" t="s">
        <v>3</v>
      </c>
      <c r="B439" t="s">
        <v>91</v>
      </c>
      <c r="C439" t="s">
        <v>43</v>
      </c>
      <c r="D439" t="s">
        <v>92</v>
      </c>
      <c r="E439" t="s">
        <v>67</v>
      </c>
      <c r="F439" s="1">
        <v>9.7968749999999987E-4</v>
      </c>
      <c r="G439" s="37">
        <v>2.17</v>
      </c>
      <c r="H439">
        <v>2.74</v>
      </c>
      <c r="I439" s="37">
        <v>1.032</v>
      </c>
      <c r="J439">
        <f t="shared" si="6"/>
        <v>2.8276800000000004</v>
      </c>
    </row>
    <row r="440" spans="1:10" x14ac:dyDescent="0.3">
      <c r="A440" t="s">
        <v>3</v>
      </c>
      <c r="B440" t="s">
        <v>91</v>
      </c>
      <c r="C440" t="s">
        <v>43</v>
      </c>
      <c r="D440" t="s">
        <v>92</v>
      </c>
      <c r="E440" t="s">
        <v>68</v>
      </c>
      <c r="F440" s="1">
        <v>9.8084490740740749E-4</v>
      </c>
      <c r="G440" s="37">
        <v>2.2000000000000002</v>
      </c>
      <c r="H440">
        <v>2.76</v>
      </c>
      <c r="I440" s="37">
        <v>1.032</v>
      </c>
      <c r="J440">
        <f t="shared" si="6"/>
        <v>2.8483199999999997</v>
      </c>
    </row>
    <row r="441" spans="1:10" x14ac:dyDescent="0.3">
      <c r="A441" t="s">
        <v>3</v>
      </c>
      <c r="B441" t="s">
        <v>91</v>
      </c>
      <c r="C441" t="s">
        <v>43</v>
      </c>
      <c r="D441" t="s">
        <v>92</v>
      </c>
      <c r="E441" t="s">
        <v>69</v>
      </c>
      <c r="F441" s="1">
        <v>9.7986111111111104E-4</v>
      </c>
      <c r="G441" s="37">
        <v>2.2000000000000002</v>
      </c>
      <c r="H441">
        <v>2.77</v>
      </c>
      <c r="I441" s="37">
        <v>1.032</v>
      </c>
      <c r="J441">
        <f t="shared" si="6"/>
        <v>2.8586400000000003</v>
      </c>
    </row>
    <row r="442" spans="1:10" x14ac:dyDescent="0.3">
      <c r="A442" t="s">
        <v>3</v>
      </c>
      <c r="B442" t="s">
        <v>91</v>
      </c>
      <c r="C442" t="s">
        <v>43</v>
      </c>
      <c r="D442" t="s">
        <v>92</v>
      </c>
      <c r="E442" t="s">
        <v>70</v>
      </c>
      <c r="F442" s="1">
        <v>9.8178240740740734E-4</v>
      </c>
      <c r="G442" s="37">
        <v>2.1800000000000002</v>
      </c>
      <c r="H442">
        <v>2.74</v>
      </c>
      <c r="I442" s="37">
        <v>1.032</v>
      </c>
      <c r="J442">
        <f t="shared" si="6"/>
        <v>2.8276800000000004</v>
      </c>
    </row>
    <row r="443" spans="1:10" x14ac:dyDescent="0.3">
      <c r="A443" t="s">
        <v>3</v>
      </c>
      <c r="B443" t="s">
        <v>91</v>
      </c>
      <c r="C443" t="s">
        <v>43</v>
      </c>
      <c r="D443" t="s">
        <v>92</v>
      </c>
      <c r="E443" t="s">
        <v>71</v>
      </c>
      <c r="F443" s="1">
        <v>9.9298611111111115E-4</v>
      </c>
      <c r="G443" s="37">
        <v>2.12</v>
      </c>
      <c r="H443">
        <v>2.68</v>
      </c>
      <c r="I443" s="37">
        <v>1.032</v>
      </c>
      <c r="J443">
        <f t="shared" si="6"/>
        <v>2.7657600000000002</v>
      </c>
    </row>
    <row r="444" spans="1:10" x14ac:dyDescent="0.3">
      <c r="A444" t="s">
        <v>3</v>
      </c>
      <c r="B444" t="s">
        <v>93</v>
      </c>
      <c r="C444" t="s">
        <v>43</v>
      </c>
      <c r="D444" t="s">
        <v>94</v>
      </c>
      <c r="E444" t="s">
        <v>9</v>
      </c>
      <c r="F444" s="1">
        <v>9.7450231481481487E-4</v>
      </c>
      <c r="G444" s="37">
        <v>2.2999999999999998</v>
      </c>
      <c r="H444">
        <v>2.96</v>
      </c>
      <c r="I444" s="37">
        <v>0.97</v>
      </c>
      <c r="J444">
        <f t="shared" si="6"/>
        <v>2.8712</v>
      </c>
    </row>
    <row r="445" spans="1:10" x14ac:dyDescent="0.3">
      <c r="A445" t="s">
        <v>3</v>
      </c>
      <c r="B445" t="s">
        <v>93</v>
      </c>
      <c r="C445" t="s">
        <v>43</v>
      </c>
      <c r="D445" t="s">
        <v>94</v>
      </c>
      <c r="E445" t="s">
        <v>10</v>
      </c>
      <c r="F445" s="1">
        <v>9.7273148148148143E-4</v>
      </c>
      <c r="G445" s="37">
        <v>2.2799999999999998</v>
      </c>
      <c r="H445">
        <v>2.94</v>
      </c>
      <c r="I445" s="37">
        <v>0.97</v>
      </c>
      <c r="J445">
        <f t="shared" si="6"/>
        <v>2.8517999999999999</v>
      </c>
    </row>
    <row r="446" spans="1:10" x14ac:dyDescent="0.3">
      <c r="A446" t="s">
        <v>3</v>
      </c>
      <c r="B446" t="s">
        <v>93</v>
      </c>
      <c r="C446" t="s">
        <v>43</v>
      </c>
      <c r="D446" t="s">
        <v>94</v>
      </c>
      <c r="E446" t="s">
        <v>15</v>
      </c>
      <c r="F446" s="1">
        <v>9.6679398148148156E-4</v>
      </c>
      <c r="G446" s="37">
        <v>2.3199999999999998</v>
      </c>
      <c r="H446">
        <v>2.98</v>
      </c>
      <c r="I446" s="37">
        <v>0.97</v>
      </c>
      <c r="J446">
        <f t="shared" si="6"/>
        <v>2.8906000000000001</v>
      </c>
    </row>
    <row r="447" spans="1:10" x14ac:dyDescent="0.3">
      <c r="A447" t="s">
        <v>3</v>
      </c>
      <c r="B447" t="s">
        <v>93</v>
      </c>
      <c r="C447" t="s">
        <v>43</v>
      </c>
      <c r="D447" t="s">
        <v>94</v>
      </c>
      <c r="E447" t="s">
        <v>16</v>
      </c>
      <c r="F447" s="1">
        <v>9.6662037037037029E-4</v>
      </c>
      <c r="G447" s="37">
        <v>2.31</v>
      </c>
      <c r="H447">
        <v>2.96</v>
      </c>
      <c r="I447" s="37">
        <v>0.97</v>
      </c>
      <c r="J447">
        <f t="shared" si="6"/>
        <v>2.8712</v>
      </c>
    </row>
    <row r="448" spans="1:10" x14ac:dyDescent="0.3">
      <c r="A448" t="s">
        <v>3</v>
      </c>
      <c r="B448" t="s">
        <v>93</v>
      </c>
      <c r="C448" t="s">
        <v>43</v>
      </c>
      <c r="D448" t="s">
        <v>94</v>
      </c>
      <c r="E448" t="s">
        <v>17</v>
      </c>
      <c r="F448" s="1">
        <v>9.6690972222222219E-4</v>
      </c>
      <c r="G448" s="37">
        <v>2.31</v>
      </c>
      <c r="H448">
        <v>2.96</v>
      </c>
      <c r="I448" s="37">
        <v>0.97</v>
      </c>
      <c r="J448">
        <f t="shared" si="6"/>
        <v>2.8712</v>
      </c>
    </row>
    <row r="449" spans="1:10" x14ac:dyDescent="0.3">
      <c r="A449" t="s">
        <v>3</v>
      </c>
      <c r="B449" t="s">
        <v>93</v>
      </c>
      <c r="C449" t="s">
        <v>43</v>
      </c>
      <c r="D449" t="s">
        <v>94</v>
      </c>
      <c r="E449" t="s">
        <v>18</v>
      </c>
      <c r="F449" s="1">
        <v>9.711458333333333E-4</v>
      </c>
      <c r="G449" s="37">
        <v>2.25</v>
      </c>
      <c r="H449">
        <v>2.95</v>
      </c>
      <c r="I449" s="37">
        <v>0.97</v>
      </c>
      <c r="J449">
        <f t="shared" si="6"/>
        <v>2.8614999999999999</v>
      </c>
    </row>
    <row r="450" spans="1:10" x14ac:dyDescent="0.3">
      <c r="A450" t="s">
        <v>3</v>
      </c>
      <c r="B450" t="s">
        <v>93</v>
      </c>
      <c r="C450" t="s">
        <v>43</v>
      </c>
      <c r="D450" t="s">
        <v>94</v>
      </c>
      <c r="E450" t="s">
        <v>19</v>
      </c>
      <c r="F450" s="1">
        <v>9.7181712962962966E-4</v>
      </c>
      <c r="G450" s="37">
        <v>2.2799999999999998</v>
      </c>
      <c r="H450">
        <v>2.95</v>
      </c>
      <c r="I450" s="37">
        <v>0.97</v>
      </c>
      <c r="J450">
        <f t="shared" si="6"/>
        <v>2.8614999999999999</v>
      </c>
    </row>
    <row r="451" spans="1:10" x14ac:dyDescent="0.3">
      <c r="A451" t="s">
        <v>3</v>
      </c>
      <c r="B451" t="s">
        <v>93</v>
      </c>
      <c r="C451" t="s">
        <v>43</v>
      </c>
      <c r="D451" t="s">
        <v>94</v>
      </c>
      <c r="E451" t="s">
        <v>45</v>
      </c>
      <c r="F451" s="1">
        <v>9.706712962962963E-4</v>
      </c>
      <c r="G451" s="37">
        <v>2.29</v>
      </c>
      <c r="H451">
        <v>2.95</v>
      </c>
      <c r="I451" s="37">
        <v>0.97</v>
      </c>
      <c r="J451">
        <f t="shared" si="6"/>
        <v>2.8614999999999999</v>
      </c>
    </row>
    <row r="452" spans="1:10" x14ac:dyDescent="0.3">
      <c r="A452" t="s">
        <v>3</v>
      </c>
      <c r="B452" t="s">
        <v>93</v>
      </c>
      <c r="C452" t="s">
        <v>43</v>
      </c>
      <c r="D452" t="s">
        <v>94</v>
      </c>
      <c r="E452" t="s">
        <v>46</v>
      </c>
      <c r="F452" s="1">
        <v>9.7037037037037046E-4</v>
      </c>
      <c r="G452" s="37">
        <v>2.2799999999999998</v>
      </c>
      <c r="H452">
        <v>2.94</v>
      </c>
      <c r="I452" s="37">
        <v>0.97</v>
      </c>
      <c r="J452">
        <f t="shared" ref="J452:J515" si="7">H452*I452</f>
        <v>2.8517999999999999</v>
      </c>
    </row>
    <row r="453" spans="1:10" x14ac:dyDescent="0.3">
      <c r="A453" t="s">
        <v>3</v>
      </c>
      <c r="B453" t="s">
        <v>93</v>
      </c>
      <c r="C453" t="s">
        <v>43</v>
      </c>
      <c r="D453" t="s">
        <v>94</v>
      </c>
      <c r="E453" t="s">
        <v>47</v>
      </c>
      <c r="F453" s="1">
        <v>9.7350694444444448E-4</v>
      </c>
      <c r="G453" s="37">
        <v>2.2799999999999998</v>
      </c>
      <c r="H453">
        <v>2.94</v>
      </c>
      <c r="I453" s="37">
        <v>0.97</v>
      </c>
      <c r="J453">
        <f t="shared" si="7"/>
        <v>2.8517999999999999</v>
      </c>
    </row>
    <row r="454" spans="1:10" x14ac:dyDescent="0.3">
      <c r="A454" t="s">
        <v>3</v>
      </c>
      <c r="B454" t="s">
        <v>93</v>
      </c>
      <c r="C454" t="s">
        <v>43</v>
      </c>
      <c r="D454" t="s">
        <v>94</v>
      </c>
      <c r="E454" t="s">
        <v>48</v>
      </c>
      <c r="F454" s="1">
        <v>9.7438657407407402E-4</v>
      </c>
      <c r="G454" s="37">
        <v>2.2799999999999998</v>
      </c>
      <c r="H454">
        <v>2.94</v>
      </c>
      <c r="I454" s="37">
        <v>0.97</v>
      </c>
      <c r="J454">
        <f t="shared" si="7"/>
        <v>2.8517999999999999</v>
      </c>
    </row>
    <row r="455" spans="1:10" x14ac:dyDescent="0.3">
      <c r="A455" t="s">
        <v>3</v>
      </c>
      <c r="B455" t="s">
        <v>93</v>
      </c>
      <c r="C455" t="s">
        <v>43</v>
      </c>
      <c r="D455" t="s">
        <v>94</v>
      </c>
      <c r="E455" t="s">
        <v>49</v>
      </c>
      <c r="F455" s="1">
        <v>9.7107638888888884E-4</v>
      </c>
      <c r="G455" s="37">
        <v>2.2799999999999998</v>
      </c>
      <c r="H455">
        <v>2.94</v>
      </c>
      <c r="I455" s="37">
        <v>0.97</v>
      </c>
      <c r="J455">
        <f t="shared" si="7"/>
        <v>2.8517999999999999</v>
      </c>
    </row>
    <row r="456" spans="1:10" x14ac:dyDescent="0.3">
      <c r="A456" t="s">
        <v>3</v>
      </c>
      <c r="B456" t="s">
        <v>93</v>
      </c>
      <c r="C456" t="s">
        <v>43</v>
      </c>
      <c r="D456" t="s">
        <v>94</v>
      </c>
      <c r="E456" t="s">
        <v>50</v>
      </c>
      <c r="F456" s="1">
        <v>9.756944444444444E-4</v>
      </c>
      <c r="G456" s="37">
        <v>2.27</v>
      </c>
      <c r="H456">
        <v>2.93</v>
      </c>
      <c r="I456" s="37">
        <v>0.97</v>
      </c>
      <c r="J456">
        <f t="shared" si="7"/>
        <v>2.8421000000000003</v>
      </c>
    </row>
    <row r="457" spans="1:10" x14ac:dyDescent="0.3">
      <c r="A457" t="s">
        <v>3</v>
      </c>
      <c r="B457" t="s">
        <v>93</v>
      </c>
      <c r="C457" t="s">
        <v>43</v>
      </c>
      <c r="D457" t="s">
        <v>94</v>
      </c>
      <c r="E457" t="s">
        <v>51</v>
      </c>
      <c r="F457" s="1">
        <v>9.7177083333333328E-4</v>
      </c>
      <c r="G457" s="37">
        <v>2.27</v>
      </c>
      <c r="H457">
        <v>2.92</v>
      </c>
      <c r="I457" s="37">
        <v>0.97</v>
      </c>
      <c r="J457">
        <f t="shared" si="7"/>
        <v>2.8323999999999998</v>
      </c>
    </row>
    <row r="458" spans="1:10" x14ac:dyDescent="0.3">
      <c r="A458" t="s">
        <v>3</v>
      </c>
      <c r="B458" t="s">
        <v>93</v>
      </c>
      <c r="C458" t="s">
        <v>43</v>
      </c>
      <c r="D458" t="s">
        <v>94</v>
      </c>
      <c r="E458" t="s">
        <v>52</v>
      </c>
      <c r="F458" s="1">
        <v>9.7315972222222226E-4</v>
      </c>
      <c r="G458" s="37">
        <v>2.2599999999999998</v>
      </c>
      <c r="H458">
        <v>2.92</v>
      </c>
      <c r="I458" s="37">
        <v>0.97</v>
      </c>
      <c r="J458">
        <f t="shared" si="7"/>
        <v>2.8323999999999998</v>
      </c>
    </row>
    <row r="459" spans="1:10" x14ac:dyDescent="0.3">
      <c r="A459" t="s">
        <v>3</v>
      </c>
      <c r="B459" t="s">
        <v>93</v>
      </c>
      <c r="C459" t="s">
        <v>43</v>
      </c>
      <c r="D459" t="s">
        <v>94</v>
      </c>
      <c r="E459" t="s">
        <v>53</v>
      </c>
      <c r="F459" s="1">
        <v>9.7679398148148148E-4</v>
      </c>
      <c r="G459" s="37">
        <v>2.2400000000000002</v>
      </c>
      <c r="H459">
        <v>2.89</v>
      </c>
      <c r="I459" s="37">
        <v>0.97</v>
      </c>
      <c r="J459">
        <f t="shared" si="7"/>
        <v>2.8033000000000001</v>
      </c>
    </row>
    <row r="460" spans="1:10" x14ac:dyDescent="0.3">
      <c r="A460" t="s">
        <v>3</v>
      </c>
      <c r="B460" t="s">
        <v>93</v>
      </c>
      <c r="C460" t="s">
        <v>43</v>
      </c>
      <c r="D460" t="s">
        <v>94</v>
      </c>
      <c r="E460" t="s">
        <v>54</v>
      </c>
      <c r="F460" s="1">
        <v>9.7688657407407403E-4</v>
      </c>
      <c r="G460" s="37">
        <v>2.2400000000000002</v>
      </c>
      <c r="H460">
        <v>2.88</v>
      </c>
      <c r="I460" s="37">
        <v>0.97</v>
      </c>
      <c r="J460">
        <f t="shared" si="7"/>
        <v>2.7935999999999996</v>
      </c>
    </row>
    <row r="461" spans="1:10" x14ac:dyDescent="0.3">
      <c r="A461" t="s">
        <v>3</v>
      </c>
      <c r="B461" t="s">
        <v>93</v>
      </c>
      <c r="C461" t="s">
        <v>43</v>
      </c>
      <c r="D461" t="s">
        <v>94</v>
      </c>
      <c r="E461" t="s">
        <v>55</v>
      </c>
      <c r="F461" s="1">
        <v>9.7465277777777784E-4</v>
      </c>
      <c r="G461" s="37">
        <v>2.2599999999999998</v>
      </c>
      <c r="H461">
        <v>2.9</v>
      </c>
      <c r="I461" s="37">
        <v>0.97</v>
      </c>
      <c r="J461">
        <f t="shared" si="7"/>
        <v>2.8129999999999997</v>
      </c>
    </row>
    <row r="462" spans="1:10" x14ac:dyDescent="0.3">
      <c r="A462" t="s">
        <v>3</v>
      </c>
      <c r="B462" t="s">
        <v>93</v>
      </c>
      <c r="C462" t="s">
        <v>43</v>
      </c>
      <c r="D462" t="s">
        <v>94</v>
      </c>
      <c r="E462" t="s">
        <v>56</v>
      </c>
      <c r="F462" s="1">
        <v>9.7482638888888879E-4</v>
      </c>
      <c r="G462" s="37">
        <v>2.25</v>
      </c>
      <c r="H462">
        <v>2.91</v>
      </c>
      <c r="I462" s="37">
        <v>0.97</v>
      </c>
      <c r="J462">
        <f t="shared" si="7"/>
        <v>2.8227000000000002</v>
      </c>
    </row>
    <row r="463" spans="1:10" x14ac:dyDescent="0.3">
      <c r="A463" t="s">
        <v>3</v>
      </c>
      <c r="B463" t="s">
        <v>93</v>
      </c>
      <c r="C463" t="s">
        <v>43</v>
      </c>
      <c r="D463" t="s">
        <v>94</v>
      </c>
      <c r="E463" t="s">
        <v>58</v>
      </c>
      <c r="F463" s="1">
        <v>9.5991898148148141E-4</v>
      </c>
      <c r="G463" s="37">
        <v>2.27</v>
      </c>
      <c r="H463">
        <v>2.92</v>
      </c>
      <c r="I463" s="37">
        <v>0.97</v>
      </c>
      <c r="J463">
        <f t="shared" si="7"/>
        <v>2.8323999999999998</v>
      </c>
    </row>
    <row r="464" spans="1:10" x14ac:dyDescent="0.3">
      <c r="A464" t="s">
        <v>3</v>
      </c>
      <c r="B464" t="s">
        <v>93</v>
      </c>
      <c r="C464" t="s">
        <v>43</v>
      </c>
      <c r="D464" t="s">
        <v>94</v>
      </c>
      <c r="E464" t="s">
        <v>72</v>
      </c>
      <c r="F464" s="1">
        <v>9.5989583333333333E-4</v>
      </c>
      <c r="G464" s="37">
        <v>2.2799999999999998</v>
      </c>
      <c r="H464">
        <v>2.93</v>
      </c>
      <c r="I464" s="37">
        <v>0.97</v>
      </c>
      <c r="J464">
        <f t="shared" si="7"/>
        <v>2.8421000000000003</v>
      </c>
    </row>
    <row r="465" spans="1:10" x14ac:dyDescent="0.3">
      <c r="A465" t="s">
        <v>3</v>
      </c>
      <c r="B465" t="s">
        <v>93</v>
      </c>
      <c r="C465" t="s">
        <v>43</v>
      </c>
      <c r="D465" t="s">
        <v>94</v>
      </c>
      <c r="E465" t="s">
        <v>59</v>
      </c>
      <c r="F465" s="1">
        <v>9.6002314814814811E-4</v>
      </c>
      <c r="G465" s="37">
        <v>2.2799999999999998</v>
      </c>
      <c r="H465">
        <v>2.92</v>
      </c>
      <c r="I465" s="37">
        <v>0.97</v>
      </c>
      <c r="J465">
        <f t="shared" si="7"/>
        <v>2.8323999999999998</v>
      </c>
    </row>
    <row r="466" spans="1:10" x14ac:dyDescent="0.3">
      <c r="A466" t="s">
        <v>3</v>
      </c>
      <c r="B466" t="s">
        <v>93</v>
      </c>
      <c r="C466" t="s">
        <v>43</v>
      </c>
      <c r="D466" t="s">
        <v>94</v>
      </c>
      <c r="E466" t="s">
        <v>60</v>
      </c>
      <c r="F466" s="1">
        <v>9.6145833333333326E-4</v>
      </c>
      <c r="G466" s="37">
        <v>2.27</v>
      </c>
      <c r="H466">
        <v>2.92</v>
      </c>
      <c r="I466" s="37">
        <v>0.97</v>
      </c>
      <c r="J466">
        <f t="shared" si="7"/>
        <v>2.8323999999999998</v>
      </c>
    </row>
    <row r="467" spans="1:10" x14ac:dyDescent="0.3">
      <c r="A467" t="s">
        <v>3</v>
      </c>
      <c r="B467" t="s">
        <v>93</v>
      </c>
      <c r="C467" t="s">
        <v>43</v>
      </c>
      <c r="D467" t="s">
        <v>94</v>
      </c>
      <c r="E467" t="s">
        <v>61</v>
      </c>
      <c r="F467" s="1">
        <v>9.6165509259259262E-4</v>
      </c>
      <c r="G467" s="37">
        <v>2.2599999999999998</v>
      </c>
      <c r="H467">
        <v>2.92</v>
      </c>
      <c r="I467" s="37">
        <v>0.97</v>
      </c>
      <c r="J467">
        <f t="shared" si="7"/>
        <v>2.8323999999999998</v>
      </c>
    </row>
    <row r="468" spans="1:10" x14ac:dyDescent="0.3">
      <c r="A468" t="s">
        <v>3</v>
      </c>
      <c r="B468" t="s">
        <v>93</v>
      </c>
      <c r="C468" t="s">
        <v>43</v>
      </c>
      <c r="D468" t="s">
        <v>94</v>
      </c>
      <c r="E468" t="s">
        <v>62</v>
      </c>
      <c r="F468" s="1">
        <v>9.7575231481481493E-4</v>
      </c>
      <c r="G468" s="37">
        <v>2.19</v>
      </c>
      <c r="H468">
        <v>2.84</v>
      </c>
      <c r="I468" s="37">
        <v>0.97</v>
      </c>
      <c r="J468">
        <f t="shared" si="7"/>
        <v>2.7547999999999999</v>
      </c>
    </row>
    <row r="469" spans="1:10" x14ac:dyDescent="0.3">
      <c r="A469" t="s">
        <v>3</v>
      </c>
      <c r="B469" t="s">
        <v>93</v>
      </c>
      <c r="C469" t="s">
        <v>43</v>
      </c>
      <c r="D469" t="s">
        <v>94</v>
      </c>
      <c r="E469" t="s">
        <v>63</v>
      </c>
      <c r="F469" s="1">
        <v>9.7026620370370376E-4</v>
      </c>
      <c r="G469" s="37">
        <v>2.21</v>
      </c>
      <c r="H469">
        <v>2.85</v>
      </c>
      <c r="I469" s="37">
        <v>0.97</v>
      </c>
      <c r="J469">
        <f t="shared" si="7"/>
        <v>2.7645</v>
      </c>
    </row>
    <row r="470" spans="1:10" x14ac:dyDescent="0.3">
      <c r="A470" t="s">
        <v>3</v>
      </c>
      <c r="B470" t="s">
        <v>93</v>
      </c>
      <c r="C470" t="s">
        <v>43</v>
      </c>
      <c r="D470" t="s">
        <v>94</v>
      </c>
      <c r="E470" t="s">
        <v>64</v>
      </c>
      <c r="F470" s="1">
        <v>9.6598379629629627E-4</v>
      </c>
      <c r="G470" s="37">
        <v>2.2599999999999998</v>
      </c>
      <c r="H470">
        <v>2.92</v>
      </c>
      <c r="I470" s="37">
        <v>0.97</v>
      </c>
      <c r="J470">
        <f t="shared" si="7"/>
        <v>2.8323999999999998</v>
      </c>
    </row>
    <row r="471" spans="1:10" x14ac:dyDescent="0.3">
      <c r="A471" t="s">
        <v>3</v>
      </c>
      <c r="B471" t="s">
        <v>93</v>
      </c>
      <c r="C471" t="s">
        <v>43</v>
      </c>
      <c r="D471" t="s">
        <v>94</v>
      </c>
      <c r="E471" t="s">
        <v>65</v>
      </c>
      <c r="F471" s="1">
        <v>9.6905092592592594E-4</v>
      </c>
      <c r="G471" s="37">
        <v>2.2400000000000002</v>
      </c>
      <c r="H471">
        <v>2.91</v>
      </c>
      <c r="I471" s="37">
        <v>0.97</v>
      </c>
      <c r="J471">
        <f t="shared" si="7"/>
        <v>2.8227000000000002</v>
      </c>
    </row>
    <row r="472" spans="1:10" x14ac:dyDescent="0.3">
      <c r="A472" t="s">
        <v>3</v>
      </c>
      <c r="B472" t="s">
        <v>93</v>
      </c>
      <c r="C472" t="s">
        <v>43</v>
      </c>
      <c r="D472" t="s">
        <v>94</v>
      </c>
      <c r="E472" t="s">
        <v>66</v>
      </c>
      <c r="F472" s="1">
        <v>9.7045138888888897E-4</v>
      </c>
      <c r="G472" s="37">
        <v>2.2400000000000002</v>
      </c>
      <c r="H472">
        <v>2.9</v>
      </c>
      <c r="I472" s="37">
        <v>0.97</v>
      </c>
      <c r="J472">
        <f t="shared" si="7"/>
        <v>2.8129999999999997</v>
      </c>
    </row>
    <row r="473" spans="1:10" x14ac:dyDescent="0.3">
      <c r="A473" t="s">
        <v>3</v>
      </c>
      <c r="B473" t="s">
        <v>93</v>
      </c>
      <c r="C473" t="s">
        <v>43</v>
      </c>
      <c r="D473" t="s">
        <v>94</v>
      </c>
      <c r="E473" t="s">
        <v>67</v>
      </c>
      <c r="F473" s="1">
        <v>9.6793981481481481E-4</v>
      </c>
      <c r="G473" s="37">
        <v>2.21</v>
      </c>
      <c r="H473">
        <v>2.86</v>
      </c>
      <c r="I473" s="37">
        <v>0.97</v>
      </c>
      <c r="J473">
        <f t="shared" si="7"/>
        <v>2.7742</v>
      </c>
    </row>
    <row r="474" spans="1:10" x14ac:dyDescent="0.3">
      <c r="A474" t="s">
        <v>3</v>
      </c>
      <c r="B474" t="s">
        <v>93</v>
      </c>
      <c r="C474" t="s">
        <v>43</v>
      </c>
      <c r="D474" t="s">
        <v>94</v>
      </c>
      <c r="E474" t="s">
        <v>68</v>
      </c>
      <c r="F474" s="1">
        <v>9.701967592592593E-4</v>
      </c>
      <c r="G474" s="37">
        <v>2.2200000000000002</v>
      </c>
      <c r="H474">
        <v>2.87</v>
      </c>
      <c r="I474" s="37">
        <v>0.97</v>
      </c>
      <c r="J474">
        <f t="shared" si="7"/>
        <v>2.7839</v>
      </c>
    </row>
    <row r="475" spans="1:10" x14ac:dyDescent="0.3">
      <c r="A475" t="s">
        <v>3</v>
      </c>
      <c r="B475" t="s">
        <v>93</v>
      </c>
      <c r="C475" t="s">
        <v>43</v>
      </c>
      <c r="D475" t="s">
        <v>94</v>
      </c>
      <c r="E475" t="s">
        <v>69</v>
      </c>
      <c r="F475" s="1">
        <v>9.7142361111111106E-4</v>
      </c>
      <c r="G475" s="37">
        <v>2.2000000000000002</v>
      </c>
      <c r="H475">
        <v>2.85</v>
      </c>
      <c r="I475" s="37">
        <v>0.97</v>
      </c>
      <c r="J475">
        <f t="shared" si="7"/>
        <v>2.7645</v>
      </c>
    </row>
    <row r="476" spans="1:10" x14ac:dyDescent="0.3">
      <c r="A476" t="s">
        <v>3</v>
      </c>
      <c r="B476" t="s">
        <v>93</v>
      </c>
      <c r="C476" t="s">
        <v>43</v>
      </c>
      <c r="D476" t="s">
        <v>94</v>
      </c>
      <c r="E476" t="s">
        <v>70</v>
      </c>
      <c r="F476" s="1">
        <v>9.6910879629629625E-4</v>
      </c>
      <c r="G476" s="37">
        <v>2.2200000000000002</v>
      </c>
      <c r="H476">
        <v>2.86</v>
      </c>
      <c r="I476" s="37">
        <v>0.97</v>
      </c>
      <c r="J476">
        <f t="shared" si="7"/>
        <v>2.7742</v>
      </c>
    </row>
    <row r="477" spans="1:10" x14ac:dyDescent="0.3">
      <c r="A477" t="s">
        <v>3</v>
      </c>
      <c r="B477" t="s">
        <v>93</v>
      </c>
      <c r="C477" t="s">
        <v>43</v>
      </c>
      <c r="D477" t="s">
        <v>94</v>
      </c>
      <c r="E477" t="s">
        <v>71</v>
      </c>
      <c r="F477" s="1">
        <v>9.7237268518518528E-4</v>
      </c>
      <c r="G477" s="37">
        <v>2.16</v>
      </c>
      <c r="H477">
        <v>2.8</v>
      </c>
      <c r="I477" s="37">
        <v>0.97</v>
      </c>
      <c r="J477">
        <f t="shared" si="7"/>
        <v>2.7159999999999997</v>
      </c>
    </row>
    <row r="478" spans="1:10" x14ac:dyDescent="0.3">
      <c r="A478" t="s">
        <v>3</v>
      </c>
      <c r="B478" t="s">
        <v>95</v>
      </c>
      <c r="C478" t="s">
        <v>43</v>
      </c>
      <c r="D478" s="22">
        <v>0.74369212962962961</v>
      </c>
      <c r="E478" t="s">
        <v>9</v>
      </c>
      <c r="F478" s="1">
        <v>9.8184027777777788E-4</v>
      </c>
      <c r="G478" s="37">
        <v>2.1800000000000002</v>
      </c>
      <c r="H478">
        <v>2.84</v>
      </c>
      <c r="I478" s="37">
        <v>0.96</v>
      </c>
      <c r="J478">
        <f t="shared" si="7"/>
        <v>2.7263999999999999</v>
      </c>
    </row>
    <row r="479" spans="1:10" x14ac:dyDescent="0.3">
      <c r="A479" t="s">
        <v>3</v>
      </c>
      <c r="B479" t="s">
        <v>95</v>
      </c>
      <c r="C479" t="s">
        <v>43</v>
      </c>
      <c r="D479" s="22">
        <v>0.74369212962962961</v>
      </c>
      <c r="E479" t="s">
        <v>10</v>
      </c>
      <c r="F479" s="1">
        <v>9.8409722222222214E-4</v>
      </c>
      <c r="G479" s="37">
        <v>2.2000000000000002</v>
      </c>
      <c r="H479">
        <v>2.85</v>
      </c>
      <c r="I479" s="37">
        <v>0.96</v>
      </c>
      <c r="J479">
        <f t="shared" si="7"/>
        <v>2.7359999999999998</v>
      </c>
    </row>
    <row r="480" spans="1:10" x14ac:dyDescent="0.3">
      <c r="A480" t="s">
        <v>3</v>
      </c>
      <c r="B480" t="s">
        <v>95</v>
      </c>
      <c r="C480" t="s">
        <v>43</v>
      </c>
      <c r="D480" s="22">
        <v>0.74369212962962961</v>
      </c>
      <c r="E480" t="s">
        <v>15</v>
      </c>
      <c r="F480" s="1">
        <v>9.7778935185185187E-4</v>
      </c>
      <c r="G480" s="37">
        <v>2.15</v>
      </c>
      <c r="H480">
        <v>2.8</v>
      </c>
      <c r="I480" s="37">
        <v>0.96</v>
      </c>
      <c r="J480">
        <f t="shared" si="7"/>
        <v>2.6879999999999997</v>
      </c>
    </row>
    <row r="481" spans="1:10" x14ac:dyDescent="0.3">
      <c r="A481" t="s">
        <v>3</v>
      </c>
      <c r="B481" t="s">
        <v>95</v>
      </c>
      <c r="C481" t="s">
        <v>43</v>
      </c>
      <c r="D481" s="22">
        <v>0.74369212962962961</v>
      </c>
      <c r="E481" t="s">
        <v>17</v>
      </c>
      <c r="F481" s="1">
        <v>9.8682870370370374E-4</v>
      </c>
      <c r="G481" s="37">
        <v>2.2000000000000002</v>
      </c>
      <c r="H481">
        <v>2.86</v>
      </c>
      <c r="I481" s="37">
        <v>0.96</v>
      </c>
      <c r="J481">
        <f t="shared" si="7"/>
        <v>2.7455999999999996</v>
      </c>
    </row>
    <row r="482" spans="1:10" x14ac:dyDescent="0.3">
      <c r="A482" t="s">
        <v>3</v>
      </c>
      <c r="B482" t="s">
        <v>95</v>
      </c>
      <c r="C482" t="s">
        <v>43</v>
      </c>
      <c r="D482" s="22">
        <v>0.74369212962962961</v>
      </c>
      <c r="E482" t="s">
        <v>18</v>
      </c>
      <c r="F482" s="1">
        <v>9.825347222222221E-4</v>
      </c>
      <c r="G482" s="37">
        <v>2.17</v>
      </c>
      <c r="H482">
        <v>2.83</v>
      </c>
      <c r="I482" s="37">
        <v>0.96</v>
      </c>
      <c r="J482">
        <f t="shared" si="7"/>
        <v>2.7168000000000001</v>
      </c>
    </row>
    <row r="483" spans="1:10" x14ac:dyDescent="0.3">
      <c r="A483" t="s">
        <v>3</v>
      </c>
      <c r="B483" t="s">
        <v>95</v>
      </c>
      <c r="C483" t="s">
        <v>43</v>
      </c>
      <c r="D483" s="22">
        <v>0.74369212962962961</v>
      </c>
      <c r="E483" t="s">
        <v>19</v>
      </c>
      <c r="F483" s="1">
        <v>9.839814814814813E-4</v>
      </c>
      <c r="G483" s="37">
        <v>2.23</v>
      </c>
      <c r="H483">
        <v>2.89</v>
      </c>
      <c r="I483" s="37">
        <v>0.96</v>
      </c>
      <c r="J483">
        <f t="shared" si="7"/>
        <v>2.7744</v>
      </c>
    </row>
    <row r="484" spans="1:10" x14ac:dyDescent="0.3">
      <c r="A484" t="s">
        <v>3</v>
      </c>
      <c r="B484" t="s">
        <v>95</v>
      </c>
      <c r="C484" t="s">
        <v>43</v>
      </c>
      <c r="D484" s="22">
        <v>0.74369212962962961</v>
      </c>
      <c r="E484" t="s">
        <v>45</v>
      </c>
      <c r="F484" s="1">
        <v>9.8039351851851846E-4</v>
      </c>
      <c r="G484" s="37">
        <v>2.27</v>
      </c>
      <c r="H484">
        <v>2.95</v>
      </c>
      <c r="I484" s="37">
        <v>0.96</v>
      </c>
      <c r="J484">
        <f t="shared" si="7"/>
        <v>2.8319999999999999</v>
      </c>
    </row>
    <row r="485" spans="1:10" x14ac:dyDescent="0.3">
      <c r="A485" t="s">
        <v>3</v>
      </c>
      <c r="B485" t="s">
        <v>95</v>
      </c>
      <c r="C485" t="s">
        <v>43</v>
      </c>
      <c r="D485" s="22">
        <v>0.74369212962962961</v>
      </c>
      <c r="E485" t="s">
        <v>46</v>
      </c>
      <c r="F485" s="1">
        <v>9.8236111111111115E-4</v>
      </c>
      <c r="G485" s="37">
        <v>2.2000000000000002</v>
      </c>
      <c r="H485">
        <v>2.86</v>
      </c>
      <c r="I485" s="37">
        <v>0.96</v>
      </c>
      <c r="J485">
        <f t="shared" si="7"/>
        <v>2.7455999999999996</v>
      </c>
    </row>
    <row r="486" spans="1:10" x14ac:dyDescent="0.3">
      <c r="A486" t="s">
        <v>3</v>
      </c>
      <c r="B486" t="s">
        <v>95</v>
      </c>
      <c r="C486" t="s">
        <v>43</v>
      </c>
      <c r="D486" s="22">
        <v>0.74369212962962961</v>
      </c>
      <c r="E486" t="s">
        <v>47</v>
      </c>
      <c r="F486" s="1">
        <v>9.8334490740740739E-4</v>
      </c>
      <c r="G486" s="37">
        <v>2.16</v>
      </c>
      <c r="H486">
        <v>2.81</v>
      </c>
      <c r="I486" s="37">
        <v>0.96</v>
      </c>
      <c r="J486">
        <f t="shared" si="7"/>
        <v>2.6976</v>
      </c>
    </row>
    <row r="487" spans="1:10" x14ac:dyDescent="0.3">
      <c r="A487" t="s">
        <v>3</v>
      </c>
      <c r="B487" t="s">
        <v>95</v>
      </c>
      <c r="C487" t="s">
        <v>43</v>
      </c>
      <c r="D487" s="22">
        <v>0.74369212962962961</v>
      </c>
      <c r="E487" t="s">
        <v>48</v>
      </c>
      <c r="F487" s="1">
        <v>9.8600694444444452E-4</v>
      </c>
      <c r="G487" s="37">
        <v>2.2000000000000002</v>
      </c>
      <c r="H487">
        <v>2.85</v>
      </c>
      <c r="I487" s="37">
        <v>0.96</v>
      </c>
      <c r="J487">
        <f t="shared" si="7"/>
        <v>2.7359999999999998</v>
      </c>
    </row>
    <row r="488" spans="1:10" x14ac:dyDescent="0.3">
      <c r="A488" t="s">
        <v>3</v>
      </c>
      <c r="B488" t="s">
        <v>95</v>
      </c>
      <c r="C488" t="s">
        <v>43</v>
      </c>
      <c r="D488" s="22">
        <v>0.74369212962962961</v>
      </c>
      <c r="E488" t="s">
        <v>49</v>
      </c>
      <c r="F488" s="1">
        <v>9.8924768518518524E-4</v>
      </c>
      <c r="G488" s="37">
        <v>2.23</v>
      </c>
      <c r="H488">
        <v>2.91</v>
      </c>
      <c r="I488" s="37">
        <v>0.96</v>
      </c>
      <c r="J488">
        <f t="shared" si="7"/>
        <v>2.7936000000000001</v>
      </c>
    </row>
    <row r="489" spans="1:10" x14ac:dyDescent="0.3">
      <c r="A489" t="s">
        <v>3</v>
      </c>
      <c r="B489" t="s">
        <v>95</v>
      </c>
      <c r="C489" t="s">
        <v>43</v>
      </c>
      <c r="D489" s="22">
        <v>0.74369212962962961</v>
      </c>
      <c r="E489" t="s">
        <v>50</v>
      </c>
      <c r="F489" s="1">
        <v>9.8630787037037046E-4</v>
      </c>
      <c r="G489" s="37">
        <v>2.2000000000000002</v>
      </c>
      <c r="H489">
        <v>2.91</v>
      </c>
      <c r="I489" s="37">
        <v>0.96</v>
      </c>
      <c r="J489">
        <f t="shared" si="7"/>
        <v>2.7936000000000001</v>
      </c>
    </row>
    <row r="490" spans="1:10" x14ac:dyDescent="0.3">
      <c r="A490" t="s">
        <v>3</v>
      </c>
      <c r="B490" t="s">
        <v>95</v>
      </c>
      <c r="C490" t="s">
        <v>43</v>
      </c>
      <c r="D490" s="22">
        <v>0.74369212962962961</v>
      </c>
      <c r="E490" t="s">
        <v>51</v>
      </c>
      <c r="F490" s="1">
        <v>9.8525462962962976E-4</v>
      </c>
      <c r="G490" s="37">
        <v>2.2400000000000002</v>
      </c>
      <c r="H490">
        <v>2.92</v>
      </c>
      <c r="I490" s="37">
        <v>0.96</v>
      </c>
      <c r="J490">
        <f t="shared" si="7"/>
        <v>2.8031999999999999</v>
      </c>
    </row>
    <row r="491" spans="1:10" x14ac:dyDescent="0.3">
      <c r="A491" t="s">
        <v>3</v>
      </c>
      <c r="B491" t="s">
        <v>95</v>
      </c>
      <c r="C491" t="s">
        <v>43</v>
      </c>
      <c r="D491" s="22">
        <v>0.74369212962962961</v>
      </c>
      <c r="E491" t="s">
        <v>52</v>
      </c>
      <c r="F491" s="1">
        <v>9.825347222222221E-4</v>
      </c>
      <c r="G491" s="37">
        <v>2.2599999999999998</v>
      </c>
      <c r="H491">
        <v>2.94</v>
      </c>
      <c r="I491" s="37">
        <v>0.96</v>
      </c>
      <c r="J491">
        <f t="shared" si="7"/>
        <v>2.8224</v>
      </c>
    </row>
    <row r="492" spans="1:10" x14ac:dyDescent="0.3">
      <c r="A492" t="s">
        <v>3</v>
      </c>
      <c r="B492" t="s">
        <v>95</v>
      </c>
      <c r="C492" t="s">
        <v>43</v>
      </c>
      <c r="D492" s="22">
        <v>0.74369212962962961</v>
      </c>
      <c r="E492" t="s">
        <v>53</v>
      </c>
      <c r="F492" s="1">
        <v>9.8184027777777788E-4</v>
      </c>
      <c r="G492" s="37">
        <v>2.2599999999999998</v>
      </c>
      <c r="H492">
        <v>2.92</v>
      </c>
      <c r="I492" s="37">
        <v>0.96</v>
      </c>
      <c r="J492">
        <f t="shared" si="7"/>
        <v>2.8031999999999999</v>
      </c>
    </row>
    <row r="493" spans="1:10" x14ac:dyDescent="0.3">
      <c r="A493" t="s">
        <v>3</v>
      </c>
      <c r="B493" t="s">
        <v>95</v>
      </c>
      <c r="C493" t="s">
        <v>43</v>
      </c>
      <c r="D493" s="22">
        <v>0.74369212962962961</v>
      </c>
      <c r="E493" t="s">
        <v>54</v>
      </c>
      <c r="F493" s="1">
        <v>9.7958333333333339E-4</v>
      </c>
      <c r="G493" s="37">
        <v>2.2599999999999998</v>
      </c>
      <c r="H493">
        <v>2.94</v>
      </c>
      <c r="I493" s="37">
        <v>0.96</v>
      </c>
      <c r="J493">
        <f t="shared" si="7"/>
        <v>2.8224</v>
      </c>
    </row>
    <row r="494" spans="1:10" x14ac:dyDescent="0.3">
      <c r="A494" t="s">
        <v>3</v>
      </c>
      <c r="B494" t="s">
        <v>95</v>
      </c>
      <c r="C494" t="s">
        <v>43</v>
      </c>
      <c r="D494" s="22">
        <v>0.74369212962962961</v>
      </c>
      <c r="E494" t="s">
        <v>55</v>
      </c>
      <c r="F494" s="1">
        <v>9.799305555555555E-4</v>
      </c>
      <c r="G494" s="37">
        <v>2.27</v>
      </c>
      <c r="H494">
        <v>2.94</v>
      </c>
      <c r="I494" s="37">
        <v>0.96</v>
      </c>
      <c r="J494">
        <f t="shared" si="7"/>
        <v>2.8224</v>
      </c>
    </row>
    <row r="495" spans="1:10" x14ac:dyDescent="0.3">
      <c r="A495" t="s">
        <v>3</v>
      </c>
      <c r="B495" t="s">
        <v>95</v>
      </c>
      <c r="C495" t="s">
        <v>43</v>
      </c>
      <c r="D495" s="22">
        <v>0.74369212962962961</v>
      </c>
      <c r="E495" t="s">
        <v>56</v>
      </c>
      <c r="F495" s="1">
        <v>9.7825231481481483E-4</v>
      </c>
      <c r="G495" s="37">
        <v>2.25</v>
      </c>
      <c r="H495">
        <v>2.93</v>
      </c>
      <c r="I495" s="37">
        <v>0.96</v>
      </c>
      <c r="J495">
        <f t="shared" si="7"/>
        <v>2.8128000000000002</v>
      </c>
    </row>
    <row r="496" spans="1:10" x14ac:dyDescent="0.3">
      <c r="A496" t="s">
        <v>3</v>
      </c>
      <c r="B496" t="s">
        <v>95</v>
      </c>
      <c r="C496" t="s">
        <v>43</v>
      </c>
      <c r="D496" s="22">
        <v>0.74369212962962961</v>
      </c>
      <c r="E496" t="s">
        <v>57</v>
      </c>
      <c r="F496" s="1">
        <v>9.7721064814814806E-4</v>
      </c>
      <c r="G496" s="37">
        <v>2.25</v>
      </c>
      <c r="H496">
        <v>2.92</v>
      </c>
      <c r="I496" s="37">
        <v>0.96</v>
      </c>
      <c r="J496">
        <f t="shared" si="7"/>
        <v>2.8031999999999999</v>
      </c>
    </row>
    <row r="497" spans="1:10" x14ac:dyDescent="0.3">
      <c r="A497" t="s">
        <v>3</v>
      </c>
      <c r="B497" t="s">
        <v>95</v>
      </c>
      <c r="C497" t="s">
        <v>43</v>
      </c>
      <c r="D497" s="22">
        <v>0.74369212962962961</v>
      </c>
      <c r="E497" t="s">
        <v>58</v>
      </c>
      <c r="F497" s="1">
        <v>9.8403935185185183E-4</v>
      </c>
      <c r="G497" s="37">
        <v>2.2400000000000002</v>
      </c>
      <c r="H497">
        <v>2.91</v>
      </c>
      <c r="I497" s="37">
        <v>0.96</v>
      </c>
      <c r="J497">
        <f t="shared" si="7"/>
        <v>2.7936000000000001</v>
      </c>
    </row>
    <row r="498" spans="1:10" x14ac:dyDescent="0.3">
      <c r="A498" t="s">
        <v>3</v>
      </c>
      <c r="B498" t="s">
        <v>95</v>
      </c>
      <c r="C498" t="s">
        <v>43</v>
      </c>
      <c r="D498" s="22">
        <v>0.74369212962962961</v>
      </c>
      <c r="E498" t="s">
        <v>72</v>
      </c>
      <c r="F498" s="1">
        <v>9.787731481481481E-4</v>
      </c>
      <c r="G498" s="37">
        <v>2.2400000000000002</v>
      </c>
      <c r="H498">
        <v>2.91</v>
      </c>
      <c r="I498" s="37">
        <v>0.96</v>
      </c>
      <c r="J498">
        <f t="shared" si="7"/>
        <v>2.7936000000000001</v>
      </c>
    </row>
    <row r="499" spans="1:10" x14ac:dyDescent="0.3">
      <c r="A499" t="s">
        <v>3</v>
      </c>
      <c r="B499" t="s">
        <v>95</v>
      </c>
      <c r="C499" t="s">
        <v>43</v>
      </c>
      <c r="D499" s="22">
        <v>0.74369212962962961</v>
      </c>
      <c r="E499" t="s">
        <v>59</v>
      </c>
      <c r="F499" s="1">
        <v>9.7570601851851855E-4</v>
      </c>
      <c r="G499" s="37">
        <v>2.27</v>
      </c>
      <c r="H499">
        <v>2.93</v>
      </c>
      <c r="I499" s="37">
        <v>0.96</v>
      </c>
      <c r="J499">
        <f t="shared" si="7"/>
        <v>2.8128000000000002</v>
      </c>
    </row>
    <row r="500" spans="1:10" x14ac:dyDescent="0.3">
      <c r="A500" t="s">
        <v>3</v>
      </c>
      <c r="B500" t="s">
        <v>95</v>
      </c>
      <c r="C500" t="s">
        <v>43</v>
      </c>
      <c r="D500" s="22">
        <v>0.74369212962962961</v>
      </c>
      <c r="E500" t="s">
        <v>61</v>
      </c>
      <c r="F500" s="1">
        <v>9.6563657407407405E-4</v>
      </c>
      <c r="G500" s="37">
        <v>2.2799999999999998</v>
      </c>
      <c r="H500">
        <v>2.97</v>
      </c>
      <c r="I500" s="37">
        <v>0.96</v>
      </c>
      <c r="J500">
        <f t="shared" si="7"/>
        <v>2.8512</v>
      </c>
    </row>
    <row r="501" spans="1:10" x14ac:dyDescent="0.3">
      <c r="A501" t="s">
        <v>3</v>
      </c>
      <c r="B501" t="s">
        <v>95</v>
      </c>
      <c r="C501" t="s">
        <v>43</v>
      </c>
      <c r="D501" s="22">
        <v>0.74369212962962961</v>
      </c>
      <c r="E501" t="s">
        <v>62</v>
      </c>
      <c r="F501" s="1">
        <v>9.6910879629629625E-4</v>
      </c>
      <c r="G501" s="37">
        <v>2.21</v>
      </c>
      <c r="H501">
        <v>2.91</v>
      </c>
      <c r="I501" s="37">
        <v>0.96</v>
      </c>
      <c r="J501">
        <f t="shared" si="7"/>
        <v>2.7936000000000001</v>
      </c>
    </row>
    <row r="502" spans="1:10" x14ac:dyDescent="0.3">
      <c r="A502" t="s">
        <v>3</v>
      </c>
      <c r="B502" t="s">
        <v>95</v>
      </c>
      <c r="C502" t="s">
        <v>43</v>
      </c>
      <c r="D502" s="22">
        <v>0.74369212962962961</v>
      </c>
      <c r="E502" t="s">
        <v>63</v>
      </c>
      <c r="F502" s="1">
        <v>9.705671296296296E-4</v>
      </c>
      <c r="G502" s="37">
        <v>2.2000000000000002</v>
      </c>
      <c r="H502">
        <v>2.86</v>
      </c>
      <c r="I502" s="37">
        <v>0.96</v>
      </c>
      <c r="J502">
        <f t="shared" si="7"/>
        <v>2.7455999999999996</v>
      </c>
    </row>
    <row r="503" spans="1:10" x14ac:dyDescent="0.3">
      <c r="A503" t="s">
        <v>3</v>
      </c>
      <c r="B503" t="s">
        <v>95</v>
      </c>
      <c r="C503" t="s">
        <v>43</v>
      </c>
      <c r="D503" s="22">
        <v>0.74369212962962961</v>
      </c>
      <c r="E503" t="s">
        <v>64</v>
      </c>
      <c r="F503" s="1">
        <v>9.6934027777777784E-4</v>
      </c>
      <c r="G503" s="37">
        <v>2.2400000000000002</v>
      </c>
      <c r="H503">
        <v>2.91</v>
      </c>
      <c r="I503" s="37">
        <v>0.96</v>
      </c>
      <c r="J503">
        <f t="shared" si="7"/>
        <v>2.7936000000000001</v>
      </c>
    </row>
    <row r="504" spans="1:10" x14ac:dyDescent="0.3">
      <c r="A504" t="s">
        <v>3</v>
      </c>
      <c r="B504" t="s">
        <v>95</v>
      </c>
      <c r="C504" t="s">
        <v>43</v>
      </c>
      <c r="D504" s="22">
        <v>0.74369212962962961</v>
      </c>
      <c r="E504" t="s">
        <v>65</v>
      </c>
      <c r="F504" s="1">
        <v>9.7055555555555545E-4</v>
      </c>
      <c r="G504" s="37">
        <v>2.2200000000000002</v>
      </c>
      <c r="H504">
        <v>2.89</v>
      </c>
      <c r="I504" s="37">
        <v>0.96</v>
      </c>
      <c r="J504">
        <f t="shared" si="7"/>
        <v>2.7744</v>
      </c>
    </row>
    <row r="505" spans="1:10" x14ac:dyDescent="0.3">
      <c r="A505" t="s">
        <v>3</v>
      </c>
      <c r="B505" t="s">
        <v>95</v>
      </c>
      <c r="C505" t="s">
        <v>43</v>
      </c>
      <c r="D505" s="22">
        <v>0.74369212962962961</v>
      </c>
      <c r="E505" t="s">
        <v>66</v>
      </c>
      <c r="F505" s="1">
        <v>9.6922453703703699E-4</v>
      </c>
      <c r="G505" s="37">
        <v>2.2799999999999998</v>
      </c>
      <c r="H505">
        <v>2.96</v>
      </c>
      <c r="I505" s="37">
        <v>0.96</v>
      </c>
      <c r="J505">
        <f t="shared" si="7"/>
        <v>2.8415999999999997</v>
      </c>
    </row>
    <row r="506" spans="1:10" x14ac:dyDescent="0.3">
      <c r="A506" t="s">
        <v>3</v>
      </c>
      <c r="B506" t="s">
        <v>95</v>
      </c>
      <c r="C506" t="s">
        <v>43</v>
      </c>
      <c r="D506" s="22">
        <v>0.74369212962962961</v>
      </c>
      <c r="E506" t="s">
        <v>67</v>
      </c>
      <c r="F506" s="1">
        <v>9.6858796296296309E-4</v>
      </c>
      <c r="G506" s="37">
        <v>2.2799999999999998</v>
      </c>
      <c r="H506">
        <v>2.97</v>
      </c>
      <c r="I506" s="37">
        <v>0.96</v>
      </c>
      <c r="J506">
        <f t="shared" si="7"/>
        <v>2.8512</v>
      </c>
    </row>
    <row r="507" spans="1:10" x14ac:dyDescent="0.3">
      <c r="A507" t="s">
        <v>3</v>
      </c>
      <c r="B507" t="s">
        <v>95</v>
      </c>
      <c r="C507" t="s">
        <v>43</v>
      </c>
      <c r="D507" s="22">
        <v>0.74369212962962961</v>
      </c>
      <c r="E507" t="s">
        <v>68</v>
      </c>
      <c r="F507" s="1">
        <v>9.6832175925925927E-4</v>
      </c>
      <c r="G507" s="37">
        <v>2.27</v>
      </c>
      <c r="H507">
        <v>2.95</v>
      </c>
      <c r="I507" s="37">
        <v>0.96</v>
      </c>
      <c r="J507">
        <f t="shared" si="7"/>
        <v>2.8319999999999999</v>
      </c>
    </row>
    <row r="508" spans="1:10" x14ac:dyDescent="0.3">
      <c r="A508" t="s">
        <v>3</v>
      </c>
      <c r="B508" t="s">
        <v>95</v>
      </c>
      <c r="C508" t="s">
        <v>43</v>
      </c>
      <c r="D508" s="22">
        <v>0.74369212962962961</v>
      </c>
      <c r="E508" t="s">
        <v>69</v>
      </c>
      <c r="F508" s="1">
        <v>9.7002314814814813E-4</v>
      </c>
      <c r="G508" s="37">
        <v>2.2599999999999998</v>
      </c>
      <c r="H508">
        <v>2.94</v>
      </c>
      <c r="I508" s="37">
        <v>0.96</v>
      </c>
      <c r="J508">
        <f t="shared" si="7"/>
        <v>2.8224</v>
      </c>
    </row>
    <row r="509" spans="1:10" x14ac:dyDescent="0.3">
      <c r="A509" t="s">
        <v>3</v>
      </c>
      <c r="B509" t="s">
        <v>95</v>
      </c>
      <c r="C509" t="s">
        <v>43</v>
      </c>
      <c r="D509" s="22">
        <v>0.74369212962962961</v>
      </c>
      <c r="E509" t="s">
        <v>70</v>
      </c>
      <c r="F509" s="1">
        <v>9.7546296296296302E-4</v>
      </c>
      <c r="G509" s="37">
        <v>2.2200000000000002</v>
      </c>
      <c r="H509">
        <v>2.88</v>
      </c>
      <c r="I509" s="37">
        <v>0.96</v>
      </c>
      <c r="J509">
        <f t="shared" si="7"/>
        <v>2.7647999999999997</v>
      </c>
    </row>
    <row r="510" spans="1:10" x14ac:dyDescent="0.3">
      <c r="A510" t="s">
        <v>3</v>
      </c>
      <c r="B510" t="s">
        <v>95</v>
      </c>
      <c r="C510" t="s">
        <v>43</v>
      </c>
      <c r="D510" s="22">
        <v>0.74369212962962961</v>
      </c>
      <c r="E510" t="s">
        <v>71</v>
      </c>
      <c r="F510" s="1">
        <v>9.931828703703704E-4</v>
      </c>
      <c r="G510" s="37">
        <v>2.21</v>
      </c>
      <c r="H510">
        <v>2.89</v>
      </c>
      <c r="I510" s="37">
        <v>0.96</v>
      </c>
      <c r="J510">
        <f t="shared" si="7"/>
        <v>2.7744</v>
      </c>
    </row>
    <row r="511" spans="1:10" x14ac:dyDescent="0.3">
      <c r="A511" t="s">
        <v>3</v>
      </c>
      <c r="B511" t="s">
        <v>96</v>
      </c>
      <c r="C511" t="s">
        <v>43</v>
      </c>
      <c r="D511" t="s">
        <v>97</v>
      </c>
      <c r="E511" t="s">
        <v>9</v>
      </c>
      <c r="F511" s="1">
        <v>9.6261574074074077E-4</v>
      </c>
      <c r="G511" s="37">
        <v>2.19</v>
      </c>
      <c r="H511">
        <v>2.83</v>
      </c>
      <c r="I511" s="37">
        <v>1</v>
      </c>
      <c r="J511">
        <f t="shared" si="7"/>
        <v>2.83</v>
      </c>
    </row>
    <row r="512" spans="1:10" x14ac:dyDescent="0.3">
      <c r="A512" t="s">
        <v>3</v>
      </c>
      <c r="B512" t="s">
        <v>96</v>
      </c>
      <c r="C512" t="s">
        <v>43</v>
      </c>
      <c r="D512" t="s">
        <v>97</v>
      </c>
      <c r="E512" t="s">
        <v>10</v>
      </c>
      <c r="F512" s="1">
        <v>9.6121527777777785E-4</v>
      </c>
      <c r="G512" s="37">
        <v>2.19</v>
      </c>
      <c r="H512">
        <v>2.82</v>
      </c>
      <c r="I512" s="37">
        <v>1</v>
      </c>
      <c r="J512">
        <f t="shared" si="7"/>
        <v>2.82</v>
      </c>
    </row>
    <row r="513" spans="1:10" x14ac:dyDescent="0.3">
      <c r="A513" t="s">
        <v>3</v>
      </c>
      <c r="B513" t="s">
        <v>96</v>
      </c>
      <c r="C513" t="s">
        <v>43</v>
      </c>
      <c r="D513" t="s">
        <v>97</v>
      </c>
      <c r="E513" t="s">
        <v>15</v>
      </c>
      <c r="F513" s="1">
        <v>9.5930555555555558E-4</v>
      </c>
      <c r="G513" s="37">
        <v>2.19</v>
      </c>
      <c r="H513">
        <v>2.82</v>
      </c>
      <c r="I513" s="37">
        <v>1</v>
      </c>
      <c r="J513">
        <f t="shared" si="7"/>
        <v>2.82</v>
      </c>
    </row>
    <row r="514" spans="1:10" x14ac:dyDescent="0.3">
      <c r="A514" t="s">
        <v>3</v>
      </c>
      <c r="B514" t="s">
        <v>96</v>
      </c>
      <c r="C514" t="s">
        <v>43</v>
      </c>
      <c r="D514" t="s">
        <v>97</v>
      </c>
      <c r="E514" t="s">
        <v>16</v>
      </c>
      <c r="F514" s="1">
        <v>9.5938657407407398E-4</v>
      </c>
      <c r="G514" s="37">
        <v>2.21</v>
      </c>
      <c r="H514">
        <v>2.84</v>
      </c>
      <c r="I514" s="37">
        <v>1</v>
      </c>
      <c r="J514">
        <f t="shared" si="7"/>
        <v>2.84</v>
      </c>
    </row>
    <row r="515" spans="1:10" x14ac:dyDescent="0.3">
      <c r="A515" t="s">
        <v>3</v>
      </c>
      <c r="B515" t="s">
        <v>96</v>
      </c>
      <c r="C515" t="s">
        <v>43</v>
      </c>
      <c r="D515" t="s">
        <v>97</v>
      </c>
      <c r="E515" t="s">
        <v>17</v>
      </c>
      <c r="F515" s="1">
        <v>9.6228009259259248E-4</v>
      </c>
      <c r="G515" s="37">
        <v>2.19</v>
      </c>
      <c r="H515">
        <v>2.82</v>
      </c>
      <c r="I515" s="37">
        <v>1</v>
      </c>
      <c r="J515">
        <f t="shared" si="7"/>
        <v>2.82</v>
      </c>
    </row>
    <row r="516" spans="1:10" x14ac:dyDescent="0.3">
      <c r="A516" t="s">
        <v>3</v>
      </c>
      <c r="B516" t="s">
        <v>96</v>
      </c>
      <c r="C516" t="s">
        <v>43</v>
      </c>
      <c r="D516" t="s">
        <v>97</v>
      </c>
      <c r="E516" t="s">
        <v>18</v>
      </c>
      <c r="F516" s="1">
        <v>9.6327546296296298E-4</v>
      </c>
      <c r="G516" s="37">
        <v>2.2000000000000002</v>
      </c>
      <c r="H516">
        <v>2.82</v>
      </c>
      <c r="I516" s="37">
        <v>1</v>
      </c>
      <c r="J516">
        <f t="shared" ref="J516:J579" si="8">H516*I516</f>
        <v>2.82</v>
      </c>
    </row>
    <row r="517" spans="1:10" x14ac:dyDescent="0.3">
      <c r="A517" t="s">
        <v>3</v>
      </c>
      <c r="B517" t="s">
        <v>96</v>
      </c>
      <c r="C517" t="s">
        <v>43</v>
      </c>
      <c r="D517" t="s">
        <v>97</v>
      </c>
      <c r="E517" t="s">
        <v>19</v>
      </c>
      <c r="F517" s="1">
        <v>9.6384259259259253E-4</v>
      </c>
      <c r="G517" s="37">
        <v>2.19</v>
      </c>
      <c r="H517">
        <v>2.83</v>
      </c>
      <c r="I517" s="37">
        <v>1</v>
      </c>
      <c r="J517">
        <f t="shared" si="8"/>
        <v>2.83</v>
      </c>
    </row>
    <row r="518" spans="1:10" x14ac:dyDescent="0.3">
      <c r="A518" t="s">
        <v>3</v>
      </c>
      <c r="B518" t="s">
        <v>96</v>
      </c>
      <c r="C518" t="s">
        <v>43</v>
      </c>
      <c r="D518" t="s">
        <v>97</v>
      </c>
      <c r="E518" t="s">
        <v>45</v>
      </c>
      <c r="F518" s="1">
        <v>9.6638888888888881E-4</v>
      </c>
      <c r="G518" s="37">
        <v>2.16</v>
      </c>
      <c r="H518">
        <v>2.79</v>
      </c>
      <c r="I518" s="37">
        <v>1</v>
      </c>
      <c r="J518">
        <f t="shared" si="8"/>
        <v>2.79</v>
      </c>
    </row>
    <row r="519" spans="1:10" x14ac:dyDescent="0.3">
      <c r="A519" t="s">
        <v>3</v>
      </c>
      <c r="B519" t="s">
        <v>96</v>
      </c>
      <c r="C519" t="s">
        <v>43</v>
      </c>
      <c r="D519" t="s">
        <v>97</v>
      </c>
      <c r="E519" t="s">
        <v>46</v>
      </c>
      <c r="F519" s="1">
        <v>9.6418981481481475E-4</v>
      </c>
      <c r="G519" s="37">
        <v>2.1800000000000002</v>
      </c>
      <c r="H519">
        <v>2.83</v>
      </c>
      <c r="I519" s="37">
        <v>1</v>
      </c>
      <c r="J519">
        <f t="shared" si="8"/>
        <v>2.83</v>
      </c>
    </row>
    <row r="520" spans="1:10" x14ac:dyDescent="0.3">
      <c r="A520" t="s">
        <v>3</v>
      </c>
      <c r="B520" t="s">
        <v>96</v>
      </c>
      <c r="C520" t="s">
        <v>43</v>
      </c>
      <c r="D520" t="s">
        <v>97</v>
      </c>
      <c r="E520" t="s">
        <v>47</v>
      </c>
      <c r="F520" s="1">
        <v>9.653587962962963E-4</v>
      </c>
      <c r="G520" s="37">
        <v>2.17</v>
      </c>
      <c r="H520">
        <v>2.81</v>
      </c>
      <c r="I520" s="37">
        <v>1</v>
      </c>
      <c r="J520">
        <f t="shared" si="8"/>
        <v>2.81</v>
      </c>
    </row>
    <row r="521" spans="1:10" x14ac:dyDescent="0.3">
      <c r="A521" t="s">
        <v>3</v>
      </c>
      <c r="B521" t="s">
        <v>96</v>
      </c>
      <c r="C521" t="s">
        <v>43</v>
      </c>
      <c r="D521" t="s">
        <v>97</v>
      </c>
      <c r="E521" t="s">
        <v>48</v>
      </c>
      <c r="F521" s="1">
        <v>9.673032407407408E-4</v>
      </c>
      <c r="G521" s="37">
        <v>2.1800000000000002</v>
      </c>
      <c r="H521">
        <v>2.83</v>
      </c>
      <c r="I521" s="37">
        <v>1</v>
      </c>
      <c r="J521">
        <f t="shared" si="8"/>
        <v>2.83</v>
      </c>
    </row>
    <row r="522" spans="1:10" x14ac:dyDescent="0.3">
      <c r="A522" t="s">
        <v>3</v>
      </c>
      <c r="B522" t="s">
        <v>96</v>
      </c>
      <c r="C522" t="s">
        <v>43</v>
      </c>
      <c r="D522" t="s">
        <v>97</v>
      </c>
      <c r="E522" t="s">
        <v>49</v>
      </c>
      <c r="F522" s="1">
        <v>9.6951388888888879E-4</v>
      </c>
      <c r="G522" s="37">
        <v>2.1800000000000002</v>
      </c>
      <c r="H522">
        <v>2.82</v>
      </c>
      <c r="I522" s="37">
        <v>1</v>
      </c>
      <c r="J522">
        <f t="shared" si="8"/>
        <v>2.82</v>
      </c>
    </row>
    <row r="523" spans="1:10" x14ac:dyDescent="0.3">
      <c r="A523" t="s">
        <v>3</v>
      </c>
      <c r="B523" t="s">
        <v>96</v>
      </c>
      <c r="C523" t="s">
        <v>43</v>
      </c>
      <c r="D523" t="s">
        <v>97</v>
      </c>
      <c r="E523" t="s">
        <v>50</v>
      </c>
      <c r="F523" s="1">
        <v>9.691203703703704E-4</v>
      </c>
      <c r="G523" s="37">
        <v>2.13</v>
      </c>
      <c r="H523">
        <v>2.79</v>
      </c>
      <c r="I523" s="37">
        <v>1</v>
      </c>
      <c r="J523">
        <f t="shared" si="8"/>
        <v>2.79</v>
      </c>
    </row>
    <row r="524" spans="1:10" x14ac:dyDescent="0.3">
      <c r="A524" t="s">
        <v>3</v>
      </c>
      <c r="B524" t="s">
        <v>96</v>
      </c>
      <c r="C524" t="s">
        <v>43</v>
      </c>
      <c r="D524" t="s">
        <v>97</v>
      </c>
      <c r="E524" t="s">
        <v>51</v>
      </c>
      <c r="F524" s="1">
        <v>9.6885416666666669E-4</v>
      </c>
      <c r="G524" s="37">
        <v>2.17</v>
      </c>
      <c r="H524">
        <v>2.81</v>
      </c>
      <c r="I524" s="37">
        <v>1</v>
      </c>
      <c r="J524">
        <f t="shared" si="8"/>
        <v>2.81</v>
      </c>
    </row>
    <row r="525" spans="1:10" x14ac:dyDescent="0.3">
      <c r="A525" t="s">
        <v>3</v>
      </c>
      <c r="B525" t="s">
        <v>96</v>
      </c>
      <c r="C525" t="s">
        <v>43</v>
      </c>
      <c r="D525" t="s">
        <v>97</v>
      </c>
      <c r="E525" t="s">
        <v>52</v>
      </c>
      <c r="F525" s="1">
        <v>9.6874999999999999E-4</v>
      </c>
      <c r="G525" s="37">
        <v>2.14</v>
      </c>
      <c r="H525">
        <v>2.77</v>
      </c>
      <c r="I525" s="37">
        <v>1</v>
      </c>
      <c r="J525">
        <f t="shared" si="8"/>
        <v>2.77</v>
      </c>
    </row>
    <row r="526" spans="1:10" x14ac:dyDescent="0.3">
      <c r="A526" t="s">
        <v>3</v>
      </c>
      <c r="B526" t="s">
        <v>96</v>
      </c>
      <c r="C526" t="s">
        <v>43</v>
      </c>
      <c r="D526" t="s">
        <v>97</v>
      </c>
      <c r="E526" t="s">
        <v>53</v>
      </c>
      <c r="F526" s="1">
        <v>9.6892361111111116E-4</v>
      </c>
      <c r="G526" s="37">
        <v>2.12</v>
      </c>
      <c r="H526">
        <v>2.78</v>
      </c>
      <c r="I526" s="37">
        <v>1</v>
      </c>
      <c r="J526">
        <f t="shared" si="8"/>
        <v>2.78</v>
      </c>
    </row>
    <row r="527" spans="1:10" x14ac:dyDescent="0.3">
      <c r="A527" t="s">
        <v>3</v>
      </c>
      <c r="B527" t="s">
        <v>96</v>
      </c>
      <c r="C527" t="s">
        <v>43</v>
      </c>
      <c r="D527" t="s">
        <v>97</v>
      </c>
      <c r="E527" t="s">
        <v>54</v>
      </c>
      <c r="F527" s="1">
        <v>9.6847222222222224E-4</v>
      </c>
      <c r="G527" s="37">
        <v>2.15</v>
      </c>
      <c r="H527">
        <v>2.78</v>
      </c>
      <c r="I527" s="37">
        <v>1</v>
      </c>
      <c r="J527">
        <f t="shared" si="8"/>
        <v>2.78</v>
      </c>
    </row>
    <row r="528" spans="1:10" x14ac:dyDescent="0.3">
      <c r="A528" t="s">
        <v>3</v>
      </c>
      <c r="B528" t="s">
        <v>96</v>
      </c>
      <c r="C528" t="s">
        <v>43</v>
      </c>
      <c r="D528" t="s">
        <v>97</v>
      </c>
      <c r="E528" t="s">
        <v>55</v>
      </c>
      <c r="F528" s="1">
        <v>9.7451388888888902E-4</v>
      </c>
      <c r="G528" s="37">
        <v>2.09</v>
      </c>
      <c r="H528">
        <v>2.76</v>
      </c>
      <c r="I528" s="37">
        <v>1</v>
      </c>
      <c r="J528">
        <f t="shared" si="8"/>
        <v>2.76</v>
      </c>
    </row>
    <row r="529" spans="1:10" x14ac:dyDescent="0.3">
      <c r="A529" t="s">
        <v>3</v>
      </c>
      <c r="B529" t="s">
        <v>96</v>
      </c>
      <c r="C529" t="s">
        <v>43</v>
      </c>
      <c r="D529" t="s">
        <v>97</v>
      </c>
      <c r="E529" t="s">
        <v>56</v>
      </c>
      <c r="F529" s="1">
        <v>9.6879629629629638E-4</v>
      </c>
      <c r="G529" s="37">
        <v>2.13</v>
      </c>
      <c r="H529">
        <v>2.78</v>
      </c>
      <c r="I529" s="37">
        <v>1</v>
      </c>
      <c r="J529">
        <f t="shared" si="8"/>
        <v>2.78</v>
      </c>
    </row>
    <row r="530" spans="1:10" x14ac:dyDescent="0.3">
      <c r="A530" t="s">
        <v>3</v>
      </c>
      <c r="B530" t="s">
        <v>96</v>
      </c>
      <c r="C530" t="s">
        <v>43</v>
      </c>
      <c r="D530" t="s">
        <v>97</v>
      </c>
      <c r="E530" t="s">
        <v>58</v>
      </c>
      <c r="F530" s="1">
        <v>9.5556712962962967E-4</v>
      </c>
      <c r="G530" s="37">
        <v>2.17</v>
      </c>
      <c r="H530">
        <v>2.82</v>
      </c>
      <c r="I530" s="37">
        <v>1</v>
      </c>
      <c r="J530">
        <f t="shared" si="8"/>
        <v>2.82</v>
      </c>
    </row>
    <row r="531" spans="1:10" x14ac:dyDescent="0.3">
      <c r="A531" t="s">
        <v>3</v>
      </c>
      <c r="B531" t="s">
        <v>96</v>
      </c>
      <c r="C531" t="s">
        <v>43</v>
      </c>
      <c r="D531" t="s">
        <v>97</v>
      </c>
      <c r="E531" t="s">
        <v>72</v>
      </c>
      <c r="F531" s="1">
        <v>9.56261574074074E-4</v>
      </c>
      <c r="G531" s="37">
        <v>2.17</v>
      </c>
      <c r="H531">
        <v>2.81</v>
      </c>
      <c r="I531" s="37">
        <v>1</v>
      </c>
      <c r="J531">
        <f t="shared" si="8"/>
        <v>2.81</v>
      </c>
    </row>
    <row r="532" spans="1:10" x14ac:dyDescent="0.3">
      <c r="A532" t="s">
        <v>3</v>
      </c>
      <c r="B532" t="s">
        <v>96</v>
      </c>
      <c r="C532" t="s">
        <v>43</v>
      </c>
      <c r="D532" t="s">
        <v>97</v>
      </c>
      <c r="E532" t="s">
        <v>59</v>
      </c>
      <c r="F532" s="1">
        <v>9.5695601851851844E-4</v>
      </c>
      <c r="G532" s="37">
        <v>2.17</v>
      </c>
      <c r="H532">
        <v>2.81</v>
      </c>
      <c r="I532" s="37">
        <v>1</v>
      </c>
      <c r="J532">
        <f t="shared" si="8"/>
        <v>2.81</v>
      </c>
    </row>
    <row r="533" spans="1:10" x14ac:dyDescent="0.3">
      <c r="A533" t="s">
        <v>3</v>
      </c>
      <c r="B533" t="s">
        <v>96</v>
      </c>
      <c r="C533" t="s">
        <v>43</v>
      </c>
      <c r="D533" t="s">
        <v>97</v>
      </c>
      <c r="E533" t="s">
        <v>60</v>
      </c>
      <c r="F533" s="1">
        <v>9.5793981481481468E-4</v>
      </c>
      <c r="G533" s="37">
        <v>2.16</v>
      </c>
      <c r="H533">
        <v>2.79</v>
      </c>
      <c r="I533" s="37">
        <v>1</v>
      </c>
      <c r="J533">
        <f t="shared" si="8"/>
        <v>2.79</v>
      </c>
    </row>
    <row r="534" spans="1:10" x14ac:dyDescent="0.3">
      <c r="A534" t="s">
        <v>3</v>
      </c>
      <c r="B534" t="s">
        <v>96</v>
      </c>
      <c r="C534" t="s">
        <v>43</v>
      </c>
      <c r="D534" t="s">
        <v>97</v>
      </c>
      <c r="E534" t="s">
        <v>61</v>
      </c>
      <c r="F534" s="1">
        <v>9.5893518518518528E-4</v>
      </c>
      <c r="G534" s="37">
        <v>2.13</v>
      </c>
      <c r="H534">
        <v>2.77</v>
      </c>
      <c r="I534" s="37">
        <v>1</v>
      </c>
      <c r="J534">
        <f t="shared" si="8"/>
        <v>2.77</v>
      </c>
    </row>
    <row r="535" spans="1:10" x14ac:dyDescent="0.3">
      <c r="A535" t="s">
        <v>3</v>
      </c>
      <c r="B535" t="s">
        <v>96</v>
      </c>
      <c r="C535" t="s">
        <v>43</v>
      </c>
      <c r="D535" t="s">
        <v>97</v>
      </c>
      <c r="E535" t="s">
        <v>62</v>
      </c>
      <c r="F535" s="1">
        <v>9.6083333333333318E-4</v>
      </c>
      <c r="G535" s="37">
        <v>2.15</v>
      </c>
      <c r="H535">
        <v>2.78</v>
      </c>
      <c r="I535" s="37">
        <v>1</v>
      </c>
      <c r="J535">
        <f t="shared" si="8"/>
        <v>2.78</v>
      </c>
    </row>
    <row r="536" spans="1:10" x14ac:dyDescent="0.3">
      <c r="A536" t="s">
        <v>3</v>
      </c>
      <c r="B536" t="s">
        <v>96</v>
      </c>
      <c r="C536" t="s">
        <v>43</v>
      </c>
      <c r="D536" t="s">
        <v>97</v>
      </c>
      <c r="E536" t="s">
        <v>63</v>
      </c>
      <c r="F536" s="1">
        <v>9.6184027777777793E-4</v>
      </c>
      <c r="G536" s="37">
        <v>2.13</v>
      </c>
      <c r="H536">
        <v>2.77</v>
      </c>
      <c r="I536" s="37">
        <v>1</v>
      </c>
      <c r="J536">
        <f t="shared" si="8"/>
        <v>2.77</v>
      </c>
    </row>
    <row r="537" spans="1:10" x14ac:dyDescent="0.3">
      <c r="A537" t="s">
        <v>3</v>
      </c>
      <c r="B537" t="s">
        <v>96</v>
      </c>
      <c r="C537" t="s">
        <v>43</v>
      </c>
      <c r="D537" t="s">
        <v>97</v>
      </c>
      <c r="E537" t="s">
        <v>64</v>
      </c>
      <c r="F537" s="1">
        <v>9.6289351851851853E-4</v>
      </c>
      <c r="G537" s="37">
        <v>2.13</v>
      </c>
      <c r="H537">
        <v>2.77</v>
      </c>
      <c r="I537" s="37">
        <v>1</v>
      </c>
      <c r="J537">
        <f t="shared" si="8"/>
        <v>2.77</v>
      </c>
    </row>
    <row r="538" spans="1:10" x14ac:dyDescent="0.3">
      <c r="A538" t="s">
        <v>3</v>
      </c>
      <c r="B538" t="s">
        <v>96</v>
      </c>
      <c r="C538" t="s">
        <v>43</v>
      </c>
      <c r="D538" t="s">
        <v>97</v>
      </c>
      <c r="E538" t="s">
        <v>65</v>
      </c>
      <c r="F538" s="1">
        <v>9.6424768518518528E-4</v>
      </c>
      <c r="G538" s="37">
        <v>2.12</v>
      </c>
      <c r="H538">
        <v>2.75</v>
      </c>
      <c r="I538" s="37">
        <v>1</v>
      </c>
      <c r="J538">
        <f t="shared" si="8"/>
        <v>2.75</v>
      </c>
    </row>
    <row r="539" spans="1:10" x14ac:dyDescent="0.3">
      <c r="A539" t="s">
        <v>3</v>
      </c>
      <c r="B539" t="s">
        <v>96</v>
      </c>
      <c r="C539" t="s">
        <v>43</v>
      </c>
      <c r="D539" t="s">
        <v>97</v>
      </c>
      <c r="E539" t="s">
        <v>66</v>
      </c>
      <c r="F539" s="1">
        <v>9.7369212962962958E-4</v>
      </c>
      <c r="G539" s="37">
        <v>2.04</v>
      </c>
      <c r="H539">
        <v>2.65</v>
      </c>
      <c r="I539" s="37">
        <v>1</v>
      </c>
      <c r="J539">
        <f t="shared" si="8"/>
        <v>2.65</v>
      </c>
    </row>
    <row r="540" spans="1:10" x14ac:dyDescent="0.3">
      <c r="A540" t="s">
        <v>3</v>
      </c>
      <c r="B540" t="s">
        <v>96</v>
      </c>
      <c r="C540" t="s">
        <v>43</v>
      </c>
      <c r="D540" t="s">
        <v>97</v>
      </c>
      <c r="E540" t="s">
        <v>67</v>
      </c>
      <c r="F540" s="1">
        <v>9.6783564814814811E-4</v>
      </c>
      <c r="G540" s="37">
        <v>2.09</v>
      </c>
      <c r="H540">
        <v>2.7</v>
      </c>
      <c r="I540" s="37">
        <v>1</v>
      </c>
      <c r="J540">
        <f t="shared" si="8"/>
        <v>2.7</v>
      </c>
    </row>
    <row r="541" spans="1:10" x14ac:dyDescent="0.3">
      <c r="A541" t="s">
        <v>3</v>
      </c>
      <c r="B541" t="s">
        <v>96</v>
      </c>
      <c r="C541" t="s">
        <v>43</v>
      </c>
      <c r="D541" t="s">
        <v>97</v>
      </c>
      <c r="E541" t="s">
        <v>68</v>
      </c>
      <c r="F541" s="1">
        <v>9.6962962962962964E-4</v>
      </c>
      <c r="G541" s="37">
        <v>2.0699999999999998</v>
      </c>
      <c r="H541">
        <v>2.69</v>
      </c>
      <c r="I541" s="37">
        <v>1</v>
      </c>
      <c r="J541">
        <f t="shared" si="8"/>
        <v>2.69</v>
      </c>
    </row>
    <row r="542" spans="1:10" x14ac:dyDescent="0.3">
      <c r="A542" t="s">
        <v>3</v>
      </c>
      <c r="B542" t="s">
        <v>96</v>
      </c>
      <c r="C542" t="s">
        <v>43</v>
      </c>
      <c r="D542" t="s">
        <v>97</v>
      </c>
      <c r="E542" t="s">
        <v>69</v>
      </c>
      <c r="F542" s="1">
        <v>9.6958333333333326E-4</v>
      </c>
      <c r="G542" s="37">
        <v>2.0299999999999998</v>
      </c>
      <c r="H542">
        <v>2.65</v>
      </c>
      <c r="I542" s="37">
        <v>1</v>
      </c>
      <c r="J542">
        <f t="shared" si="8"/>
        <v>2.65</v>
      </c>
    </row>
    <row r="543" spans="1:10" x14ac:dyDescent="0.3">
      <c r="A543" t="s">
        <v>3</v>
      </c>
      <c r="B543" t="s">
        <v>96</v>
      </c>
      <c r="C543" t="s">
        <v>43</v>
      </c>
      <c r="D543" t="s">
        <v>97</v>
      </c>
      <c r="E543" t="s">
        <v>70</v>
      </c>
      <c r="F543" s="1">
        <v>9.7042824074074078E-4</v>
      </c>
      <c r="G543" s="37">
        <v>2.08</v>
      </c>
      <c r="H543">
        <v>2.71</v>
      </c>
      <c r="I543" s="37">
        <v>1</v>
      </c>
      <c r="J543">
        <f t="shared" si="8"/>
        <v>2.71</v>
      </c>
    </row>
    <row r="544" spans="1:10" x14ac:dyDescent="0.3">
      <c r="A544" t="s">
        <v>3</v>
      </c>
      <c r="B544" t="s">
        <v>96</v>
      </c>
      <c r="C544" t="s">
        <v>43</v>
      </c>
      <c r="D544" s="22" t="s">
        <v>97</v>
      </c>
      <c r="E544" t="s">
        <v>71</v>
      </c>
      <c r="F544" s="1">
        <v>9.7120370370370373E-4</v>
      </c>
      <c r="G544" s="37">
        <v>2.06</v>
      </c>
      <c r="H544">
        <v>2.68</v>
      </c>
      <c r="I544" s="37">
        <v>1</v>
      </c>
      <c r="J544">
        <f t="shared" si="8"/>
        <v>2.68</v>
      </c>
    </row>
    <row r="545" spans="1:10" x14ac:dyDescent="0.3">
      <c r="A545" t="s">
        <v>3</v>
      </c>
      <c r="B545" t="s">
        <v>98</v>
      </c>
      <c r="C545" t="s">
        <v>43</v>
      </c>
      <c r="D545" s="22" t="s">
        <v>99</v>
      </c>
      <c r="E545" t="s">
        <v>9</v>
      </c>
      <c r="F545" s="1">
        <v>9.6563657407407405E-4</v>
      </c>
      <c r="G545" s="37">
        <v>2.17</v>
      </c>
      <c r="H545">
        <v>3.41</v>
      </c>
      <c r="I545" s="37">
        <v>0.84099999999999997</v>
      </c>
      <c r="J545">
        <f t="shared" si="8"/>
        <v>2.86781</v>
      </c>
    </row>
    <row r="546" spans="1:10" x14ac:dyDescent="0.3">
      <c r="A546" t="s">
        <v>3</v>
      </c>
      <c r="B546" t="s">
        <v>98</v>
      </c>
      <c r="C546" t="s">
        <v>43</v>
      </c>
      <c r="D546" s="22" t="s">
        <v>99</v>
      </c>
      <c r="E546" t="s">
        <v>10</v>
      </c>
      <c r="F546" s="1">
        <v>9.5987268518518513E-4</v>
      </c>
      <c r="G546" s="37">
        <v>2.19</v>
      </c>
      <c r="H546">
        <v>3.41</v>
      </c>
      <c r="I546" s="37">
        <v>0.84099999999999997</v>
      </c>
      <c r="J546">
        <f t="shared" si="8"/>
        <v>2.86781</v>
      </c>
    </row>
    <row r="547" spans="1:10" x14ac:dyDescent="0.3">
      <c r="A547" t="s">
        <v>3</v>
      </c>
      <c r="B547" t="s">
        <v>98</v>
      </c>
      <c r="C547" t="s">
        <v>43</v>
      </c>
      <c r="D547" s="22" t="s">
        <v>99</v>
      </c>
      <c r="E547" t="s">
        <v>15</v>
      </c>
      <c r="F547" s="1">
        <v>9.5927083333333335E-4</v>
      </c>
      <c r="G547" s="37">
        <v>2.1800000000000002</v>
      </c>
      <c r="H547">
        <v>3.43</v>
      </c>
      <c r="I547" s="37">
        <v>0.84099999999999997</v>
      </c>
      <c r="J547">
        <f t="shared" si="8"/>
        <v>2.88463</v>
      </c>
    </row>
    <row r="548" spans="1:10" x14ac:dyDescent="0.3">
      <c r="A548" t="s">
        <v>3</v>
      </c>
      <c r="B548" t="s">
        <v>98</v>
      </c>
      <c r="C548" t="s">
        <v>43</v>
      </c>
      <c r="D548" s="22" t="s">
        <v>99</v>
      </c>
      <c r="E548" t="s">
        <v>16</v>
      </c>
      <c r="F548" s="1">
        <v>9.6006944444444449E-4</v>
      </c>
      <c r="G548" s="37">
        <v>2.2000000000000002</v>
      </c>
      <c r="H548">
        <v>3.44</v>
      </c>
      <c r="I548" s="37">
        <v>0.84099999999999997</v>
      </c>
      <c r="J548">
        <f t="shared" si="8"/>
        <v>2.8930400000000001</v>
      </c>
    </row>
    <row r="549" spans="1:10" x14ac:dyDescent="0.3">
      <c r="A549" t="s">
        <v>3</v>
      </c>
      <c r="B549" t="s">
        <v>98</v>
      </c>
      <c r="C549" t="s">
        <v>43</v>
      </c>
      <c r="D549" s="22" t="s">
        <v>99</v>
      </c>
      <c r="E549" t="s">
        <v>17</v>
      </c>
      <c r="F549" s="1">
        <v>9.6238425925925929E-4</v>
      </c>
      <c r="G549" s="37">
        <v>2.1800000000000002</v>
      </c>
      <c r="H549">
        <v>3.42</v>
      </c>
      <c r="I549" s="37">
        <v>0.84099999999999997</v>
      </c>
      <c r="J549">
        <f t="shared" si="8"/>
        <v>2.87622</v>
      </c>
    </row>
    <row r="550" spans="1:10" x14ac:dyDescent="0.3">
      <c r="A550" t="s">
        <v>3</v>
      </c>
      <c r="B550" t="s">
        <v>98</v>
      </c>
      <c r="C550" t="s">
        <v>43</v>
      </c>
      <c r="D550" s="22" t="s">
        <v>99</v>
      </c>
      <c r="E550" t="s">
        <v>18</v>
      </c>
      <c r="F550" s="1">
        <v>9.6331018518518521E-4</v>
      </c>
      <c r="G550" s="37">
        <v>2.19</v>
      </c>
      <c r="H550">
        <v>3.43</v>
      </c>
      <c r="I550" s="37">
        <v>0.84099999999999997</v>
      </c>
      <c r="J550">
        <f t="shared" si="8"/>
        <v>2.88463</v>
      </c>
    </row>
    <row r="551" spans="1:10" x14ac:dyDescent="0.3">
      <c r="A551" t="s">
        <v>3</v>
      </c>
      <c r="B551" t="s">
        <v>98</v>
      </c>
      <c r="C551" t="s">
        <v>43</v>
      </c>
      <c r="D551" s="22" t="s">
        <v>99</v>
      </c>
      <c r="E551" t="s">
        <v>19</v>
      </c>
      <c r="F551" s="1">
        <v>9.6673611111111103E-4</v>
      </c>
      <c r="G551" s="37">
        <v>2.19</v>
      </c>
      <c r="H551">
        <v>3.43</v>
      </c>
      <c r="I551" s="37">
        <v>0.84099999999999997</v>
      </c>
      <c r="J551">
        <f t="shared" si="8"/>
        <v>2.88463</v>
      </c>
    </row>
    <row r="552" spans="1:10" x14ac:dyDescent="0.3">
      <c r="A552" t="s">
        <v>3</v>
      </c>
      <c r="B552" t="s">
        <v>98</v>
      </c>
      <c r="C552" t="s">
        <v>43</v>
      </c>
      <c r="D552" s="22" t="s">
        <v>99</v>
      </c>
      <c r="E552" t="s">
        <v>45</v>
      </c>
      <c r="F552" s="1">
        <v>9.6545138888888885E-4</v>
      </c>
      <c r="G552" s="37">
        <v>2.19</v>
      </c>
      <c r="H552">
        <v>3.44</v>
      </c>
      <c r="I552" s="37">
        <v>0.84099999999999997</v>
      </c>
      <c r="J552">
        <f t="shared" si="8"/>
        <v>2.8930400000000001</v>
      </c>
    </row>
    <row r="553" spans="1:10" x14ac:dyDescent="0.3">
      <c r="A553" t="s">
        <v>3</v>
      </c>
      <c r="B553" t="s">
        <v>98</v>
      </c>
      <c r="C553" t="s">
        <v>43</v>
      </c>
      <c r="D553" s="22" t="s">
        <v>99</v>
      </c>
      <c r="E553" t="s">
        <v>46</v>
      </c>
      <c r="F553" s="1">
        <v>9.6579861111111107E-4</v>
      </c>
      <c r="G553" s="37">
        <v>2.2000000000000002</v>
      </c>
      <c r="H553">
        <v>3.44</v>
      </c>
      <c r="I553" s="37">
        <v>0.84099999999999997</v>
      </c>
      <c r="J553">
        <f t="shared" si="8"/>
        <v>2.8930400000000001</v>
      </c>
    </row>
    <row r="554" spans="1:10" x14ac:dyDescent="0.3">
      <c r="A554" t="s">
        <v>3</v>
      </c>
      <c r="B554" t="s">
        <v>98</v>
      </c>
      <c r="C554" t="s">
        <v>43</v>
      </c>
      <c r="D554" s="22" t="s">
        <v>99</v>
      </c>
      <c r="E554" t="s">
        <v>47</v>
      </c>
      <c r="F554" s="1">
        <v>9.6518518518518513E-4</v>
      </c>
      <c r="G554" s="37">
        <v>2.21</v>
      </c>
      <c r="H554">
        <v>3.44</v>
      </c>
      <c r="I554" s="37">
        <v>0.84099999999999997</v>
      </c>
      <c r="J554">
        <f t="shared" si="8"/>
        <v>2.8930400000000001</v>
      </c>
    </row>
    <row r="555" spans="1:10" x14ac:dyDescent="0.3">
      <c r="A555" t="s">
        <v>3</v>
      </c>
      <c r="B555" t="s">
        <v>98</v>
      </c>
      <c r="C555" t="s">
        <v>43</v>
      </c>
      <c r="D555" s="22" t="s">
        <v>99</v>
      </c>
      <c r="E555" t="s">
        <v>48</v>
      </c>
      <c r="F555" s="1">
        <v>9.7157407407407414E-4</v>
      </c>
      <c r="G555" s="37">
        <v>2.2200000000000002</v>
      </c>
      <c r="H555">
        <v>3.47</v>
      </c>
      <c r="I555" s="37">
        <v>0.84099999999999997</v>
      </c>
      <c r="J555">
        <f t="shared" si="8"/>
        <v>2.9182700000000001</v>
      </c>
    </row>
    <row r="556" spans="1:10" x14ac:dyDescent="0.3">
      <c r="A556" t="s">
        <v>3</v>
      </c>
      <c r="B556" t="s">
        <v>98</v>
      </c>
      <c r="C556" t="s">
        <v>43</v>
      </c>
      <c r="D556" s="22" t="s">
        <v>99</v>
      </c>
      <c r="E556" t="s">
        <v>49</v>
      </c>
      <c r="F556" s="1">
        <v>9.7060185185185183E-4</v>
      </c>
      <c r="G556" s="37">
        <v>2.1800000000000002</v>
      </c>
      <c r="H556">
        <v>3.42</v>
      </c>
      <c r="I556" s="37">
        <v>0.84099999999999997</v>
      </c>
      <c r="J556">
        <f t="shared" si="8"/>
        <v>2.87622</v>
      </c>
    </row>
    <row r="557" spans="1:10" x14ac:dyDescent="0.3">
      <c r="A557" t="s">
        <v>3</v>
      </c>
      <c r="B557" t="s">
        <v>98</v>
      </c>
      <c r="C557" t="s">
        <v>43</v>
      </c>
      <c r="D557" s="22" t="s">
        <v>99</v>
      </c>
      <c r="E557" t="s">
        <v>50</v>
      </c>
      <c r="F557" s="1">
        <v>9.7026620370370376E-4</v>
      </c>
      <c r="G557" s="37">
        <v>2.2000000000000002</v>
      </c>
      <c r="H557">
        <v>3.45</v>
      </c>
      <c r="I557" s="37">
        <v>0.84099999999999997</v>
      </c>
      <c r="J557">
        <f t="shared" si="8"/>
        <v>2.9014500000000001</v>
      </c>
    </row>
    <row r="558" spans="1:10" x14ac:dyDescent="0.3">
      <c r="A558" t="s">
        <v>3</v>
      </c>
      <c r="B558" t="s">
        <v>98</v>
      </c>
      <c r="C558" t="s">
        <v>43</v>
      </c>
      <c r="D558" s="22" t="s">
        <v>99</v>
      </c>
      <c r="E558" t="s">
        <v>51</v>
      </c>
      <c r="F558" s="1">
        <v>9.7008101851851845E-4</v>
      </c>
      <c r="G558" s="37">
        <v>2.2000000000000002</v>
      </c>
      <c r="H558">
        <v>3.43</v>
      </c>
      <c r="I558" s="37">
        <v>0.84099999999999997</v>
      </c>
      <c r="J558">
        <f t="shared" si="8"/>
        <v>2.88463</v>
      </c>
    </row>
    <row r="559" spans="1:10" x14ac:dyDescent="0.3">
      <c r="A559" t="s">
        <v>3</v>
      </c>
      <c r="B559" t="s">
        <v>98</v>
      </c>
      <c r="C559" t="s">
        <v>43</v>
      </c>
      <c r="D559" s="22" t="s">
        <v>99</v>
      </c>
      <c r="E559" t="s">
        <v>52</v>
      </c>
      <c r="F559" s="1">
        <v>9.6857638888888894E-4</v>
      </c>
      <c r="G559" s="37">
        <v>2.2000000000000002</v>
      </c>
      <c r="H559">
        <v>3.45</v>
      </c>
      <c r="I559" s="37">
        <v>0.84099999999999997</v>
      </c>
      <c r="J559">
        <f t="shared" si="8"/>
        <v>2.9014500000000001</v>
      </c>
    </row>
    <row r="560" spans="1:10" x14ac:dyDescent="0.3">
      <c r="A560" t="s">
        <v>3</v>
      </c>
      <c r="B560" t="s">
        <v>98</v>
      </c>
      <c r="C560" t="s">
        <v>43</v>
      </c>
      <c r="D560" s="22" t="s">
        <v>99</v>
      </c>
      <c r="E560" t="s">
        <v>53</v>
      </c>
      <c r="F560" s="1">
        <v>9.7118055555555553E-4</v>
      </c>
      <c r="G560" s="37">
        <v>2.19</v>
      </c>
      <c r="H560">
        <v>3.44</v>
      </c>
      <c r="I560" s="37">
        <v>0.84099999999999997</v>
      </c>
      <c r="J560">
        <f t="shared" si="8"/>
        <v>2.8930400000000001</v>
      </c>
    </row>
    <row r="561" spans="1:10" x14ac:dyDescent="0.3">
      <c r="A561" t="s">
        <v>3</v>
      </c>
      <c r="B561" t="s">
        <v>98</v>
      </c>
      <c r="C561" t="s">
        <v>43</v>
      </c>
      <c r="D561" s="22" t="s">
        <v>99</v>
      </c>
      <c r="E561" t="s">
        <v>54</v>
      </c>
      <c r="F561" s="1">
        <v>9.6916666666666668E-4</v>
      </c>
      <c r="G561" s="37">
        <v>2.1800000000000002</v>
      </c>
      <c r="H561">
        <v>3.42</v>
      </c>
      <c r="I561" s="37">
        <v>0.84099999999999997</v>
      </c>
      <c r="J561">
        <f t="shared" si="8"/>
        <v>2.87622</v>
      </c>
    </row>
    <row r="562" spans="1:10" x14ac:dyDescent="0.3">
      <c r="A562" t="s">
        <v>3</v>
      </c>
      <c r="B562" t="s">
        <v>98</v>
      </c>
      <c r="C562" t="s">
        <v>43</v>
      </c>
      <c r="D562" s="22" t="s">
        <v>99</v>
      </c>
      <c r="E562" t="s">
        <v>55</v>
      </c>
      <c r="F562" s="1">
        <v>9.6951388888888879E-4</v>
      </c>
      <c r="G562" s="37">
        <v>2.19</v>
      </c>
      <c r="H562">
        <v>3.45</v>
      </c>
      <c r="I562" s="37">
        <v>0.84099999999999997</v>
      </c>
      <c r="J562">
        <f t="shared" si="8"/>
        <v>2.9014500000000001</v>
      </c>
    </row>
    <row r="563" spans="1:10" x14ac:dyDescent="0.3">
      <c r="A563" t="s">
        <v>3</v>
      </c>
      <c r="B563" t="s">
        <v>98</v>
      </c>
      <c r="C563" t="s">
        <v>43</v>
      </c>
      <c r="D563" s="22" t="s">
        <v>99</v>
      </c>
      <c r="E563" t="s">
        <v>57</v>
      </c>
      <c r="F563" s="1">
        <v>9.6539351851851853E-4</v>
      </c>
      <c r="G563" s="37">
        <v>2.17</v>
      </c>
      <c r="H563">
        <v>3.39</v>
      </c>
      <c r="I563" s="37">
        <v>0.84099999999999997</v>
      </c>
      <c r="J563">
        <f t="shared" si="8"/>
        <v>2.8509899999999999</v>
      </c>
    </row>
    <row r="564" spans="1:10" x14ac:dyDescent="0.3">
      <c r="A564" t="s">
        <v>3</v>
      </c>
      <c r="B564" t="s">
        <v>98</v>
      </c>
      <c r="C564" t="s">
        <v>43</v>
      </c>
      <c r="D564" s="22" t="s">
        <v>99</v>
      </c>
      <c r="E564" t="s">
        <v>58</v>
      </c>
      <c r="F564" s="1">
        <v>9.6118055555555551E-4</v>
      </c>
      <c r="G564" s="37">
        <v>2.17</v>
      </c>
      <c r="H564">
        <v>3.4</v>
      </c>
      <c r="I564" s="37">
        <v>0.84099999999999997</v>
      </c>
      <c r="J564">
        <f t="shared" si="8"/>
        <v>2.8593999999999999</v>
      </c>
    </row>
    <row r="565" spans="1:10" x14ac:dyDescent="0.3">
      <c r="A565" t="s">
        <v>3</v>
      </c>
      <c r="B565" t="s">
        <v>98</v>
      </c>
      <c r="C565" t="s">
        <v>43</v>
      </c>
      <c r="D565" s="22" t="s">
        <v>99</v>
      </c>
      <c r="E565" t="s">
        <v>72</v>
      </c>
      <c r="F565" s="1">
        <v>9.5405092592592601E-4</v>
      </c>
      <c r="G565" s="37">
        <v>2.1800000000000002</v>
      </c>
      <c r="H565">
        <v>3.41</v>
      </c>
      <c r="I565" s="37">
        <v>0.84099999999999997</v>
      </c>
      <c r="J565">
        <f t="shared" si="8"/>
        <v>2.86781</v>
      </c>
    </row>
    <row r="566" spans="1:10" x14ac:dyDescent="0.3">
      <c r="A566" t="s">
        <v>3</v>
      </c>
      <c r="B566" t="s">
        <v>98</v>
      </c>
      <c r="C566" t="s">
        <v>43</v>
      </c>
      <c r="D566" s="22" t="s">
        <v>99</v>
      </c>
      <c r="E566" t="s">
        <v>59</v>
      </c>
      <c r="F566" s="1">
        <v>9.5671296296296292E-4</v>
      </c>
      <c r="G566" s="37">
        <v>2.16</v>
      </c>
      <c r="H566">
        <v>3.4</v>
      </c>
      <c r="I566" s="37">
        <v>0.84099999999999997</v>
      </c>
      <c r="J566">
        <f t="shared" si="8"/>
        <v>2.8593999999999999</v>
      </c>
    </row>
    <row r="567" spans="1:10" x14ac:dyDescent="0.3">
      <c r="A567" t="s">
        <v>3</v>
      </c>
      <c r="B567" t="s">
        <v>98</v>
      </c>
      <c r="C567" t="s">
        <v>43</v>
      </c>
      <c r="D567" s="22" t="s">
        <v>99</v>
      </c>
      <c r="E567" t="s">
        <v>60</v>
      </c>
      <c r="F567" s="1">
        <v>9.6297453703703692E-4</v>
      </c>
      <c r="G567" s="37">
        <v>2.16</v>
      </c>
      <c r="H567">
        <v>3.38</v>
      </c>
      <c r="I567" s="37">
        <v>0.84099999999999997</v>
      </c>
      <c r="J567">
        <f t="shared" si="8"/>
        <v>2.8425799999999999</v>
      </c>
    </row>
    <row r="568" spans="1:10" x14ac:dyDescent="0.3">
      <c r="A568" t="s">
        <v>3</v>
      </c>
      <c r="B568" t="s">
        <v>98</v>
      </c>
      <c r="C568" t="s">
        <v>43</v>
      </c>
      <c r="D568" s="22" t="s">
        <v>99</v>
      </c>
      <c r="E568" t="s">
        <v>61</v>
      </c>
      <c r="F568" s="1">
        <v>9.5898148148148145E-4</v>
      </c>
      <c r="G568" s="37">
        <v>2.16</v>
      </c>
      <c r="H568">
        <v>3.39</v>
      </c>
      <c r="I568" s="37">
        <v>0.84099999999999997</v>
      </c>
      <c r="J568">
        <f t="shared" si="8"/>
        <v>2.8509899999999999</v>
      </c>
    </row>
    <row r="569" spans="1:10" x14ac:dyDescent="0.3">
      <c r="A569" t="s">
        <v>3</v>
      </c>
      <c r="B569" t="s">
        <v>98</v>
      </c>
      <c r="C569" t="s">
        <v>43</v>
      </c>
      <c r="D569" s="22" t="s">
        <v>99</v>
      </c>
      <c r="E569" t="s">
        <v>62</v>
      </c>
      <c r="F569" s="1">
        <v>9.602314814814815E-4</v>
      </c>
      <c r="G569" s="37">
        <v>2.16</v>
      </c>
      <c r="H569">
        <v>3.37</v>
      </c>
      <c r="I569" s="37">
        <v>0.84099999999999997</v>
      </c>
      <c r="J569">
        <f t="shared" si="8"/>
        <v>2.8341699999999999</v>
      </c>
    </row>
    <row r="570" spans="1:10" x14ac:dyDescent="0.3">
      <c r="A570" t="s">
        <v>3</v>
      </c>
      <c r="B570" t="s">
        <v>98</v>
      </c>
      <c r="C570" t="s">
        <v>43</v>
      </c>
      <c r="D570" s="22" t="s">
        <v>99</v>
      </c>
      <c r="E570" t="s">
        <v>63</v>
      </c>
      <c r="F570" s="1">
        <v>9.6251157407407407E-4</v>
      </c>
      <c r="G570" s="37">
        <v>2.17</v>
      </c>
      <c r="H570">
        <v>3.4</v>
      </c>
      <c r="I570" s="37">
        <v>0.84099999999999997</v>
      </c>
      <c r="J570">
        <f t="shared" si="8"/>
        <v>2.8593999999999999</v>
      </c>
    </row>
    <row r="571" spans="1:10" x14ac:dyDescent="0.3">
      <c r="A571" t="s">
        <v>3</v>
      </c>
      <c r="B571" t="s">
        <v>98</v>
      </c>
      <c r="C571" t="s">
        <v>43</v>
      </c>
      <c r="D571" s="22" t="s">
        <v>99</v>
      </c>
      <c r="E571" t="s">
        <v>64</v>
      </c>
      <c r="F571" s="1">
        <v>9.6284722222222214E-4</v>
      </c>
      <c r="G571" s="37">
        <v>2.16</v>
      </c>
      <c r="H571">
        <v>3.41</v>
      </c>
      <c r="I571" s="37">
        <v>0.84099999999999997</v>
      </c>
      <c r="J571">
        <f t="shared" si="8"/>
        <v>2.86781</v>
      </c>
    </row>
    <row r="572" spans="1:10" x14ac:dyDescent="0.3">
      <c r="A572" t="s">
        <v>3</v>
      </c>
      <c r="B572" t="s">
        <v>98</v>
      </c>
      <c r="C572" t="s">
        <v>43</v>
      </c>
      <c r="D572" s="22" t="s">
        <v>99</v>
      </c>
      <c r="E572" t="s">
        <v>65</v>
      </c>
      <c r="F572" s="1">
        <v>9.6280092592592598E-4</v>
      </c>
      <c r="G572" s="37">
        <v>2.17</v>
      </c>
      <c r="H572">
        <v>3.41</v>
      </c>
      <c r="I572" s="37">
        <v>0.84099999999999997</v>
      </c>
      <c r="J572">
        <f t="shared" si="8"/>
        <v>2.86781</v>
      </c>
    </row>
    <row r="573" spans="1:10" x14ac:dyDescent="0.3">
      <c r="A573" t="s">
        <v>3</v>
      </c>
      <c r="B573" t="s">
        <v>98</v>
      </c>
      <c r="C573" t="s">
        <v>43</v>
      </c>
      <c r="D573" s="22" t="s">
        <v>99</v>
      </c>
      <c r="E573" t="s">
        <v>66</v>
      </c>
      <c r="F573" s="1">
        <v>9.6678240740740741E-4</v>
      </c>
      <c r="G573" s="37">
        <v>2.11</v>
      </c>
      <c r="H573">
        <v>3.3</v>
      </c>
      <c r="I573" s="37">
        <v>0.84099999999999997</v>
      </c>
      <c r="J573">
        <f t="shared" si="8"/>
        <v>2.7752999999999997</v>
      </c>
    </row>
    <row r="574" spans="1:10" x14ac:dyDescent="0.3">
      <c r="A574" t="s">
        <v>3</v>
      </c>
      <c r="B574" t="s">
        <v>98</v>
      </c>
      <c r="C574" t="s">
        <v>43</v>
      </c>
      <c r="D574" s="22" t="s">
        <v>99</v>
      </c>
      <c r="E574" t="s">
        <v>67</v>
      </c>
      <c r="F574" s="1">
        <v>9.6799768518518524E-4</v>
      </c>
      <c r="G574" s="37">
        <v>2.11</v>
      </c>
      <c r="H574">
        <v>3.31</v>
      </c>
      <c r="I574" s="37">
        <v>0.84099999999999997</v>
      </c>
      <c r="J574">
        <f t="shared" si="8"/>
        <v>2.7837100000000001</v>
      </c>
    </row>
    <row r="575" spans="1:10" x14ac:dyDescent="0.3">
      <c r="A575" t="s">
        <v>3</v>
      </c>
      <c r="B575" t="s">
        <v>98</v>
      </c>
      <c r="C575" t="s">
        <v>43</v>
      </c>
      <c r="D575" s="22" t="s">
        <v>99</v>
      </c>
      <c r="E575" t="s">
        <v>68</v>
      </c>
      <c r="F575" s="1">
        <v>9.6944444444444454E-4</v>
      </c>
      <c r="G575" s="37">
        <v>2.08</v>
      </c>
      <c r="H575">
        <v>3.28</v>
      </c>
      <c r="I575" s="37">
        <v>0.84099999999999997</v>
      </c>
      <c r="J575">
        <f t="shared" si="8"/>
        <v>2.7584799999999996</v>
      </c>
    </row>
    <row r="576" spans="1:10" x14ac:dyDescent="0.3">
      <c r="A576" t="s">
        <v>3</v>
      </c>
      <c r="B576" t="s">
        <v>98</v>
      </c>
      <c r="C576" t="s">
        <v>43</v>
      </c>
      <c r="D576" s="22" t="s">
        <v>99</v>
      </c>
      <c r="E576" t="s">
        <v>69</v>
      </c>
      <c r="F576" s="1">
        <v>9.6956018518518517E-4</v>
      </c>
      <c r="G576" s="37">
        <v>2.1</v>
      </c>
      <c r="H576">
        <v>3.29</v>
      </c>
      <c r="I576" s="37">
        <v>0.84099999999999997</v>
      </c>
      <c r="J576">
        <f t="shared" si="8"/>
        <v>2.7668900000000001</v>
      </c>
    </row>
    <row r="577" spans="1:10" x14ac:dyDescent="0.3">
      <c r="A577" t="s">
        <v>3</v>
      </c>
      <c r="B577" t="s">
        <v>98</v>
      </c>
      <c r="C577" t="s">
        <v>43</v>
      </c>
      <c r="D577" t="s">
        <v>99</v>
      </c>
      <c r="E577" t="s">
        <v>70</v>
      </c>
      <c r="F577" s="1">
        <v>9.7256944444444441E-4</v>
      </c>
      <c r="G577" s="37">
        <v>2.11</v>
      </c>
      <c r="H577">
        <v>3.3</v>
      </c>
      <c r="I577" s="37">
        <v>0.84099999999999997</v>
      </c>
      <c r="J577">
        <f t="shared" si="8"/>
        <v>2.7752999999999997</v>
      </c>
    </row>
    <row r="578" spans="1:10" x14ac:dyDescent="0.3">
      <c r="A578" t="s">
        <v>3</v>
      </c>
      <c r="B578" t="s">
        <v>98</v>
      </c>
      <c r="C578" t="s">
        <v>43</v>
      </c>
      <c r="D578" t="s">
        <v>99</v>
      </c>
      <c r="E578" t="s">
        <v>71</v>
      </c>
      <c r="F578" s="1">
        <v>9.6910879629629625E-4</v>
      </c>
      <c r="G578" s="37">
        <v>2.1</v>
      </c>
      <c r="H578">
        <v>3.3</v>
      </c>
      <c r="I578" s="37">
        <v>0.84099999999999997</v>
      </c>
      <c r="J578">
        <f t="shared" si="8"/>
        <v>2.7752999999999997</v>
      </c>
    </row>
    <row r="579" spans="1:10" x14ac:dyDescent="0.3">
      <c r="A579" t="s">
        <v>100</v>
      </c>
      <c r="B579" t="s">
        <v>23</v>
      </c>
      <c r="C579" t="s">
        <v>43</v>
      </c>
      <c r="D579" s="22">
        <v>0.73502314814814818</v>
      </c>
      <c r="E579" t="s">
        <v>8</v>
      </c>
      <c r="F579" s="1">
        <v>9.7906250000000011E-4</v>
      </c>
      <c r="G579" s="37">
        <v>2.2999999999999998</v>
      </c>
      <c r="H579">
        <v>3.57</v>
      </c>
      <c r="I579" s="37">
        <v>0.84499999999999997</v>
      </c>
      <c r="J579">
        <f t="shared" si="8"/>
        <v>3.0166499999999998</v>
      </c>
    </row>
    <row r="580" spans="1:10" x14ac:dyDescent="0.3">
      <c r="A580" t="s">
        <v>100</v>
      </c>
      <c r="B580" t="s">
        <v>23</v>
      </c>
      <c r="C580" t="s">
        <v>43</v>
      </c>
      <c r="D580" s="22">
        <v>0.73502314814814818</v>
      </c>
      <c r="E580" t="s">
        <v>9</v>
      </c>
      <c r="F580" s="1">
        <v>9.8074074074074079E-4</v>
      </c>
      <c r="G580" s="37">
        <v>2.3199999999999998</v>
      </c>
      <c r="H580">
        <v>3.62</v>
      </c>
      <c r="I580" s="37">
        <v>0.84499999999999997</v>
      </c>
      <c r="J580">
        <f t="shared" ref="J580:J643" si="9">H580*I580</f>
        <v>3.0589</v>
      </c>
    </row>
    <row r="581" spans="1:10" x14ac:dyDescent="0.3">
      <c r="A581" t="s">
        <v>100</v>
      </c>
      <c r="B581" t="s">
        <v>23</v>
      </c>
      <c r="C581" t="s">
        <v>43</v>
      </c>
      <c r="D581" s="22">
        <v>0.73502314814814818</v>
      </c>
      <c r="E581" t="s">
        <v>10</v>
      </c>
      <c r="F581" s="1">
        <v>9.804282407407407E-4</v>
      </c>
      <c r="G581" s="37">
        <v>2.2999999999999998</v>
      </c>
      <c r="H581">
        <v>3.57</v>
      </c>
      <c r="I581" s="37">
        <v>0.84499999999999997</v>
      </c>
      <c r="J581">
        <f t="shared" si="9"/>
        <v>3.0166499999999998</v>
      </c>
    </row>
    <row r="582" spans="1:10" x14ac:dyDescent="0.3">
      <c r="A582" t="s">
        <v>100</v>
      </c>
      <c r="B582" t="s">
        <v>23</v>
      </c>
      <c r="C582" t="s">
        <v>43</v>
      </c>
      <c r="D582" s="22">
        <v>0.73502314814814818</v>
      </c>
      <c r="E582" t="s">
        <v>15</v>
      </c>
      <c r="F582" s="1">
        <v>9.7665509259259255E-4</v>
      </c>
      <c r="G582" s="37">
        <v>2.34</v>
      </c>
      <c r="H582">
        <v>3.64</v>
      </c>
      <c r="I582" s="37">
        <v>0.84499999999999997</v>
      </c>
      <c r="J582">
        <f t="shared" si="9"/>
        <v>3.0758000000000001</v>
      </c>
    </row>
    <row r="583" spans="1:10" x14ac:dyDescent="0.3">
      <c r="A583" t="s">
        <v>100</v>
      </c>
      <c r="B583" t="s">
        <v>23</v>
      </c>
      <c r="C583" t="s">
        <v>43</v>
      </c>
      <c r="D583" s="22">
        <v>0.73502314814814818</v>
      </c>
      <c r="E583" t="s">
        <v>16</v>
      </c>
      <c r="F583" s="1">
        <v>9.8156250000000001E-4</v>
      </c>
      <c r="G583" s="37">
        <v>2.33</v>
      </c>
      <c r="H583">
        <v>3.62</v>
      </c>
      <c r="I583" s="37">
        <v>0.84499999999999997</v>
      </c>
      <c r="J583">
        <f t="shared" si="9"/>
        <v>3.0589</v>
      </c>
    </row>
    <row r="584" spans="1:10" x14ac:dyDescent="0.3">
      <c r="A584" t="s">
        <v>100</v>
      </c>
      <c r="B584" t="s">
        <v>23</v>
      </c>
      <c r="C584" t="s">
        <v>43</v>
      </c>
      <c r="D584" s="22">
        <v>0.73502314814814818</v>
      </c>
      <c r="E584" t="s">
        <v>17</v>
      </c>
      <c r="F584" s="1">
        <v>9.7934027777777776E-4</v>
      </c>
      <c r="G584" s="37">
        <v>2.2999999999999998</v>
      </c>
      <c r="H584">
        <v>3.56</v>
      </c>
      <c r="I584" s="37">
        <v>0.84499999999999997</v>
      </c>
      <c r="J584">
        <f t="shared" si="9"/>
        <v>3.0082</v>
      </c>
    </row>
    <row r="585" spans="1:10" x14ac:dyDescent="0.3">
      <c r="A585" t="s">
        <v>100</v>
      </c>
      <c r="B585" t="s">
        <v>23</v>
      </c>
      <c r="C585" t="s">
        <v>43</v>
      </c>
      <c r="D585" s="22">
        <v>0.73502314814814818</v>
      </c>
      <c r="E585" t="s">
        <v>18</v>
      </c>
      <c r="F585" s="1">
        <v>9.7825231481481483E-4</v>
      </c>
      <c r="G585" s="37">
        <v>2.34</v>
      </c>
      <c r="H585">
        <v>3.62</v>
      </c>
      <c r="I585" s="37">
        <v>0.84499999999999997</v>
      </c>
      <c r="J585">
        <f t="shared" si="9"/>
        <v>3.0589</v>
      </c>
    </row>
    <row r="586" spans="1:10" x14ac:dyDescent="0.3">
      <c r="A586" t="s">
        <v>100</v>
      </c>
      <c r="B586" t="s">
        <v>23</v>
      </c>
      <c r="C586" t="s">
        <v>43</v>
      </c>
      <c r="D586" s="22">
        <v>0.73502314814814818</v>
      </c>
      <c r="E586" t="s">
        <v>19</v>
      </c>
      <c r="F586" s="1">
        <v>9.7888888888888873E-4</v>
      </c>
      <c r="G586" s="37">
        <v>2.31</v>
      </c>
      <c r="H586">
        <v>3.58</v>
      </c>
      <c r="I586" s="37">
        <v>0.84499999999999997</v>
      </c>
      <c r="J586">
        <f t="shared" si="9"/>
        <v>3.0251000000000001</v>
      </c>
    </row>
    <row r="587" spans="1:10" x14ac:dyDescent="0.3">
      <c r="A587" t="s">
        <v>100</v>
      </c>
      <c r="B587" t="s">
        <v>23</v>
      </c>
      <c r="C587" t="s">
        <v>43</v>
      </c>
      <c r="D587" s="22">
        <v>0.73502314814814818</v>
      </c>
      <c r="E587" t="s">
        <v>45</v>
      </c>
      <c r="F587" s="1">
        <v>9.839814814814813E-4</v>
      </c>
      <c r="G587" s="37">
        <v>2.31</v>
      </c>
      <c r="H587">
        <v>3.58</v>
      </c>
      <c r="I587" s="37">
        <v>0.84499999999999997</v>
      </c>
      <c r="J587">
        <f t="shared" si="9"/>
        <v>3.0251000000000001</v>
      </c>
    </row>
    <row r="588" spans="1:10" x14ac:dyDescent="0.3">
      <c r="A588" t="s">
        <v>100</v>
      </c>
      <c r="B588" t="s">
        <v>23</v>
      </c>
      <c r="C588" t="s">
        <v>43</v>
      </c>
      <c r="D588" s="22">
        <v>0.73502314814814818</v>
      </c>
      <c r="E588" t="s">
        <v>46</v>
      </c>
      <c r="F588" s="1">
        <v>9.8821759259259262E-4</v>
      </c>
      <c r="G588" s="37">
        <v>2.31</v>
      </c>
      <c r="H588">
        <v>3.58</v>
      </c>
      <c r="I588" s="37">
        <v>0.84499999999999997</v>
      </c>
      <c r="J588">
        <f t="shared" si="9"/>
        <v>3.0251000000000001</v>
      </c>
    </row>
    <row r="589" spans="1:10" x14ac:dyDescent="0.3">
      <c r="A589" t="s">
        <v>100</v>
      </c>
      <c r="B589" t="s">
        <v>23</v>
      </c>
      <c r="C589" t="s">
        <v>43</v>
      </c>
      <c r="D589" s="22">
        <v>0.73502314814814818</v>
      </c>
      <c r="E589" t="s">
        <v>47</v>
      </c>
      <c r="F589" s="1">
        <v>9.8472222222222212E-4</v>
      </c>
      <c r="G589" s="37">
        <v>2.2999999999999998</v>
      </c>
      <c r="H589">
        <v>3.57</v>
      </c>
      <c r="I589" s="37">
        <v>0.84499999999999997</v>
      </c>
      <c r="J589">
        <f t="shared" si="9"/>
        <v>3.0166499999999998</v>
      </c>
    </row>
    <row r="590" spans="1:10" x14ac:dyDescent="0.3">
      <c r="A590" t="s">
        <v>100</v>
      </c>
      <c r="B590" t="s">
        <v>23</v>
      </c>
      <c r="C590" t="s">
        <v>43</v>
      </c>
      <c r="D590" s="22">
        <v>0.73502314814814818</v>
      </c>
      <c r="E590" t="s">
        <v>48</v>
      </c>
      <c r="F590" s="1">
        <v>9.7998842592592582E-4</v>
      </c>
      <c r="G590" s="37">
        <v>2.31</v>
      </c>
      <c r="H590">
        <v>3.57</v>
      </c>
      <c r="I590" s="37">
        <v>0.84499999999999997</v>
      </c>
      <c r="J590">
        <f t="shared" si="9"/>
        <v>3.0166499999999998</v>
      </c>
    </row>
    <row r="591" spans="1:10" x14ac:dyDescent="0.3">
      <c r="A591" t="s">
        <v>100</v>
      </c>
      <c r="B591" t="s">
        <v>23</v>
      </c>
      <c r="C591" t="s">
        <v>43</v>
      </c>
      <c r="D591" s="22">
        <v>0.73502314814814818</v>
      </c>
      <c r="E591" t="s">
        <v>49</v>
      </c>
      <c r="F591" s="1">
        <v>9.8168981481481479E-4</v>
      </c>
      <c r="G591" s="37">
        <v>2.33</v>
      </c>
      <c r="H591">
        <v>3.6</v>
      </c>
      <c r="I591" s="37">
        <v>0.84499999999999997</v>
      </c>
      <c r="J591">
        <f t="shared" si="9"/>
        <v>3.0419999999999998</v>
      </c>
    </row>
    <row r="592" spans="1:10" x14ac:dyDescent="0.3">
      <c r="A592" t="s">
        <v>100</v>
      </c>
      <c r="B592" t="s">
        <v>23</v>
      </c>
      <c r="C592" t="s">
        <v>43</v>
      </c>
      <c r="D592" s="22">
        <v>0.73502314814814818</v>
      </c>
      <c r="E592" t="s">
        <v>50</v>
      </c>
      <c r="F592" s="1">
        <v>9.8552083333333326E-4</v>
      </c>
      <c r="G592" s="37">
        <v>2.34</v>
      </c>
      <c r="H592">
        <v>3.62</v>
      </c>
      <c r="I592" s="37">
        <v>0.84499999999999997</v>
      </c>
      <c r="J592">
        <f t="shared" si="9"/>
        <v>3.0589</v>
      </c>
    </row>
    <row r="593" spans="1:10" x14ac:dyDescent="0.3">
      <c r="A593" t="s">
        <v>100</v>
      </c>
      <c r="B593" t="s">
        <v>23</v>
      </c>
      <c r="C593" t="s">
        <v>43</v>
      </c>
      <c r="D593" s="22">
        <v>0.73502314814814818</v>
      </c>
      <c r="E593" t="s">
        <v>51</v>
      </c>
      <c r="F593" s="1">
        <v>9.8652777777777779E-4</v>
      </c>
      <c r="G593" s="37">
        <v>2.2999999999999998</v>
      </c>
      <c r="H593">
        <v>3.58</v>
      </c>
      <c r="I593" s="37">
        <v>0.84499999999999997</v>
      </c>
      <c r="J593">
        <f t="shared" si="9"/>
        <v>3.0251000000000001</v>
      </c>
    </row>
    <row r="594" spans="1:10" x14ac:dyDescent="0.3">
      <c r="A594" t="s">
        <v>100</v>
      </c>
      <c r="B594" t="s">
        <v>23</v>
      </c>
      <c r="C594" t="s">
        <v>43</v>
      </c>
      <c r="D594" s="22">
        <v>0.73502314814814818</v>
      </c>
      <c r="E594" t="s">
        <v>52</v>
      </c>
      <c r="F594" s="1">
        <v>1.0034259259259258E-3</v>
      </c>
      <c r="G594" s="37">
        <v>2.21</v>
      </c>
      <c r="H594">
        <v>3.42</v>
      </c>
      <c r="I594" s="37">
        <v>0.84499999999999997</v>
      </c>
      <c r="J594">
        <f t="shared" si="9"/>
        <v>2.8898999999999999</v>
      </c>
    </row>
    <row r="595" spans="1:10" x14ac:dyDescent="0.3">
      <c r="A595" t="s">
        <v>100</v>
      </c>
      <c r="B595" t="s">
        <v>23</v>
      </c>
      <c r="C595" t="s">
        <v>43</v>
      </c>
      <c r="D595" s="22">
        <v>0.73502314814814818</v>
      </c>
      <c r="E595" t="s">
        <v>54</v>
      </c>
      <c r="F595" s="1">
        <v>9.8976851851851851E-4</v>
      </c>
      <c r="G595" s="37">
        <v>2.2200000000000002</v>
      </c>
      <c r="H595">
        <v>3.45</v>
      </c>
      <c r="I595" s="37">
        <v>0.84499999999999997</v>
      </c>
      <c r="J595">
        <f t="shared" si="9"/>
        <v>2.9152499999999999</v>
      </c>
    </row>
    <row r="596" spans="1:10" x14ac:dyDescent="0.3">
      <c r="A596" t="s">
        <v>100</v>
      </c>
      <c r="B596" t="s">
        <v>23</v>
      </c>
      <c r="C596" t="s">
        <v>43</v>
      </c>
      <c r="D596" s="22">
        <v>0.73502314814814818</v>
      </c>
      <c r="E596" t="s">
        <v>55</v>
      </c>
      <c r="F596" s="1">
        <v>9.8432870370370362E-4</v>
      </c>
      <c r="G596" s="37">
        <v>2.2400000000000002</v>
      </c>
      <c r="H596">
        <v>3.5</v>
      </c>
      <c r="I596" s="37">
        <v>0.84499999999999997</v>
      </c>
      <c r="J596">
        <f t="shared" si="9"/>
        <v>2.9575</v>
      </c>
    </row>
    <row r="597" spans="1:10" x14ac:dyDescent="0.3">
      <c r="A597" t="s">
        <v>100</v>
      </c>
      <c r="B597" t="s">
        <v>23</v>
      </c>
      <c r="C597" t="s">
        <v>43</v>
      </c>
      <c r="D597" s="22">
        <v>0.73502314814814818</v>
      </c>
      <c r="E597" t="s">
        <v>56</v>
      </c>
      <c r="F597" s="1">
        <v>9.8472222222222212E-4</v>
      </c>
      <c r="G597" s="37">
        <v>2.2799999999999998</v>
      </c>
      <c r="H597">
        <v>3.53</v>
      </c>
      <c r="I597" s="37">
        <v>0.84499999999999997</v>
      </c>
      <c r="J597">
        <f t="shared" si="9"/>
        <v>2.9828499999999996</v>
      </c>
    </row>
    <row r="598" spans="1:10" x14ac:dyDescent="0.3">
      <c r="A598" t="s">
        <v>100</v>
      </c>
      <c r="B598" t="s">
        <v>23</v>
      </c>
      <c r="C598" t="s">
        <v>43</v>
      </c>
      <c r="D598" s="22">
        <v>0.73502314814814818</v>
      </c>
      <c r="E598" t="s">
        <v>57</v>
      </c>
      <c r="F598" s="1">
        <v>9.825347222222221E-4</v>
      </c>
      <c r="G598" s="37">
        <v>2.27</v>
      </c>
      <c r="H598">
        <v>3.52</v>
      </c>
      <c r="I598" s="37">
        <v>0.84499999999999997</v>
      </c>
      <c r="J598">
        <f t="shared" si="9"/>
        <v>2.9743999999999997</v>
      </c>
    </row>
    <row r="599" spans="1:10" x14ac:dyDescent="0.3">
      <c r="A599" t="s">
        <v>100</v>
      </c>
      <c r="B599" t="s">
        <v>23</v>
      </c>
      <c r="C599" t="s">
        <v>43</v>
      </c>
      <c r="D599" s="22">
        <v>0.73502314814814818</v>
      </c>
      <c r="E599" t="s">
        <v>58</v>
      </c>
      <c r="F599" s="1">
        <v>9.8317129629629622E-4</v>
      </c>
      <c r="G599" s="37">
        <v>2.27</v>
      </c>
      <c r="H599">
        <v>3.54</v>
      </c>
      <c r="I599" s="37">
        <v>0.84499999999999997</v>
      </c>
      <c r="J599">
        <f t="shared" si="9"/>
        <v>2.9912999999999998</v>
      </c>
    </row>
    <row r="600" spans="1:10" x14ac:dyDescent="0.3">
      <c r="A600" t="s">
        <v>100</v>
      </c>
      <c r="B600" t="s">
        <v>23</v>
      </c>
      <c r="C600" t="s">
        <v>43</v>
      </c>
      <c r="D600" s="22">
        <v>0.73502314814814818</v>
      </c>
      <c r="E600" t="s">
        <v>59</v>
      </c>
      <c r="F600" s="1">
        <v>9.6754629629629632E-4</v>
      </c>
      <c r="G600" s="37">
        <v>2.2999999999999998</v>
      </c>
      <c r="H600">
        <v>3.57</v>
      </c>
      <c r="I600" s="37">
        <v>0.84499999999999997</v>
      </c>
      <c r="J600">
        <f t="shared" si="9"/>
        <v>3.0166499999999998</v>
      </c>
    </row>
    <row r="601" spans="1:10" x14ac:dyDescent="0.3">
      <c r="A601" t="s">
        <v>100</v>
      </c>
      <c r="B601" t="s">
        <v>23</v>
      </c>
      <c r="C601" t="s">
        <v>43</v>
      </c>
      <c r="D601" s="22">
        <v>0.73502314814814818</v>
      </c>
      <c r="E601" t="s">
        <v>60</v>
      </c>
      <c r="F601" s="1">
        <v>9.6519675925925928E-4</v>
      </c>
      <c r="G601" s="37">
        <v>2.29</v>
      </c>
      <c r="H601">
        <v>3.57</v>
      </c>
      <c r="I601" s="37">
        <v>0.84499999999999997</v>
      </c>
      <c r="J601">
        <f t="shared" si="9"/>
        <v>3.0166499999999998</v>
      </c>
    </row>
    <row r="602" spans="1:10" x14ac:dyDescent="0.3">
      <c r="A602" t="s">
        <v>100</v>
      </c>
      <c r="B602" t="s">
        <v>23</v>
      </c>
      <c r="C602" t="s">
        <v>43</v>
      </c>
      <c r="D602" s="22">
        <v>0.73502314814814818</v>
      </c>
      <c r="E602" t="s">
        <v>61</v>
      </c>
      <c r="F602" s="1">
        <v>9.6805555555555555E-4</v>
      </c>
      <c r="G602" s="37">
        <v>2.3199999999999998</v>
      </c>
      <c r="H602">
        <v>3.61</v>
      </c>
      <c r="I602" s="37">
        <v>0.84499999999999997</v>
      </c>
      <c r="J602">
        <f t="shared" si="9"/>
        <v>3.0504499999999997</v>
      </c>
    </row>
    <row r="603" spans="1:10" x14ac:dyDescent="0.3">
      <c r="A603" t="s">
        <v>100</v>
      </c>
      <c r="B603" t="s">
        <v>23</v>
      </c>
      <c r="C603" t="s">
        <v>43</v>
      </c>
      <c r="D603" s="22">
        <v>0.73502314814814818</v>
      </c>
      <c r="E603" t="s">
        <v>62</v>
      </c>
      <c r="F603" s="1">
        <v>9.701967592592593E-4</v>
      </c>
      <c r="G603" s="37">
        <v>2.2999999999999998</v>
      </c>
      <c r="H603">
        <v>3.58</v>
      </c>
      <c r="I603" s="37">
        <v>0.84499999999999997</v>
      </c>
      <c r="J603">
        <f t="shared" si="9"/>
        <v>3.0251000000000001</v>
      </c>
    </row>
    <row r="604" spans="1:10" x14ac:dyDescent="0.3">
      <c r="A604" t="s">
        <v>100</v>
      </c>
      <c r="B604" t="s">
        <v>23</v>
      </c>
      <c r="C604" t="s">
        <v>43</v>
      </c>
      <c r="D604" s="22">
        <v>0.73502314814814818</v>
      </c>
      <c r="E604" t="s">
        <v>63</v>
      </c>
      <c r="F604" s="1">
        <v>9.7396990740740734E-4</v>
      </c>
      <c r="G604" s="37">
        <v>2.2599999999999998</v>
      </c>
      <c r="H604">
        <v>3.5</v>
      </c>
      <c r="I604" s="37">
        <v>0.84499999999999997</v>
      </c>
      <c r="J604">
        <f t="shared" si="9"/>
        <v>2.9575</v>
      </c>
    </row>
    <row r="605" spans="1:10" x14ac:dyDescent="0.3">
      <c r="A605" t="s">
        <v>100</v>
      </c>
      <c r="B605" t="s">
        <v>23</v>
      </c>
      <c r="C605" t="s">
        <v>43</v>
      </c>
      <c r="D605" s="22">
        <v>0.73502314814814818</v>
      </c>
      <c r="E605" t="s">
        <v>64</v>
      </c>
      <c r="F605" s="1">
        <v>9.7564814814814801E-4</v>
      </c>
      <c r="G605" s="37">
        <v>2.2799999999999998</v>
      </c>
      <c r="H605">
        <v>3.53</v>
      </c>
      <c r="I605" s="37">
        <v>0.84499999999999997</v>
      </c>
      <c r="J605">
        <f t="shared" si="9"/>
        <v>2.9828499999999996</v>
      </c>
    </row>
    <row r="606" spans="1:10" x14ac:dyDescent="0.3">
      <c r="A606" t="s">
        <v>100</v>
      </c>
      <c r="B606" t="s">
        <v>23</v>
      </c>
      <c r="C606" t="s">
        <v>43</v>
      </c>
      <c r="D606" s="22">
        <v>0.73502314814814818</v>
      </c>
      <c r="E606" t="s">
        <v>65</v>
      </c>
      <c r="F606" s="1">
        <v>9.7300925925925918E-4</v>
      </c>
      <c r="G606" s="37">
        <v>2.2799999999999998</v>
      </c>
      <c r="H606">
        <v>3.55</v>
      </c>
      <c r="I606" s="37">
        <v>0.84499999999999997</v>
      </c>
      <c r="J606">
        <f t="shared" si="9"/>
        <v>2.9997499999999997</v>
      </c>
    </row>
    <row r="607" spans="1:10" x14ac:dyDescent="0.3">
      <c r="A607" t="s">
        <v>100</v>
      </c>
      <c r="B607" t="s">
        <v>23</v>
      </c>
      <c r="C607" t="s">
        <v>43</v>
      </c>
      <c r="D607" s="22">
        <v>0.73502314814814818</v>
      </c>
      <c r="E607" t="s">
        <v>66</v>
      </c>
      <c r="F607" s="1">
        <v>9.7446759259259264E-4</v>
      </c>
      <c r="G607" s="37">
        <v>2.2400000000000002</v>
      </c>
      <c r="H607">
        <v>3.51</v>
      </c>
      <c r="I607" s="37">
        <v>0.84499999999999997</v>
      </c>
      <c r="J607">
        <f t="shared" si="9"/>
        <v>2.9659499999999999</v>
      </c>
    </row>
    <row r="608" spans="1:10" x14ac:dyDescent="0.3">
      <c r="A608" t="s">
        <v>100</v>
      </c>
      <c r="B608" t="s">
        <v>23</v>
      </c>
      <c r="C608" t="s">
        <v>43</v>
      </c>
      <c r="D608" s="22">
        <v>0.73502314814814818</v>
      </c>
      <c r="E608" t="s">
        <v>67</v>
      </c>
      <c r="F608" s="1">
        <v>9.7807870370370366E-4</v>
      </c>
      <c r="G608" s="37">
        <v>2.23</v>
      </c>
      <c r="H608">
        <v>3.46</v>
      </c>
      <c r="I608" s="37">
        <v>0.84499999999999997</v>
      </c>
      <c r="J608">
        <f t="shared" si="9"/>
        <v>2.9236999999999997</v>
      </c>
    </row>
    <row r="609" spans="1:10" x14ac:dyDescent="0.3">
      <c r="A609" t="s">
        <v>101</v>
      </c>
      <c r="B609" t="s">
        <v>102</v>
      </c>
      <c r="C609" t="s">
        <v>43</v>
      </c>
      <c r="D609" t="s">
        <v>103</v>
      </c>
      <c r="E609" t="s">
        <v>9</v>
      </c>
      <c r="F609" s="1">
        <v>9.7155092592592605E-4</v>
      </c>
      <c r="G609" s="37">
        <v>2.11</v>
      </c>
      <c r="H609">
        <v>2.71</v>
      </c>
      <c r="I609" s="37">
        <v>1.01</v>
      </c>
      <c r="J609">
        <f t="shared" si="9"/>
        <v>2.7370999999999999</v>
      </c>
    </row>
    <row r="610" spans="1:10" x14ac:dyDescent="0.3">
      <c r="A610" t="s">
        <v>101</v>
      </c>
      <c r="B610" t="s">
        <v>102</v>
      </c>
      <c r="C610" t="s">
        <v>43</v>
      </c>
      <c r="D610" t="s">
        <v>103</v>
      </c>
      <c r="E610" t="s">
        <v>10</v>
      </c>
      <c r="F610" s="1">
        <v>9.6009259259259257E-4</v>
      </c>
      <c r="G610" s="37">
        <v>2.2400000000000002</v>
      </c>
      <c r="H610">
        <v>2.87</v>
      </c>
      <c r="I610" s="37">
        <v>1.01</v>
      </c>
      <c r="J610">
        <f t="shared" si="9"/>
        <v>2.8987000000000003</v>
      </c>
    </row>
    <row r="611" spans="1:10" x14ac:dyDescent="0.3">
      <c r="A611" t="s">
        <v>101</v>
      </c>
      <c r="B611" t="s">
        <v>102</v>
      </c>
      <c r="C611" t="s">
        <v>43</v>
      </c>
      <c r="D611" t="s">
        <v>103</v>
      </c>
      <c r="E611" t="s">
        <v>15</v>
      </c>
      <c r="F611" s="1">
        <v>9.6155092592592592E-4</v>
      </c>
      <c r="G611" s="37">
        <v>2.2200000000000002</v>
      </c>
      <c r="H611">
        <v>2.85</v>
      </c>
      <c r="I611" s="37">
        <v>1.01</v>
      </c>
      <c r="J611">
        <f t="shared" si="9"/>
        <v>2.8785000000000003</v>
      </c>
    </row>
    <row r="612" spans="1:10" x14ac:dyDescent="0.3">
      <c r="A612" t="s">
        <v>101</v>
      </c>
      <c r="B612" t="s">
        <v>102</v>
      </c>
      <c r="C612" t="s">
        <v>43</v>
      </c>
      <c r="D612" t="s">
        <v>103</v>
      </c>
      <c r="E612" t="s">
        <v>16</v>
      </c>
      <c r="F612" s="1">
        <v>9.6315972222222224E-4</v>
      </c>
      <c r="G612" s="37">
        <v>2.25</v>
      </c>
      <c r="H612">
        <v>2.89</v>
      </c>
      <c r="I612" s="37">
        <v>1.01</v>
      </c>
      <c r="J612">
        <f t="shared" si="9"/>
        <v>2.9189000000000003</v>
      </c>
    </row>
    <row r="613" spans="1:10" x14ac:dyDescent="0.3">
      <c r="A613" t="s">
        <v>101</v>
      </c>
      <c r="B613" t="s">
        <v>102</v>
      </c>
      <c r="C613" t="s">
        <v>43</v>
      </c>
      <c r="D613" t="s">
        <v>103</v>
      </c>
      <c r="E613" t="s">
        <v>17</v>
      </c>
      <c r="F613" s="1">
        <v>9.6385416666666668E-4</v>
      </c>
      <c r="G613" s="37">
        <v>2.2799999999999998</v>
      </c>
      <c r="H613">
        <v>2.92</v>
      </c>
      <c r="I613" s="37">
        <v>1.01</v>
      </c>
      <c r="J613">
        <f t="shared" si="9"/>
        <v>2.9491999999999998</v>
      </c>
    </row>
    <row r="614" spans="1:10" x14ac:dyDescent="0.3">
      <c r="A614" t="s">
        <v>101</v>
      </c>
      <c r="B614" t="s">
        <v>102</v>
      </c>
      <c r="C614" t="s">
        <v>43</v>
      </c>
      <c r="D614" t="s">
        <v>103</v>
      </c>
      <c r="E614" t="s">
        <v>18</v>
      </c>
      <c r="F614" s="1">
        <v>9.6589120370370372E-4</v>
      </c>
      <c r="G614" s="37">
        <v>2.2799999999999998</v>
      </c>
      <c r="H614">
        <v>2.91</v>
      </c>
      <c r="I614" s="37">
        <v>1.01</v>
      </c>
      <c r="J614">
        <f t="shared" si="9"/>
        <v>2.9391000000000003</v>
      </c>
    </row>
    <row r="615" spans="1:10" x14ac:dyDescent="0.3">
      <c r="A615" t="s">
        <v>101</v>
      </c>
      <c r="B615" t="s">
        <v>102</v>
      </c>
      <c r="C615" t="s">
        <v>43</v>
      </c>
      <c r="D615" t="s">
        <v>103</v>
      </c>
      <c r="E615" t="s">
        <v>19</v>
      </c>
      <c r="F615" s="1">
        <v>9.6476851851851845E-4</v>
      </c>
      <c r="G615" s="37">
        <v>2.2999999999999998</v>
      </c>
      <c r="H615">
        <v>2.95</v>
      </c>
      <c r="I615" s="37">
        <v>1.01</v>
      </c>
      <c r="J615">
        <f t="shared" si="9"/>
        <v>2.9795000000000003</v>
      </c>
    </row>
    <row r="616" spans="1:10" x14ac:dyDescent="0.3">
      <c r="A616" t="s">
        <v>101</v>
      </c>
      <c r="B616" t="s">
        <v>102</v>
      </c>
      <c r="C616" t="s">
        <v>43</v>
      </c>
      <c r="D616" t="s">
        <v>103</v>
      </c>
      <c r="E616" t="s">
        <v>45</v>
      </c>
      <c r="F616" s="1">
        <v>9.6673611111111103E-4</v>
      </c>
      <c r="G616" s="37">
        <v>2.31</v>
      </c>
      <c r="H616">
        <v>2.94</v>
      </c>
      <c r="I616" s="37">
        <v>1.01</v>
      </c>
      <c r="J616">
        <f t="shared" si="9"/>
        <v>2.9693999999999998</v>
      </c>
    </row>
    <row r="617" spans="1:10" x14ac:dyDescent="0.3">
      <c r="A617" t="s">
        <v>101</v>
      </c>
      <c r="B617" t="s">
        <v>102</v>
      </c>
      <c r="C617" t="s">
        <v>43</v>
      </c>
      <c r="D617" t="s">
        <v>103</v>
      </c>
      <c r="E617" t="s">
        <v>46</v>
      </c>
      <c r="F617" s="1">
        <v>9.6607638888888882E-4</v>
      </c>
      <c r="G617" s="37">
        <v>2.2999999999999998</v>
      </c>
      <c r="H617">
        <v>2.95</v>
      </c>
      <c r="I617" s="37">
        <v>1.01</v>
      </c>
      <c r="J617">
        <f t="shared" si="9"/>
        <v>2.9795000000000003</v>
      </c>
    </row>
    <row r="618" spans="1:10" x14ac:dyDescent="0.3">
      <c r="A618" t="s">
        <v>101</v>
      </c>
      <c r="B618" t="s">
        <v>102</v>
      </c>
      <c r="C618" t="s">
        <v>43</v>
      </c>
      <c r="D618" t="s">
        <v>103</v>
      </c>
      <c r="E618" t="s">
        <v>47</v>
      </c>
      <c r="F618" s="1">
        <v>9.6662037037037029E-4</v>
      </c>
      <c r="G618" s="37">
        <v>2.2799999999999998</v>
      </c>
      <c r="H618">
        <v>2.92</v>
      </c>
      <c r="I618" s="37">
        <v>1.01</v>
      </c>
      <c r="J618">
        <f t="shared" si="9"/>
        <v>2.9491999999999998</v>
      </c>
    </row>
    <row r="619" spans="1:10" x14ac:dyDescent="0.3">
      <c r="A619" t="s">
        <v>101</v>
      </c>
      <c r="B619" t="s">
        <v>102</v>
      </c>
      <c r="C619" t="s">
        <v>43</v>
      </c>
      <c r="D619" t="s">
        <v>103</v>
      </c>
      <c r="E619" t="s">
        <v>48</v>
      </c>
      <c r="F619" s="1">
        <v>9.6952546296296294E-4</v>
      </c>
      <c r="G619" s="37">
        <v>2.2799999999999998</v>
      </c>
      <c r="H619">
        <v>2.92</v>
      </c>
      <c r="I619" s="37">
        <v>1.01</v>
      </c>
      <c r="J619">
        <f t="shared" si="9"/>
        <v>2.9491999999999998</v>
      </c>
    </row>
    <row r="620" spans="1:10" x14ac:dyDescent="0.3">
      <c r="A620" t="s">
        <v>101</v>
      </c>
      <c r="B620" t="s">
        <v>102</v>
      </c>
      <c r="C620" t="s">
        <v>43</v>
      </c>
      <c r="D620" t="s">
        <v>103</v>
      </c>
      <c r="E620" t="s">
        <v>49</v>
      </c>
      <c r="F620" s="1">
        <v>9.7201388888888891E-4</v>
      </c>
      <c r="G620" s="37">
        <v>2.29</v>
      </c>
      <c r="H620">
        <v>2.94</v>
      </c>
      <c r="I620" s="37">
        <v>1.01</v>
      </c>
      <c r="J620">
        <f t="shared" si="9"/>
        <v>2.9693999999999998</v>
      </c>
    </row>
    <row r="621" spans="1:10" x14ac:dyDescent="0.3">
      <c r="A621" t="s">
        <v>101</v>
      </c>
      <c r="B621" t="s">
        <v>102</v>
      </c>
      <c r="C621" t="s">
        <v>43</v>
      </c>
      <c r="D621" t="s">
        <v>103</v>
      </c>
      <c r="E621" t="s">
        <v>50</v>
      </c>
      <c r="F621" s="1">
        <v>9.7103009259259245E-4</v>
      </c>
      <c r="G621" s="37">
        <v>2.2599999999999998</v>
      </c>
      <c r="H621">
        <v>2.9</v>
      </c>
      <c r="I621" s="37">
        <v>1.01</v>
      </c>
      <c r="J621">
        <f t="shared" si="9"/>
        <v>2.9289999999999998</v>
      </c>
    </row>
    <row r="622" spans="1:10" x14ac:dyDescent="0.3">
      <c r="A622" t="s">
        <v>101</v>
      </c>
      <c r="B622" t="s">
        <v>102</v>
      </c>
      <c r="C622" t="s">
        <v>43</v>
      </c>
      <c r="D622" t="s">
        <v>103</v>
      </c>
      <c r="E622" t="s">
        <v>51</v>
      </c>
      <c r="F622" s="1">
        <v>9.6964120370370368E-4</v>
      </c>
      <c r="G622" s="37">
        <v>2.2599999999999998</v>
      </c>
      <c r="H622">
        <v>2.9</v>
      </c>
      <c r="I622" s="37">
        <v>1.01</v>
      </c>
      <c r="J622">
        <f t="shared" si="9"/>
        <v>2.9289999999999998</v>
      </c>
    </row>
    <row r="623" spans="1:10" x14ac:dyDescent="0.3">
      <c r="A623" t="s">
        <v>101</v>
      </c>
      <c r="B623" t="s">
        <v>102</v>
      </c>
      <c r="C623" t="s">
        <v>43</v>
      </c>
      <c r="D623" t="s">
        <v>103</v>
      </c>
      <c r="E623" t="s">
        <v>52</v>
      </c>
      <c r="F623" s="1">
        <v>9.7375000000000001E-4</v>
      </c>
      <c r="G623" s="37">
        <v>2.2599999999999998</v>
      </c>
      <c r="H623">
        <v>2.89</v>
      </c>
      <c r="I623" s="37">
        <v>1.01</v>
      </c>
      <c r="J623">
        <f t="shared" si="9"/>
        <v>2.9189000000000003</v>
      </c>
    </row>
    <row r="624" spans="1:10" x14ac:dyDescent="0.3">
      <c r="A624" t="s">
        <v>101</v>
      </c>
      <c r="B624" t="s">
        <v>102</v>
      </c>
      <c r="C624" t="s">
        <v>43</v>
      </c>
      <c r="D624" t="s">
        <v>103</v>
      </c>
      <c r="E624" t="s">
        <v>53</v>
      </c>
      <c r="F624" s="1">
        <v>9.7387731481481479E-4</v>
      </c>
      <c r="G624" s="37">
        <v>2.29</v>
      </c>
      <c r="H624">
        <v>2.93</v>
      </c>
      <c r="I624" s="37">
        <v>1.01</v>
      </c>
      <c r="J624">
        <f t="shared" si="9"/>
        <v>2.9593000000000003</v>
      </c>
    </row>
    <row r="625" spans="1:10" x14ac:dyDescent="0.3">
      <c r="A625" t="s">
        <v>101</v>
      </c>
      <c r="B625" t="s">
        <v>102</v>
      </c>
      <c r="C625" t="s">
        <v>43</v>
      </c>
      <c r="D625" t="s">
        <v>103</v>
      </c>
      <c r="E625" t="s">
        <v>54</v>
      </c>
      <c r="F625" s="1">
        <v>9.709606481481481E-4</v>
      </c>
      <c r="G625" s="37">
        <v>2.27</v>
      </c>
      <c r="H625">
        <v>2.91</v>
      </c>
      <c r="I625" s="37">
        <v>1.01</v>
      </c>
      <c r="J625">
        <f t="shared" si="9"/>
        <v>2.9391000000000003</v>
      </c>
    </row>
    <row r="626" spans="1:10" x14ac:dyDescent="0.3">
      <c r="A626" t="s">
        <v>101</v>
      </c>
      <c r="B626" t="s">
        <v>102</v>
      </c>
      <c r="C626" t="s">
        <v>43</v>
      </c>
      <c r="D626" t="s">
        <v>103</v>
      </c>
      <c r="E626" t="s">
        <v>55</v>
      </c>
      <c r="F626" s="1">
        <v>9.7228009259259251E-4</v>
      </c>
      <c r="G626" s="37">
        <v>2.29</v>
      </c>
      <c r="H626">
        <v>2.93</v>
      </c>
      <c r="I626" s="37">
        <v>1.01</v>
      </c>
      <c r="J626">
        <f t="shared" si="9"/>
        <v>2.9593000000000003</v>
      </c>
    </row>
    <row r="627" spans="1:10" x14ac:dyDescent="0.3">
      <c r="A627" t="s">
        <v>101</v>
      </c>
      <c r="B627" t="s">
        <v>102</v>
      </c>
      <c r="C627" t="s">
        <v>43</v>
      </c>
      <c r="D627" t="s">
        <v>103</v>
      </c>
      <c r="E627" t="s">
        <v>57</v>
      </c>
      <c r="F627" s="1">
        <v>9.5938657407407398E-4</v>
      </c>
      <c r="G627" s="37">
        <v>2.2599999999999998</v>
      </c>
      <c r="H627">
        <v>2.89</v>
      </c>
      <c r="I627" s="37">
        <v>1.01</v>
      </c>
      <c r="J627">
        <f t="shared" si="9"/>
        <v>2.9189000000000003</v>
      </c>
    </row>
    <row r="628" spans="1:10" x14ac:dyDescent="0.3">
      <c r="A628" t="s">
        <v>101</v>
      </c>
      <c r="B628" t="s">
        <v>102</v>
      </c>
      <c r="C628" t="s">
        <v>43</v>
      </c>
      <c r="D628" t="s">
        <v>103</v>
      </c>
      <c r="E628" t="s">
        <v>58</v>
      </c>
      <c r="F628" s="1">
        <v>9.5732638888888885E-4</v>
      </c>
      <c r="G628" s="37">
        <v>2.27</v>
      </c>
      <c r="H628">
        <v>2.9</v>
      </c>
      <c r="I628" s="37">
        <v>1.01</v>
      </c>
      <c r="J628">
        <f t="shared" si="9"/>
        <v>2.9289999999999998</v>
      </c>
    </row>
    <row r="629" spans="1:10" x14ac:dyDescent="0.3">
      <c r="A629" t="s">
        <v>101</v>
      </c>
      <c r="B629" t="s">
        <v>102</v>
      </c>
      <c r="C629" t="s">
        <v>43</v>
      </c>
      <c r="D629" t="s">
        <v>103</v>
      </c>
      <c r="E629" t="s">
        <v>72</v>
      </c>
      <c r="F629" s="1">
        <v>9.5528935185185192E-4</v>
      </c>
      <c r="G629" s="37">
        <v>2.2799999999999998</v>
      </c>
      <c r="H629">
        <v>2.91</v>
      </c>
      <c r="I629" s="37">
        <v>1.01</v>
      </c>
      <c r="J629">
        <f t="shared" si="9"/>
        <v>2.9391000000000003</v>
      </c>
    </row>
    <row r="630" spans="1:10" x14ac:dyDescent="0.3">
      <c r="A630" t="s">
        <v>101</v>
      </c>
      <c r="B630" t="s">
        <v>102</v>
      </c>
      <c r="C630" t="s">
        <v>43</v>
      </c>
      <c r="D630" t="s">
        <v>103</v>
      </c>
      <c r="E630" t="s">
        <v>59</v>
      </c>
      <c r="F630" s="1">
        <v>9.5761574074074076E-4</v>
      </c>
      <c r="G630" s="37">
        <v>2.29</v>
      </c>
      <c r="H630">
        <v>2.92</v>
      </c>
      <c r="I630" s="37">
        <v>1.01</v>
      </c>
      <c r="J630">
        <f t="shared" si="9"/>
        <v>2.9491999999999998</v>
      </c>
    </row>
    <row r="631" spans="1:10" x14ac:dyDescent="0.3">
      <c r="A631" t="s">
        <v>101</v>
      </c>
      <c r="B631" t="s">
        <v>102</v>
      </c>
      <c r="C631" t="s">
        <v>43</v>
      </c>
      <c r="D631" t="s">
        <v>103</v>
      </c>
      <c r="E631" t="s">
        <v>60</v>
      </c>
      <c r="F631" s="1">
        <v>9.5892361111111113E-4</v>
      </c>
      <c r="G631" s="37">
        <v>2.2799999999999998</v>
      </c>
      <c r="H631">
        <v>2.93</v>
      </c>
      <c r="I631" s="37">
        <v>1.01</v>
      </c>
      <c r="J631">
        <f t="shared" si="9"/>
        <v>2.9593000000000003</v>
      </c>
    </row>
    <row r="632" spans="1:10" x14ac:dyDescent="0.3">
      <c r="A632" t="s">
        <v>101</v>
      </c>
      <c r="B632" t="s">
        <v>102</v>
      </c>
      <c r="C632" t="s">
        <v>43</v>
      </c>
      <c r="D632" t="s">
        <v>103</v>
      </c>
      <c r="E632" t="s">
        <v>61</v>
      </c>
      <c r="F632" s="1">
        <v>9.6131944444444433E-4</v>
      </c>
      <c r="G632" s="37">
        <v>2.27</v>
      </c>
      <c r="H632">
        <v>2.91</v>
      </c>
      <c r="I632" s="37">
        <v>1.01</v>
      </c>
      <c r="J632">
        <f t="shared" si="9"/>
        <v>2.9391000000000003</v>
      </c>
    </row>
    <row r="633" spans="1:10" x14ac:dyDescent="0.3">
      <c r="A633" t="s">
        <v>101</v>
      </c>
      <c r="B633" t="s">
        <v>102</v>
      </c>
      <c r="C633" t="s">
        <v>43</v>
      </c>
      <c r="D633" t="s">
        <v>103</v>
      </c>
      <c r="E633" t="s">
        <v>62</v>
      </c>
      <c r="F633" s="1">
        <v>9.6239583333333333E-4</v>
      </c>
      <c r="G633" s="37">
        <v>2.2799999999999998</v>
      </c>
      <c r="H633">
        <v>2.92</v>
      </c>
      <c r="I633" s="37">
        <v>1.01</v>
      </c>
      <c r="J633">
        <f t="shared" si="9"/>
        <v>2.9491999999999998</v>
      </c>
    </row>
    <row r="634" spans="1:10" x14ac:dyDescent="0.3">
      <c r="A634" t="s">
        <v>101</v>
      </c>
      <c r="B634" t="s">
        <v>102</v>
      </c>
      <c r="C634" t="s">
        <v>43</v>
      </c>
      <c r="D634" t="s">
        <v>103</v>
      </c>
      <c r="E634" t="s">
        <v>63</v>
      </c>
      <c r="F634" s="1">
        <v>9.6304398148148139E-4</v>
      </c>
      <c r="G634" s="37">
        <v>2.27</v>
      </c>
      <c r="H634">
        <v>2.9</v>
      </c>
      <c r="I634" s="37">
        <v>1.01</v>
      </c>
      <c r="J634">
        <f t="shared" si="9"/>
        <v>2.9289999999999998</v>
      </c>
    </row>
    <row r="635" spans="1:10" x14ac:dyDescent="0.3">
      <c r="A635" t="s">
        <v>101</v>
      </c>
      <c r="B635" t="s">
        <v>102</v>
      </c>
      <c r="C635" t="s">
        <v>43</v>
      </c>
      <c r="D635" t="s">
        <v>103</v>
      </c>
      <c r="E635" t="s">
        <v>64</v>
      </c>
      <c r="F635" s="1">
        <v>9.6414351851851847E-4</v>
      </c>
      <c r="G635" s="37">
        <v>2.2799999999999998</v>
      </c>
      <c r="H635">
        <v>2.92</v>
      </c>
      <c r="I635" s="37">
        <v>1.01</v>
      </c>
      <c r="J635">
        <f t="shared" si="9"/>
        <v>2.9491999999999998</v>
      </c>
    </row>
    <row r="636" spans="1:10" x14ac:dyDescent="0.3">
      <c r="A636" t="s">
        <v>101</v>
      </c>
      <c r="B636" t="s">
        <v>102</v>
      </c>
      <c r="C636" t="s">
        <v>43</v>
      </c>
      <c r="D636" t="s">
        <v>103</v>
      </c>
      <c r="E636" t="s">
        <v>65</v>
      </c>
      <c r="F636" s="1">
        <v>9.662268518518518E-4</v>
      </c>
      <c r="G636" s="37">
        <v>2.2599999999999998</v>
      </c>
      <c r="H636">
        <v>2.9</v>
      </c>
      <c r="I636" s="37">
        <v>1.01</v>
      </c>
      <c r="J636">
        <f t="shared" si="9"/>
        <v>2.9289999999999998</v>
      </c>
    </row>
    <row r="637" spans="1:10" x14ac:dyDescent="0.3">
      <c r="A637" t="s">
        <v>101</v>
      </c>
      <c r="B637" t="s">
        <v>102</v>
      </c>
      <c r="C637" t="s">
        <v>43</v>
      </c>
      <c r="D637" t="s">
        <v>103</v>
      </c>
      <c r="E637" t="s">
        <v>66</v>
      </c>
      <c r="F637" s="1">
        <v>9.6530092592592598E-4</v>
      </c>
      <c r="G637" s="37">
        <v>2.2599999999999998</v>
      </c>
      <c r="H637">
        <v>2.88</v>
      </c>
      <c r="I637" s="37">
        <v>1.01</v>
      </c>
      <c r="J637">
        <f t="shared" si="9"/>
        <v>2.9087999999999998</v>
      </c>
    </row>
    <row r="638" spans="1:10" x14ac:dyDescent="0.3">
      <c r="A638" t="s">
        <v>101</v>
      </c>
      <c r="B638" t="s">
        <v>102</v>
      </c>
      <c r="C638" t="s">
        <v>43</v>
      </c>
      <c r="D638" t="s">
        <v>103</v>
      </c>
      <c r="E638" t="s">
        <v>67</v>
      </c>
      <c r="F638" s="1">
        <v>9.6431712962962975E-4</v>
      </c>
      <c r="G638" s="37">
        <v>2.27</v>
      </c>
      <c r="H638">
        <v>2.9</v>
      </c>
      <c r="I638" s="37">
        <v>1.01</v>
      </c>
      <c r="J638">
        <f t="shared" si="9"/>
        <v>2.9289999999999998</v>
      </c>
    </row>
    <row r="639" spans="1:10" x14ac:dyDescent="0.3">
      <c r="A639" t="s">
        <v>101</v>
      </c>
      <c r="B639" t="s">
        <v>102</v>
      </c>
      <c r="C639" t="s">
        <v>43</v>
      </c>
      <c r="D639" t="s">
        <v>103</v>
      </c>
      <c r="E639" t="s">
        <v>68</v>
      </c>
      <c r="F639" s="1">
        <v>9.6686342592592603E-4</v>
      </c>
      <c r="G639" s="37">
        <v>2.2599999999999998</v>
      </c>
      <c r="H639">
        <v>2.89</v>
      </c>
      <c r="I639" s="37">
        <v>1.01</v>
      </c>
      <c r="J639">
        <f t="shared" si="9"/>
        <v>2.9189000000000003</v>
      </c>
    </row>
    <row r="640" spans="1:10" x14ac:dyDescent="0.3">
      <c r="A640" t="s">
        <v>101</v>
      </c>
      <c r="B640" t="s">
        <v>102</v>
      </c>
      <c r="C640" t="s">
        <v>43</v>
      </c>
      <c r="D640" t="s">
        <v>103</v>
      </c>
      <c r="E640" t="s">
        <v>69</v>
      </c>
      <c r="F640" s="1">
        <v>9.6894675925925924E-4</v>
      </c>
      <c r="G640" s="37">
        <v>2.2400000000000002</v>
      </c>
      <c r="H640">
        <v>2.87</v>
      </c>
      <c r="I640" s="37">
        <v>1.01</v>
      </c>
      <c r="J640">
        <f t="shared" si="9"/>
        <v>2.8987000000000003</v>
      </c>
    </row>
    <row r="641" spans="1:10" x14ac:dyDescent="0.3">
      <c r="A641" t="s">
        <v>101</v>
      </c>
      <c r="B641" t="s">
        <v>102</v>
      </c>
      <c r="C641" t="s">
        <v>43</v>
      </c>
      <c r="D641" t="s">
        <v>103</v>
      </c>
      <c r="E641" t="s">
        <v>70</v>
      </c>
      <c r="F641" s="1">
        <v>9.699884259259259E-4</v>
      </c>
      <c r="G641" s="37">
        <v>2.2000000000000002</v>
      </c>
      <c r="H641">
        <v>2.83</v>
      </c>
      <c r="I641" s="37">
        <v>1.01</v>
      </c>
      <c r="J641">
        <f t="shared" si="9"/>
        <v>2.8583000000000003</v>
      </c>
    </row>
    <row r="642" spans="1:10" x14ac:dyDescent="0.3">
      <c r="A642" t="s">
        <v>101</v>
      </c>
      <c r="B642" t="s">
        <v>102</v>
      </c>
      <c r="C642" t="s">
        <v>43</v>
      </c>
      <c r="D642" t="s">
        <v>103</v>
      </c>
      <c r="E642" t="s">
        <v>71</v>
      </c>
      <c r="F642" s="1">
        <v>9.6923611111111114E-4</v>
      </c>
      <c r="G642" s="37">
        <v>2.21</v>
      </c>
      <c r="H642">
        <v>2.83</v>
      </c>
      <c r="I642" s="37">
        <v>1.01</v>
      </c>
      <c r="J642">
        <f t="shared" si="9"/>
        <v>2.8583000000000003</v>
      </c>
    </row>
    <row r="643" spans="1:10" x14ac:dyDescent="0.3">
      <c r="A643" t="s">
        <v>104</v>
      </c>
      <c r="B643" t="s">
        <v>105</v>
      </c>
      <c r="C643" t="s">
        <v>43</v>
      </c>
      <c r="D643" t="s">
        <v>106</v>
      </c>
      <c r="E643" t="s">
        <v>9</v>
      </c>
      <c r="F643" s="1">
        <v>9.6842592592592586E-4</v>
      </c>
      <c r="G643" s="37">
        <v>2.14</v>
      </c>
      <c r="H643">
        <v>2.75</v>
      </c>
      <c r="I643" s="37">
        <v>1.01</v>
      </c>
      <c r="J643">
        <f t="shared" si="9"/>
        <v>2.7774999999999999</v>
      </c>
    </row>
    <row r="644" spans="1:10" x14ac:dyDescent="0.3">
      <c r="A644" t="s">
        <v>104</v>
      </c>
      <c r="B644" t="s">
        <v>105</v>
      </c>
      <c r="C644" t="s">
        <v>43</v>
      </c>
      <c r="D644" t="s">
        <v>106</v>
      </c>
      <c r="E644" t="s">
        <v>10</v>
      </c>
      <c r="F644" s="1">
        <v>9.6175925925925932E-4</v>
      </c>
      <c r="G644" s="37">
        <v>2.19</v>
      </c>
      <c r="H644">
        <v>2.8</v>
      </c>
      <c r="I644" s="37">
        <v>1.01</v>
      </c>
      <c r="J644">
        <f t="shared" ref="J644:J676" si="10">H644*I644</f>
        <v>2.8279999999999998</v>
      </c>
    </row>
    <row r="645" spans="1:10" x14ac:dyDescent="0.3">
      <c r="A645" t="s">
        <v>104</v>
      </c>
      <c r="B645" t="s">
        <v>105</v>
      </c>
      <c r="C645" t="s">
        <v>43</v>
      </c>
      <c r="D645" s="22" t="s">
        <v>106</v>
      </c>
      <c r="E645" t="s">
        <v>15</v>
      </c>
      <c r="F645" s="1">
        <v>9.5934027777777782E-4</v>
      </c>
      <c r="G645" s="37">
        <v>2.25</v>
      </c>
      <c r="H645">
        <v>2.87</v>
      </c>
      <c r="I645" s="37">
        <v>1.01</v>
      </c>
      <c r="J645">
        <f t="shared" si="10"/>
        <v>2.8987000000000003</v>
      </c>
    </row>
    <row r="646" spans="1:10" x14ac:dyDescent="0.3">
      <c r="A646" t="s">
        <v>104</v>
      </c>
      <c r="B646" t="s">
        <v>105</v>
      </c>
      <c r="C646" t="s">
        <v>43</v>
      </c>
      <c r="D646" s="22" t="s">
        <v>106</v>
      </c>
      <c r="E646" t="s">
        <v>16</v>
      </c>
      <c r="F646" s="1">
        <v>9.5922453703703697E-4</v>
      </c>
      <c r="G646" s="37">
        <v>2.21</v>
      </c>
      <c r="H646">
        <v>2.82</v>
      </c>
      <c r="I646" s="37">
        <v>1.01</v>
      </c>
      <c r="J646">
        <f t="shared" si="10"/>
        <v>2.8481999999999998</v>
      </c>
    </row>
    <row r="647" spans="1:10" x14ac:dyDescent="0.3">
      <c r="A647" t="s">
        <v>104</v>
      </c>
      <c r="B647" t="s">
        <v>105</v>
      </c>
      <c r="C647" t="s">
        <v>43</v>
      </c>
      <c r="D647" s="22" t="s">
        <v>106</v>
      </c>
      <c r="E647" t="s">
        <v>17</v>
      </c>
      <c r="F647" s="1">
        <v>9.6160879629629623E-4</v>
      </c>
      <c r="G647" s="37">
        <v>2.2200000000000002</v>
      </c>
      <c r="H647">
        <v>2.83</v>
      </c>
      <c r="I647" s="37">
        <v>1.01</v>
      </c>
      <c r="J647">
        <f t="shared" si="10"/>
        <v>2.8583000000000003</v>
      </c>
    </row>
    <row r="648" spans="1:10" x14ac:dyDescent="0.3">
      <c r="A648" t="s">
        <v>104</v>
      </c>
      <c r="B648" t="s">
        <v>105</v>
      </c>
      <c r="C648" t="s">
        <v>43</v>
      </c>
      <c r="D648" s="22" t="s">
        <v>106</v>
      </c>
      <c r="E648" t="s">
        <v>18</v>
      </c>
      <c r="F648" s="1">
        <v>9.6401620370370369E-4</v>
      </c>
      <c r="G648" s="37">
        <v>2.21</v>
      </c>
      <c r="H648">
        <v>2.82</v>
      </c>
      <c r="I648" s="37">
        <v>1.01</v>
      </c>
      <c r="J648">
        <f t="shared" si="10"/>
        <v>2.8481999999999998</v>
      </c>
    </row>
    <row r="649" spans="1:10" x14ac:dyDescent="0.3">
      <c r="A649" t="s">
        <v>104</v>
      </c>
      <c r="B649" t="s">
        <v>105</v>
      </c>
      <c r="C649" t="s">
        <v>43</v>
      </c>
      <c r="D649" s="22" t="s">
        <v>106</v>
      </c>
      <c r="E649" t="s">
        <v>19</v>
      </c>
      <c r="F649" s="1">
        <v>9.6586805555555543E-4</v>
      </c>
      <c r="G649" s="37">
        <v>2.21</v>
      </c>
      <c r="H649">
        <v>2.82</v>
      </c>
      <c r="I649" s="37">
        <v>1.01</v>
      </c>
      <c r="J649">
        <f t="shared" si="10"/>
        <v>2.8481999999999998</v>
      </c>
    </row>
    <row r="650" spans="1:10" x14ac:dyDescent="0.3">
      <c r="A650" t="s">
        <v>104</v>
      </c>
      <c r="B650" t="s">
        <v>105</v>
      </c>
      <c r="C650" t="s">
        <v>43</v>
      </c>
      <c r="D650" s="22" t="s">
        <v>106</v>
      </c>
      <c r="E650" t="s">
        <v>45</v>
      </c>
      <c r="F650" s="1">
        <v>9.6584490740740734E-4</v>
      </c>
      <c r="G650" s="37">
        <v>2.2000000000000002</v>
      </c>
      <c r="H650">
        <v>2.81</v>
      </c>
      <c r="I650" s="37">
        <v>1.01</v>
      </c>
      <c r="J650">
        <f t="shared" si="10"/>
        <v>2.8381000000000003</v>
      </c>
    </row>
    <row r="651" spans="1:10" x14ac:dyDescent="0.3">
      <c r="A651" t="s">
        <v>104</v>
      </c>
      <c r="B651" t="s">
        <v>105</v>
      </c>
      <c r="C651" t="s">
        <v>43</v>
      </c>
      <c r="D651" s="22" t="s">
        <v>106</v>
      </c>
      <c r="E651" t="s">
        <v>46</v>
      </c>
      <c r="F651" s="1">
        <v>9.6968750000000006E-4</v>
      </c>
      <c r="G651" s="37">
        <v>2.1800000000000002</v>
      </c>
      <c r="H651">
        <v>2.8</v>
      </c>
      <c r="I651" s="37">
        <v>1.01</v>
      </c>
      <c r="J651">
        <f t="shared" si="10"/>
        <v>2.8279999999999998</v>
      </c>
    </row>
    <row r="652" spans="1:10" x14ac:dyDescent="0.3">
      <c r="A652" t="s">
        <v>104</v>
      </c>
      <c r="B652" t="s">
        <v>105</v>
      </c>
      <c r="C652" t="s">
        <v>43</v>
      </c>
      <c r="D652" s="22" t="s">
        <v>106</v>
      </c>
      <c r="E652" t="s">
        <v>47</v>
      </c>
      <c r="F652" s="1">
        <v>9.6702546296296293E-4</v>
      </c>
      <c r="G652" s="37">
        <v>2.2000000000000002</v>
      </c>
      <c r="H652">
        <v>2.82</v>
      </c>
      <c r="I652" s="37">
        <v>1.01</v>
      </c>
      <c r="J652">
        <f t="shared" si="10"/>
        <v>2.8481999999999998</v>
      </c>
    </row>
    <row r="653" spans="1:10" x14ac:dyDescent="0.3">
      <c r="A653" t="s">
        <v>104</v>
      </c>
      <c r="B653" t="s">
        <v>105</v>
      </c>
      <c r="C653" t="s">
        <v>43</v>
      </c>
      <c r="D653" s="22" t="s">
        <v>106</v>
      </c>
      <c r="E653" t="s">
        <v>48</v>
      </c>
      <c r="F653" s="1">
        <v>9.7015046296296292E-4</v>
      </c>
      <c r="G653" s="37">
        <v>2.19</v>
      </c>
      <c r="H653">
        <v>2.81</v>
      </c>
      <c r="I653" s="37">
        <v>1.01</v>
      </c>
      <c r="J653">
        <f t="shared" si="10"/>
        <v>2.8381000000000003</v>
      </c>
    </row>
    <row r="654" spans="1:10" x14ac:dyDescent="0.3">
      <c r="A654" t="s">
        <v>104</v>
      </c>
      <c r="B654" t="s">
        <v>105</v>
      </c>
      <c r="C654" t="s">
        <v>43</v>
      </c>
      <c r="D654" s="22" t="s">
        <v>106</v>
      </c>
      <c r="E654" t="s">
        <v>49</v>
      </c>
      <c r="F654" s="1">
        <v>9.7143518518518521E-4</v>
      </c>
      <c r="G654" s="37">
        <v>2.19</v>
      </c>
      <c r="H654">
        <v>2.81</v>
      </c>
      <c r="I654" s="37">
        <v>1.01</v>
      </c>
      <c r="J654">
        <f t="shared" si="10"/>
        <v>2.8381000000000003</v>
      </c>
    </row>
    <row r="655" spans="1:10" x14ac:dyDescent="0.3">
      <c r="A655" t="s">
        <v>104</v>
      </c>
      <c r="B655" t="s">
        <v>105</v>
      </c>
      <c r="C655" t="s">
        <v>43</v>
      </c>
      <c r="D655" s="22" t="s">
        <v>106</v>
      </c>
      <c r="E655" t="s">
        <v>50</v>
      </c>
      <c r="F655" s="1">
        <v>9.6952546296296294E-4</v>
      </c>
      <c r="G655" s="37">
        <v>2.2000000000000002</v>
      </c>
      <c r="H655">
        <v>2.83</v>
      </c>
      <c r="I655" s="37">
        <v>1.01</v>
      </c>
      <c r="J655">
        <f t="shared" si="10"/>
        <v>2.8583000000000003</v>
      </c>
    </row>
    <row r="656" spans="1:10" x14ac:dyDescent="0.3">
      <c r="A656" t="s">
        <v>104</v>
      </c>
      <c r="B656" t="s">
        <v>105</v>
      </c>
      <c r="C656" t="s">
        <v>43</v>
      </c>
      <c r="D656" s="22" t="s">
        <v>106</v>
      </c>
      <c r="E656" t="s">
        <v>51</v>
      </c>
      <c r="F656" s="1">
        <v>9.7218749999999996E-4</v>
      </c>
      <c r="G656" s="37">
        <v>2.2200000000000002</v>
      </c>
      <c r="H656">
        <v>2.84</v>
      </c>
      <c r="I656" s="37">
        <v>1.01</v>
      </c>
      <c r="J656">
        <f t="shared" si="10"/>
        <v>2.8683999999999998</v>
      </c>
    </row>
    <row r="657" spans="1:10" x14ac:dyDescent="0.3">
      <c r="A657" t="s">
        <v>104</v>
      </c>
      <c r="B657" t="s">
        <v>105</v>
      </c>
      <c r="C657" t="s">
        <v>43</v>
      </c>
      <c r="D657" s="22" t="s">
        <v>106</v>
      </c>
      <c r="E657" t="s">
        <v>53</v>
      </c>
      <c r="F657" s="1">
        <v>9.6356481481481477E-4</v>
      </c>
      <c r="G657" s="37">
        <v>2.23</v>
      </c>
      <c r="H657">
        <v>2.86</v>
      </c>
      <c r="I657" s="37">
        <v>1.01</v>
      </c>
      <c r="J657">
        <f t="shared" si="10"/>
        <v>2.8885999999999998</v>
      </c>
    </row>
    <row r="658" spans="1:10" x14ac:dyDescent="0.3">
      <c r="A658" t="s">
        <v>104</v>
      </c>
      <c r="B658" t="s">
        <v>105</v>
      </c>
      <c r="C658" t="s">
        <v>43</v>
      </c>
      <c r="D658" s="22" t="s">
        <v>106</v>
      </c>
      <c r="E658" t="s">
        <v>54</v>
      </c>
      <c r="F658" s="1">
        <v>9.6675925925925911E-4</v>
      </c>
      <c r="G658" s="37">
        <v>2.19</v>
      </c>
      <c r="H658">
        <v>2.8</v>
      </c>
      <c r="I658" s="37">
        <v>1.01</v>
      </c>
      <c r="J658">
        <f t="shared" si="10"/>
        <v>2.8279999999999998</v>
      </c>
    </row>
    <row r="659" spans="1:10" x14ac:dyDescent="0.3">
      <c r="A659" t="s">
        <v>104</v>
      </c>
      <c r="B659" t="s">
        <v>105</v>
      </c>
      <c r="C659" t="s">
        <v>43</v>
      </c>
      <c r="D659" s="22" t="s">
        <v>106</v>
      </c>
      <c r="E659" t="s">
        <v>55</v>
      </c>
      <c r="F659" s="1">
        <v>9.6679398148148156E-4</v>
      </c>
      <c r="G659" s="37">
        <v>2.19</v>
      </c>
      <c r="H659">
        <v>2.82</v>
      </c>
      <c r="I659" s="37">
        <v>1.01</v>
      </c>
      <c r="J659">
        <f t="shared" si="10"/>
        <v>2.8481999999999998</v>
      </c>
    </row>
    <row r="660" spans="1:10" x14ac:dyDescent="0.3">
      <c r="A660" t="s">
        <v>104</v>
      </c>
      <c r="B660" t="s">
        <v>105</v>
      </c>
      <c r="C660" t="s">
        <v>43</v>
      </c>
      <c r="D660" s="22" t="s">
        <v>106</v>
      </c>
      <c r="E660" t="s">
        <v>56</v>
      </c>
      <c r="F660" s="1">
        <v>9.6540509259259257E-4</v>
      </c>
      <c r="G660" s="37">
        <v>2.23</v>
      </c>
      <c r="H660">
        <v>2.85</v>
      </c>
      <c r="I660" s="37">
        <v>1.01</v>
      </c>
      <c r="J660">
        <f t="shared" si="10"/>
        <v>2.8785000000000003</v>
      </c>
    </row>
    <row r="661" spans="1:10" x14ac:dyDescent="0.3">
      <c r="A661" t="s">
        <v>104</v>
      </c>
      <c r="B661" t="s">
        <v>105</v>
      </c>
      <c r="C661" t="s">
        <v>43</v>
      </c>
      <c r="D661" s="22" t="s">
        <v>106</v>
      </c>
      <c r="E661" t="s">
        <v>57</v>
      </c>
      <c r="F661" s="1">
        <v>9.6194444444444441E-4</v>
      </c>
      <c r="G661" s="37">
        <v>2.2400000000000002</v>
      </c>
      <c r="H661">
        <v>2.87</v>
      </c>
      <c r="I661" s="37">
        <v>1.01</v>
      </c>
      <c r="J661">
        <f t="shared" si="10"/>
        <v>2.8987000000000003</v>
      </c>
    </row>
    <row r="662" spans="1:10" x14ac:dyDescent="0.3">
      <c r="A662" t="s">
        <v>104</v>
      </c>
      <c r="B662" t="s">
        <v>105</v>
      </c>
      <c r="C662" t="s">
        <v>43</v>
      </c>
      <c r="D662" s="22" t="s">
        <v>106</v>
      </c>
      <c r="E662" t="s">
        <v>58</v>
      </c>
      <c r="F662" s="1">
        <v>9.6292824074074076E-4</v>
      </c>
      <c r="G662" s="37">
        <v>2.2400000000000002</v>
      </c>
      <c r="H662">
        <v>2.87</v>
      </c>
      <c r="I662" s="37">
        <v>1.01</v>
      </c>
      <c r="J662">
        <f t="shared" si="10"/>
        <v>2.8987000000000003</v>
      </c>
    </row>
    <row r="663" spans="1:10" x14ac:dyDescent="0.3">
      <c r="A663" t="s">
        <v>104</v>
      </c>
      <c r="B663" t="s">
        <v>105</v>
      </c>
      <c r="C663" t="s">
        <v>43</v>
      </c>
      <c r="D663" s="22" t="s">
        <v>106</v>
      </c>
      <c r="E663" t="s">
        <v>72</v>
      </c>
      <c r="F663" s="1">
        <v>9.67962962962963E-4</v>
      </c>
      <c r="G663" s="37">
        <v>2.23</v>
      </c>
      <c r="H663">
        <v>2.87</v>
      </c>
      <c r="I663" s="37">
        <v>1.01</v>
      </c>
      <c r="J663">
        <f t="shared" si="10"/>
        <v>2.8987000000000003</v>
      </c>
    </row>
    <row r="664" spans="1:10" x14ac:dyDescent="0.3">
      <c r="A664" t="s">
        <v>104</v>
      </c>
      <c r="B664" t="s">
        <v>105</v>
      </c>
      <c r="C664" t="s">
        <v>43</v>
      </c>
      <c r="D664" s="22" t="s">
        <v>106</v>
      </c>
      <c r="E664" t="s">
        <v>59</v>
      </c>
      <c r="F664" s="1">
        <v>9.6193287037037037E-4</v>
      </c>
      <c r="G664" s="37">
        <v>2.2400000000000002</v>
      </c>
      <c r="H664">
        <v>2.87</v>
      </c>
      <c r="I664" s="37">
        <v>1.01</v>
      </c>
      <c r="J664">
        <f t="shared" si="10"/>
        <v>2.8987000000000003</v>
      </c>
    </row>
    <row r="665" spans="1:10" x14ac:dyDescent="0.3">
      <c r="A665" t="s">
        <v>104</v>
      </c>
      <c r="B665" t="s">
        <v>105</v>
      </c>
      <c r="C665" t="s">
        <v>43</v>
      </c>
      <c r="D665" s="22" t="s">
        <v>106</v>
      </c>
      <c r="E665" t="s">
        <v>60</v>
      </c>
      <c r="F665" s="1">
        <v>9.636226851851852E-4</v>
      </c>
      <c r="G665" s="37">
        <v>2.2400000000000002</v>
      </c>
      <c r="H665">
        <v>2.86</v>
      </c>
      <c r="I665" s="37">
        <v>1.01</v>
      </c>
      <c r="J665">
        <f t="shared" si="10"/>
        <v>2.8885999999999998</v>
      </c>
    </row>
    <row r="666" spans="1:10" x14ac:dyDescent="0.3">
      <c r="A666" t="s">
        <v>104</v>
      </c>
      <c r="B666" t="s">
        <v>105</v>
      </c>
      <c r="C666" t="s">
        <v>43</v>
      </c>
      <c r="D666" s="22" t="s">
        <v>106</v>
      </c>
      <c r="E666" t="s">
        <v>61</v>
      </c>
      <c r="F666" s="1">
        <v>9.6512731481481482E-4</v>
      </c>
      <c r="G666" s="37">
        <v>2.21</v>
      </c>
      <c r="H666">
        <v>2.83</v>
      </c>
      <c r="I666" s="37">
        <v>1.01</v>
      </c>
      <c r="J666">
        <f t="shared" si="10"/>
        <v>2.8583000000000003</v>
      </c>
    </row>
    <row r="667" spans="1:10" x14ac:dyDescent="0.3">
      <c r="A667" t="s">
        <v>104</v>
      </c>
      <c r="B667" t="s">
        <v>105</v>
      </c>
      <c r="C667" t="s">
        <v>43</v>
      </c>
      <c r="D667" s="22" t="s">
        <v>106</v>
      </c>
      <c r="E667" t="s">
        <v>62</v>
      </c>
      <c r="F667" s="1">
        <v>9.6483796296296291E-4</v>
      </c>
      <c r="G667" s="37">
        <v>2.2200000000000002</v>
      </c>
      <c r="H667">
        <v>2.85</v>
      </c>
      <c r="I667" s="37">
        <v>1.01</v>
      </c>
      <c r="J667">
        <f t="shared" si="10"/>
        <v>2.8785000000000003</v>
      </c>
    </row>
    <row r="668" spans="1:10" x14ac:dyDescent="0.3">
      <c r="A668" t="s">
        <v>104</v>
      </c>
      <c r="B668" t="s">
        <v>105</v>
      </c>
      <c r="C668" t="s">
        <v>43</v>
      </c>
      <c r="D668" s="22" t="s">
        <v>106</v>
      </c>
      <c r="E668" t="s">
        <v>63</v>
      </c>
      <c r="F668" s="1">
        <v>9.645949074074075E-4</v>
      </c>
      <c r="G668" s="37">
        <v>2.2200000000000002</v>
      </c>
      <c r="H668">
        <v>2.85</v>
      </c>
      <c r="I668" s="37">
        <v>1.01</v>
      </c>
      <c r="J668">
        <f t="shared" si="10"/>
        <v>2.8785000000000003</v>
      </c>
    </row>
    <row r="669" spans="1:10" x14ac:dyDescent="0.3">
      <c r="A669" t="s">
        <v>104</v>
      </c>
      <c r="B669" t="s">
        <v>105</v>
      </c>
      <c r="C669" t="s">
        <v>43</v>
      </c>
      <c r="D669" s="22" t="s">
        <v>106</v>
      </c>
      <c r="E669" t="s">
        <v>64</v>
      </c>
      <c r="F669" s="1">
        <v>9.6703703703703698E-4</v>
      </c>
      <c r="G669" s="37">
        <v>2.21</v>
      </c>
      <c r="H669">
        <v>2.85</v>
      </c>
      <c r="I669" s="37">
        <v>1.01</v>
      </c>
      <c r="J669">
        <f t="shared" si="10"/>
        <v>2.8785000000000003</v>
      </c>
    </row>
    <row r="670" spans="1:10" x14ac:dyDescent="0.3">
      <c r="A670" t="s">
        <v>104</v>
      </c>
      <c r="B670" t="s">
        <v>105</v>
      </c>
      <c r="C670" t="s">
        <v>43</v>
      </c>
      <c r="D670" s="22" t="s">
        <v>106</v>
      </c>
      <c r="E670" t="s">
        <v>65</v>
      </c>
      <c r="F670" s="1">
        <v>9.6807870370370364E-4</v>
      </c>
      <c r="G670" s="37">
        <v>2.21</v>
      </c>
      <c r="H670">
        <v>2.84</v>
      </c>
      <c r="I670" s="37">
        <v>1.01</v>
      </c>
      <c r="J670">
        <f t="shared" si="10"/>
        <v>2.8683999999999998</v>
      </c>
    </row>
    <row r="671" spans="1:10" x14ac:dyDescent="0.3">
      <c r="A671" t="s">
        <v>104</v>
      </c>
      <c r="B671" t="s">
        <v>105</v>
      </c>
      <c r="C671" t="s">
        <v>43</v>
      </c>
      <c r="D671" s="22" t="s">
        <v>106</v>
      </c>
      <c r="E671" t="s">
        <v>66</v>
      </c>
      <c r="F671" s="1">
        <v>9.7239583333333336E-4</v>
      </c>
      <c r="G671" s="37">
        <v>2.2200000000000002</v>
      </c>
      <c r="H671">
        <v>2.84</v>
      </c>
      <c r="I671" s="37">
        <v>1.01</v>
      </c>
      <c r="J671">
        <f t="shared" si="10"/>
        <v>2.8683999999999998</v>
      </c>
    </row>
    <row r="672" spans="1:10" x14ac:dyDescent="0.3">
      <c r="A672" t="s">
        <v>104</v>
      </c>
      <c r="B672" t="s">
        <v>105</v>
      </c>
      <c r="C672" t="s">
        <v>43</v>
      </c>
      <c r="D672" s="22" t="s">
        <v>106</v>
      </c>
      <c r="E672" t="s">
        <v>67</v>
      </c>
      <c r="F672" s="1">
        <v>9.6994212962962963E-4</v>
      </c>
      <c r="G672" s="37">
        <v>2.2000000000000002</v>
      </c>
      <c r="H672">
        <v>2.82</v>
      </c>
      <c r="I672" s="37">
        <v>1.01</v>
      </c>
      <c r="J672">
        <f t="shared" si="10"/>
        <v>2.8481999999999998</v>
      </c>
    </row>
    <row r="673" spans="1:10" x14ac:dyDescent="0.3">
      <c r="A673" t="s">
        <v>104</v>
      </c>
      <c r="B673" t="s">
        <v>105</v>
      </c>
      <c r="C673" t="s">
        <v>43</v>
      </c>
      <c r="D673" s="22" t="s">
        <v>106</v>
      </c>
      <c r="E673" t="s">
        <v>68</v>
      </c>
      <c r="F673" s="1">
        <v>9.6935185185185178E-4</v>
      </c>
      <c r="G673" s="37">
        <v>2.19</v>
      </c>
      <c r="H673">
        <v>2.81</v>
      </c>
      <c r="I673" s="37">
        <v>1.01</v>
      </c>
      <c r="J673">
        <f t="shared" si="10"/>
        <v>2.8381000000000003</v>
      </c>
    </row>
    <row r="674" spans="1:10" x14ac:dyDescent="0.3">
      <c r="A674" t="s">
        <v>104</v>
      </c>
      <c r="B674" t="s">
        <v>105</v>
      </c>
      <c r="C674" t="s">
        <v>43</v>
      </c>
      <c r="D674" s="22" t="s">
        <v>106</v>
      </c>
      <c r="E674" t="s">
        <v>69</v>
      </c>
      <c r="F674" s="1">
        <v>9.682523148148148E-4</v>
      </c>
      <c r="G674" s="37">
        <v>2.2000000000000002</v>
      </c>
      <c r="H674">
        <v>2.82</v>
      </c>
      <c r="I674" s="37">
        <v>1.01</v>
      </c>
      <c r="J674">
        <f t="shared" si="10"/>
        <v>2.8481999999999998</v>
      </c>
    </row>
    <row r="675" spans="1:10" x14ac:dyDescent="0.3">
      <c r="A675" t="s">
        <v>104</v>
      </c>
      <c r="B675" t="s">
        <v>105</v>
      </c>
      <c r="C675" t="s">
        <v>43</v>
      </c>
      <c r="D675" t="s">
        <v>106</v>
      </c>
      <c r="E675" t="s">
        <v>70</v>
      </c>
      <c r="F675" s="1">
        <v>9.6884259259259254E-4</v>
      </c>
      <c r="G675" s="37">
        <v>2.23</v>
      </c>
      <c r="H675">
        <v>2.85</v>
      </c>
      <c r="I675" s="37">
        <v>1.01</v>
      </c>
      <c r="J675">
        <f t="shared" si="10"/>
        <v>2.8785000000000003</v>
      </c>
    </row>
    <row r="676" spans="1:10" x14ac:dyDescent="0.3">
      <c r="A676" t="s">
        <v>104</v>
      </c>
      <c r="B676" t="s">
        <v>105</v>
      </c>
      <c r="C676" t="s">
        <v>43</v>
      </c>
      <c r="D676" t="s">
        <v>106</v>
      </c>
      <c r="E676" t="s">
        <v>71</v>
      </c>
      <c r="F676" s="1">
        <v>9.7031250000000015E-4</v>
      </c>
      <c r="G676" s="37">
        <v>2.2000000000000002</v>
      </c>
      <c r="H676">
        <v>2.82</v>
      </c>
      <c r="I676" s="37">
        <v>1.01</v>
      </c>
      <c r="J676">
        <f t="shared" si="10"/>
        <v>2.8481999999999998</v>
      </c>
    </row>
    <row r="677" spans="1:10" x14ac:dyDescent="0.3">
      <c r="F677" s="1"/>
    </row>
    <row r="678" spans="1:10" x14ac:dyDescent="0.3">
      <c r="F678" s="1"/>
    </row>
    <row r="679" spans="1:10" x14ac:dyDescent="0.3">
      <c r="F679" s="1"/>
    </row>
    <row r="680" spans="1:10" x14ac:dyDescent="0.3">
      <c r="F680" s="1"/>
    </row>
    <row r="681" spans="1:10" x14ac:dyDescent="0.3">
      <c r="F681" s="1"/>
    </row>
    <row r="682" spans="1:10" x14ac:dyDescent="0.3">
      <c r="F682" s="1"/>
    </row>
    <row r="683" spans="1:10" x14ac:dyDescent="0.3">
      <c r="F683" s="1"/>
    </row>
    <row r="684" spans="1:10" x14ac:dyDescent="0.3">
      <c r="F684" s="1"/>
    </row>
    <row r="685" spans="1:10" x14ac:dyDescent="0.3">
      <c r="F685" s="1"/>
    </row>
    <row r="686" spans="1:10" x14ac:dyDescent="0.3">
      <c r="F686" s="1"/>
    </row>
    <row r="687" spans="1:10" x14ac:dyDescent="0.3">
      <c r="F687" s="1"/>
    </row>
    <row r="688" spans="1:10" x14ac:dyDescent="0.3">
      <c r="F688" s="1"/>
    </row>
    <row r="689" spans="6:6" x14ac:dyDescent="0.3">
      <c r="F689" s="1"/>
    </row>
    <row r="690" spans="6:6" x14ac:dyDescent="0.3">
      <c r="F690" s="1"/>
    </row>
    <row r="691" spans="6:6" x14ac:dyDescent="0.3">
      <c r="F691" s="1"/>
    </row>
    <row r="692" spans="6:6" x14ac:dyDescent="0.3">
      <c r="F692" s="1"/>
    </row>
    <row r="693" spans="6:6" x14ac:dyDescent="0.3">
      <c r="F693" s="1"/>
    </row>
    <row r="694" spans="6:6" x14ac:dyDescent="0.3">
      <c r="F694" s="1"/>
    </row>
    <row r="695" spans="6:6" x14ac:dyDescent="0.3">
      <c r="F695" s="1"/>
    </row>
    <row r="696" spans="6:6" x14ac:dyDescent="0.3">
      <c r="F696" s="1"/>
    </row>
    <row r="697" spans="6:6" x14ac:dyDescent="0.3">
      <c r="F697" s="1"/>
    </row>
    <row r="698" spans="6:6" x14ac:dyDescent="0.3">
      <c r="F698" s="1"/>
    </row>
    <row r="699" spans="6:6" x14ac:dyDescent="0.3">
      <c r="F699" s="1"/>
    </row>
    <row r="700" spans="6:6" x14ac:dyDescent="0.3">
      <c r="F700" s="1"/>
    </row>
    <row r="701" spans="6:6" x14ac:dyDescent="0.3">
      <c r="F701" s="1"/>
    </row>
    <row r="702" spans="6:6" x14ac:dyDescent="0.3">
      <c r="F702" s="1"/>
    </row>
    <row r="703" spans="6:6" x14ac:dyDescent="0.3">
      <c r="F703" s="1"/>
    </row>
    <row r="704" spans="6:6" x14ac:dyDescent="0.3">
      <c r="F704" s="1"/>
    </row>
    <row r="705" spans="6:6" x14ac:dyDescent="0.3">
      <c r="F705" s="1"/>
    </row>
    <row r="706" spans="6:6" x14ac:dyDescent="0.3">
      <c r="F706" s="1"/>
    </row>
    <row r="707" spans="6:6" x14ac:dyDescent="0.3">
      <c r="F707" s="1"/>
    </row>
    <row r="708" spans="6:6" x14ac:dyDescent="0.3">
      <c r="F708" s="1"/>
    </row>
    <row r="709" spans="6:6" x14ac:dyDescent="0.3">
      <c r="F709" s="1"/>
    </row>
    <row r="710" spans="6:6" x14ac:dyDescent="0.3">
      <c r="F710" s="1"/>
    </row>
    <row r="711" spans="6:6" x14ac:dyDescent="0.3">
      <c r="F711" s="1"/>
    </row>
    <row r="712" spans="6:6" x14ac:dyDescent="0.3">
      <c r="F712" s="1"/>
    </row>
    <row r="713" spans="6:6" x14ac:dyDescent="0.3">
      <c r="F713" s="1"/>
    </row>
    <row r="714" spans="6:6" x14ac:dyDescent="0.3">
      <c r="F714" s="1"/>
    </row>
    <row r="715" spans="6:6" x14ac:dyDescent="0.3">
      <c r="F715" s="1"/>
    </row>
    <row r="716" spans="6:6" x14ac:dyDescent="0.3">
      <c r="F716" s="1"/>
    </row>
    <row r="717" spans="6:6" x14ac:dyDescent="0.3">
      <c r="F717" s="1"/>
    </row>
    <row r="718" spans="6:6" x14ac:dyDescent="0.3">
      <c r="F718" s="1"/>
    </row>
    <row r="719" spans="6:6" x14ac:dyDescent="0.3">
      <c r="F719" s="1"/>
    </row>
    <row r="720" spans="6:6" x14ac:dyDescent="0.3">
      <c r="F720" s="1"/>
    </row>
    <row r="721" spans="6:6" x14ac:dyDescent="0.3">
      <c r="F721" s="1"/>
    </row>
    <row r="722" spans="6:6" x14ac:dyDescent="0.3">
      <c r="F722" s="1"/>
    </row>
    <row r="723" spans="6:6" x14ac:dyDescent="0.3">
      <c r="F723" s="1"/>
    </row>
    <row r="724" spans="6:6" x14ac:dyDescent="0.3">
      <c r="F724" s="1"/>
    </row>
    <row r="725" spans="6:6" x14ac:dyDescent="0.3">
      <c r="F725" s="1"/>
    </row>
    <row r="726" spans="6:6" x14ac:dyDescent="0.3">
      <c r="F726" s="1"/>
    </row>
    <row r="727" spans="6:6" x14ac:dyDescent="0.3">
      <c r="F727" s="1"/>
    </row>
    <row r="728" spans="6:6" x14ac:dyDescent="0.3">
      <c r="F728" s="1"/>
    </row>
    <row r="729" spans="6:6" x14ac:dyDescent="0.3">
      <c r="F729" s="1"/>
    </row>
    <row r="730" spans="6:6" x14ac:dyDescent="0.3">
      <c r="F730" s="1"/>
    </row>
    <row r="731" spans="6:6" x14ac:dyDescent="0.3">
      <c r="F731" s="1"/>
    </row>
    <row r="732" spans="6:6" x14ac:dyDescent="0.3">
      <c r="F732" s="1"/>
    </row>
    <row r="733" spans="6:6" x14ac:dyDescent="0.3">
      <c r="F733" s="1"/>
    </row>
    <row r="734" spans="6:6" x14ac:dyDescent="0.3">
      <c r="F734" s="1"/>
    </row>
    <row r="735" spans="6:6" x14ac:dyDescent="0.3">
      <c r="F735" s="1"/>
    </row>
    <row r="736" spans="6:6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</sheetData>
  <conditionalFormatting sqref="G1:G1048576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29E5-84D7-43E4-B8A1-E1EB95A04426}">
  <sheetPr>
    <tabColor theme="0"/>
  </sheetPr>
  <dimension ref="B2:AV64"/>
  <sheetViews>
    <sheetView showGridLines="0" tabSelected="1" topLeftCell="A3" zoomScaleNormal="100" workbookViewId="0">
      <selection activeCell="J7" sqref="J7"/>
    </sheetView>
  </sheetViews>
  <sheetFormatPr defaultRowHeight="14.4" x14ac:dyDescent="0.3"/>
  <cols>
    <col min="2" max="2" width="23.109375" customWidth="1"/>
    <col min="5" max="5" width="8.77734375" customWidth="1"/>
    <col min="6" max="6" width="9.6640625" customWidth="1"/>
    <col min="10" max="10" width="9.21875" customWidth="1"/>
    <col min="12" max="12" width="10.109375" customWidth="1"/>
    <col min="13" max="13" width="10.33203125" customWidth="1"/>
    <col min="14" max="14" width="9.77734375" customWidth="1"/>
    <col min="16" max="16" width="9.21875" customWidth="1"/>
    <col min="17" max="17" width="9.5546875" customWidth="1"/>
    <col min="20" max="20" width="8.77734375" customWidth="1"/>
    <col min="24" max="24" width="25.88671875" customWidth="1"/>
    <col min="25" max="25" width="16.21875" customWidth="1"/>
    <col min="26" max="26" width="4.44140625" customWidth="1"/>
    <col min="27" max="27" width="16.88671875" bestFit="1" customWidth="1"/>
    <col min="28" max="28" width="13.88671875" customWidth="1"/>
    <col min="29" max="29" width="3.6640625" customWidth="1"/>
    <col min="30" max="30" width="13.44140625" customWidth="1"/>
    <col min="31" max="36" width="9" customWidth="1"/>
  </cols>
  <sheetData>
    <row r="2" spans="2:48" ht="21" x14ac:dyDescent="0.4">
      <c r="B2" s="2" t="s">
        <v>28</v>
      </c>
    </row>
    <row r="3" spans="2:48" ht="21" x14ac:dyDescent="0.4">
      <c r="B3" s="2"/>
    </row>
    <row r="4" spans="2:48" x14ac:dyDescent="0.3">
      <c r="B4" s="81" t="s">
        <v>124</v>
      </c>
      <c r="C4" s="50">
        <v>61</v>
      </c>
      <c r="AA4" s="23"/>
      <c r="AB4" s="60"/>
    </row>
    <row r="5" spans="2:48" x14ac:dyDescent="0.3">
      <c r="B5" s="81" t="s">
        <v>161</v>
      </c>
      <c r="C5" s="50">
        <v>1.5</v>
      </c>
      <c r="AA5" s="23"/>
      <c r="AB5" s="60"/>
    </row>
    <row r="6" spans="2:48" ht="15" thickBot="1" x14ac:dyDescent="0.35">
      <c r="B6" s="81" t="s">
        <v>128</v>
      </c>
      <c r="C6" s="50">
        <v>131.5</v>
      </c>
      <c r="AA6" s="23"/>
      <c r="AB6" s="60"/>
    </row>
    <row r="7" spans="2:48" ht="15" thickBot="1" x14ac:dyDescent="0.35">
      <c r="B7" s="81" t="s">
        <v>127</v>
      </c>
      <c r="C7" s="50">
        <v>25</v>
      </c>
      <c r="AS7" s="19" t="s">
        <v>30</v>
      </c>
      <c r="AT7" s="7" t="s">
        <v>31</v>
      </c>
      <c r="AU7" s="8" t="s">
        <v>29</v>
      </c>
    </row>
    <row r="8" spans="2:48" x14ac:dyDescent="0.3">
      <c r="B8" s="81" t="s">
        <v>126</v>
      </c>
      <c r="C8" s="50">
        <v>2</v>
      </c>
      <c r="AS8" s="20"/>
      <c r="AT8" s="20"/>
      <c r="AU8" s="20"/>
    </row>
    <row r="9" spans="2:48" s="38" customFormat="1" x14ac:dyDescent="0.3">
      <c r="B9" s="81" t="s">
        <v>116</v>
      </c>
      <c r="C9" s="82">
        <f>FuelDensity/1000</f>
        <v>0.78964600000000007</v>
      </c>
      <c r="F9" s="41"/>
      <c r="V9"/>
      <c r="AP9" s="41"/>
      <c r="AQ9" s="42"/>
      <c r="AR9" s="41" t="s">
        <v>7</v>
      </c>
      <c r="AS9" s="42" t="e">
        <f>#REF!</f>
        <v>#REF!</v>
      </c>
      <c r="AT9" s="42" t="e">
        <f>#REF!</f>
        <v>#REF!</v>
      </c>
      <c r="AU9" s="42" t="e">
        <f>#REF!</f>
        <v>#REF!</v>
      </c>
    </row>
    <row r="10" spans="2:48" ht="17.399999999999999" customHeight="1" x14ac:dyDescent="0.3"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AP10" s="20"/>
      <c r="AQ10" s="3"/>
      <c r="AR10" s="20" t="s">
        <v>8</v>
      </c>
      <c r="AS10" s="3" t="e">
        <f>#REF!</f>
        <v>#REF!</v>
      </c>
      <c r="AT10" s="3" t="e">
        <f>#REF!</f>
        <v>#REF!</v>
      </c>
      <c r="AU10" s="3" t="e">
        <f>#REF!</f>
        <v>#REF!</v>
      </c>
    </row>
    <row r="11" spans="2:48" ht="17.399999999999999" customHeight="1" x14ac:dyDescent="0.35">
      <c r="B11" s="84" t="s">
        <v>135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AP11" s="20"/>
      <c r="AQ11" s="3"/>
      <c r="AR11" s="20"/>
      <c r="AS11" s="3"/>
      <c r="AT11" s="3"/>
      <c r="AU11" s="3"/>
    </row>
    <row r="12" spans="2:48" ht="17.399999999999999" customHeight="1" x14ac:dyDescent="0.3">
      <c r="B12" t="s">
        <v>172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AP12" s="20"/>
      <c r="AQ12" s="3"/>
      <c r="AR12" s="20"/>
      <c r="AS12" s="3"/>
      <c r="AT12" s="3"/>
      <c r="AU12" s="3"/>
    </row>
    <row r="13" spans="2:48" ht="17.399999999999999" customHeight="1" x14ac:dyDescent="0.3">
      <c r="B13" s="23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AP13" s="20"/>
      <c r="AQ13" s="3"/>
      <c r="AR13" s="20"/>
      <c r="AS13" s="3"/>
      <c r="AT13" s="3"/>
      <c r="AU13" s="3"/>
    </row>
    <row r="14" spans="2:48" ht="17.399999999999999" customHeight="1" thickBot="1" x14ac:dyDescent="0.35">
      <c r="B14" s="23"/>
      <c r="C14" s="23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AQ14" s="20"/>
      <c r="AR14" s="3"/>
      <c r="AS14" s="20"/>
      <c r="AT14" s="3"/>
      <c r="AU14" s="3"/>
      <c r="AV14" s="3"/>
    </row>
    <row r="15" spans="2:48" ht="21.6" thickBot="1" x14ac:dyDescent="0.35">
      <c r="F15" s="38"/>
      <c r="G15" s="89" t="s">
        <v>123</v>
      </c>
      <c r="H15" s="90"/>
      <c r="I15" s="90"/>
      <c r="J15" s="90"/>
      <c r="K15" s="91"/>
      <c r="L15" s="38"/>
      <c r="M15" s="89" t="s">
        <v>122</v>
      </c>
      <c r="N15" s="90"/>
      <c r="O15" s="90"/>
      <c r="P15" s="90"/>
      <c r="Q15" s="91"/>
      <c r="AQ15" s="20"/>
      <c r="AR15" s="3"/>
      <c r="AS15" s="20" t="s">
        <v>9</v>
      </c>
      <c r="AT15" s="3" t="e">
        <f>#REF!</f>
        <v>#REF!</v>
      </c>
      <c r="AU15" s="3" t="e">
        <f>#REF!</f>
        <v>#REF!</v>
      </c>
      <c r="AV15" s="3" t="e">
        <f>#REF!</f>
        <v>#REF!</v>
      </c>
    </row>
    <row r="16" spans="2:48" ht="43.8" thickBot="1" x14ac:dyDescent="0.35">
      <c r="B16" s="80" t="s">
        <v>130</v>
      </c>
      <c r="C16" s="39" t="s">
        <v>137</v>
      </c>
      <c r="D16" s="39" t="s">
        <v>108</v>
      </c>
      <c r="E16" s="58" t="s">
        <v>129</v>
      </c>
      <c r="F16" s="38"/>
      <c r="G16" s="76" t="s">
        <v>125</v>
      </c>
      <c r="H16" s="40" t="s">
        <v>118</v>
      </c>
      <c r="I16" s="40" t="s">
        <v>119</v>
      </c>
      <c r="J16" s="40" t="s">
        <v>120</v>
      </c>
      <c r="K16" s="58" t="s">
        <v>121</v>
      </c>
      <c r="L16" s="38"/>
      <c r="M16" s="76" t="s">
        <v>125</v>
      </c>
      <c r="N16" s="40" t="s">
        <v>118</v>
      </c>
      <c r="O16" s="40" t="s">
        <v>119</v>
      </c>
      <c r="P16" s="40" t="s">
        <v>120</v>
      </c>
      <c r="Q16" s="58" t="s">
        <v>121</v>
      </c>
      <c r="AQ16" s="20"/>
      <c r="AR16" s="3"/>
      <c r="AS16" s="20" t="s">
        <v>10</v>
      </c>
      <c r="AT16" s="3" t="e">
        <f>#REF!</f>
        <v>#REF!</v>
      </c>
      <c r="AU16" s="3" t="e">
        <f>#REF!</f>
        <v>#REF!</v>
      </c>
      <c r="AV16" s="3" t="e">
        <f>#REF!</f>
        <v>#REF!</v>
      </c>
    </row>
    <row r="17" spans="2:48" x14ac:dyDescent="0.3">
      <c r="B17" s="61" t="s">
        <v>30</v>
      </c>
      <c r="C17" s="66" cm="1">
        <f t="array" ref="C17">_xlfn.LET(_xlpm.data, $W$43:$AB$62,
     _xlpm.filtered, _xlfn._xlws.FILTER(_xlpm.data, $W$43:$W$62='FC R11'!$B17),
     _xlpm.EOL, _xlfn.CHOOSECOLS(_xlpm.filtered,3),
AVERAGE(_xlpm.EOL))</f>
        <v>2.1834117647058826</v>
      </c>
      <c r="D17" s="66" cm="1">
        <f t="array" ref="D17">_xlfn.LET(_xlpm.data, $W$43:$AB$62,
     _xlpm.filtered, _xlfn._xlws.FILTER(_xlpm.data, $W$43:$W$62='FC R11'!$B17),
     _xlpm.EOL, _xlfn.CHOOSECOLS(_xlpm.filtered,5),
AVERAGE(_xlpm.EOL))</f>
        <v>2.7650513834121653</v>
      </c>
      <c r="E17" s="43" cm="1">
        <f t="array" ref="E17">_xlfn.LET(_xlpm.data, $W$43:$AB$62,
     _xlpm.filtered, _xlfn._xlws.FILTER(_xlpm.data, $W$43:$W$62='FC R11'!$B17),
     _xlpm.EOL, _xlfn.CHOOSECOLS(_xlpm.filtered,5),
MAX(_xlpm.EOL))</f>
        <v>2.7961151914536231</v>
      </c>
      <c r="F17" s="38"/>
      <c r="G17" s="77">
        <f>D17*$C$4</f>
        <v>168.66813438814208</v>
      </c>
      <c r="H17" s="67">
        <f>D17*$C$5</f>
        <v>4.1475770751182477</v>
      </c>
      <c r="I17" s="68">
        <f>SUM(G17:H17)</f>
        <v>172.81571146326033</v>
      </c>
      <c r="J17" s="67">
        <f>I17-$C$6</f>
        <v>41.315711463260328</v>
      </c>
      <c r="K17" s="69">
        <f>J17/$C$7</f>
        <v>1.6526284585304132</v>
      </c>
      <c r="L17" s="38"/>
      <c r="M17" s="77">
        <f>E17*$C$4</f>
        <v>170.56302667867101</v>
      </c>
      <c r="N17" s="67">
        <f>E17*1.5</f>
        <v>4.1941727871804346</v>
      </c>
      <c r="O17" s="68">
        <f>SUM(M17:N17)</f>
        <v>174.75719946585144</v>
      </c>
      <c r="P17" s="67">
        <f>O17-$C$6</f>
        <v>43.257199465851443</v>
      </c>
      <c r="Q17" s="69">
        <f>P17/$C$7</f>
        <v>1.7302879786340577</v>
      </c>
      <c r="AQ17" s="20"/>
      <c r="AR17" s="3"/>
      <c r="AS17" s="20" t="s">
        <v>15</v>
      </c>
      <c r="AT17" s="3" t="e">
        <f>#REF!</f>
        <v>#REF!</v>
      </c>
      <c r="AU17" s="3" t="e">
        <f>#REF!</f>
        <v>#REF!</v>
      </c>
      <c r="AV17" s="3" t="e">
        <f>#REF!</f>
        <v>#REF!</v>
      </c>
    </row>
    <row r="18" spans="2:48" x14ac:dyDescent="0.3">
      <c r="B18" s="62" t="s">
        <v>31</v>
      </c>
      <c r="C18" s="70" cm="1">
        <f t="array" ref="C18">_xlfn.LET(_xlpm.data, $W$43:$AB$62,
     _xlpm.filtered, _xlfn._xlws.FILTER(_xlpm.data, $W$43:$W$62='FC R11'!$B18),
     _xlpm.EOL, _xlfn.CHOOSECOLS(_xlpm.filtered,3),
AVERAGE(_xlpm.EOL))</f>
        <v>2.1768557816515037</v>
      </c>
      <c r="D18" s="70" cm="1">
        <f t="array" ref="D18">_xlfn.LET(_xlpm.data, $W$43:$AB$62,
     _xlpm.filtered, _xlfn._xlws.FILTER(_xlpm.data, $W$43:$W$62='FC R11'!$B18),
     _xlpm.EOL, _xlfn.CHOOSECOLS(_xlpm.filtered,5),
AVERAGE(_xlpm.EOL))</f>
        <v>2.7567489503543396</v>
      </c>
      <c r="E18" s="44" cm="1">
        <f t="array" ref="E18">_xlfn.LET(_xlpm.data, $W$43:$AB$62,
     _xlpm.filtered, _xlfn._xlws.FILTER(_xlpm.data, $W$43:$W$62='FC R11'!$B18),
     _xlpm.EOL, _xlfn.CHOOSECOLS(_xlpm.filtered,5),
MAX(_xlpm.EOL))</f>
        <v>2.8058142509428277</v>
      </c>
      <c r="F18" s="38"/>
      <c r="G18" s="78">
        <f>D18*$C$4</f>
        <v>168.16168597161473</v>
      </c>
      <c r="H18" s="64">
        <f t="shared" ref="H18:H19" si="0">D18*$C$5</f>
        <v>4.1351234255315097</v>
      </c>
      <c r="I18" s="65">
        <f t="shared" ref="I18:I19" si="1">SUM(G18:H18)</f>
        <v>172.29680939714623</v>
      </c>
      <c r="J18" s="64">
        <f>I18-$C$6</f>
        <v>40.796809397146234</v>
      </c>
      <c r="K18" s="71">
        <f>J18/$C$7</f>
        <v>1.6318723758858493</v>
      </c>
      <c r="L18" s="38"/>
      <c r="M18" s="78">
        <f>E18*$C$4</f>
        <v>171.15466930751248</v>
      </c>
      <c r="N18" s="64">
        <f t="shared" ref="N18:N19" si="2">E18*1.5</f>
        <v>4.2087213764142417</v>
      </c>
      <c r="O18" s="65">
        <f t="shared" ref="O18:O19" si="3">SUM(M18:N18)</f>
        <v>175.36339068392672</v>
      </c>
      <c r="P18" s="64">
        <f>O18-$C$6</f>
        <v>43.863390683926724</v>
      </c>
      <c r="Q18" s="71">
        <f>P18/$C$7</f>
        <v>1.7545356273570689</v>
      </c>
      <c r="AQ18" s="20"/>
      <c r="AR18" s="3"/>
      <c r="AS18" s="20" t="s">
        <v>16</v>
      </c>
      <c r="AT18" s="3" t="e">
        <f>#REF!</f>
        <v>#REF!</v>
      </c>
      <c r="AU18" s="3" t="e">
        <f>#REF!</f>
        <v>#REF!</v>
      </c>
      <c r="AV18" s="3" t="e">
        <f>#REF!</f>
        <v>#REF!</v>
      </c>
    </row>
    <row r="19" spans="2:48" ht="15" thickBot="1" x14ac:dyDescent="0.35">
      <c r="B19" s="63" t="s">
        <v>29</v>
      </c>
      <c r="C19" s="72" cm="1">
        <f t="array" ref="C19">_xlfn.LET(_xlpm.data, $W$43:$AB$62,
     _xlpm.filtered, _xlfn._xlws.FILTER(_xlpm.data, $W$43:$W$62='FC R11'!$B19),
     _xlpm.EOL, _xlfn.CHOOSECOLS(_xlpm.filtered,3),
AVERAGE(_xlpm.EOL))</f>
        <v>2.1641354723707664</v>
      </c>
      <c r="D19" s="72" cm="1">
        <f t="array" ref="D19">_xlfn.LET(_xlpm.data, $W$43:$AB$62,
     _xlpm.filtered, _xlfn._xlws.FILTER(_xlpm.data, $W$43:$W$62='FC R11'!$B19),
     _xlpm.EOL, _xlfn.CHOOSECOLS(_xlpm.filtered,5),
AVERAGE(_xlpm.EOL))</f>
        <v>2.740640074629348</v>
      </c>
      <c r="E19" s="45" cm="1">
        <f t="array" ref="E19">_xlfn.LET(_xlpm.data, $W$43:$AB$62,
     _xlpm.filtered, _xlfn._xlws.FILTER(_xlpm.data, $W$43:$W$62='FC R11'!$B19),
     _xlpm.EOL, _xlfn.CHOOSECOLS(_xlpm.filtered,5),
MAX(_xlpm.EOL))</f>
        <v>2.7763744021706822</v>
      </c>
      <c r="F19" s="38"/>
      <c r="G19" s="79">
        <f>D19*$C$4</f>
        <v>167.17904455239022</v>
      </c>
      <c r="H19" s="73">
        <f t="shared" si="0"/>
        <v>4.1109601119440224</v>
      </c>
      <c r="I19" s="74">
        <f t="shared" si="1"/>
        <v>171.29000466433425</v>
      </c>
      <c r="J19" s="73">
        <f>I19-$C$6</f>
        <v>39.790004664334248</v>
      </c>
      <c r="K19" s="75">
        <f>J19/$C$7</f>
        <v>1.59160018657337</v>
      </c>
      <c r="L19" s="38"/>
      <c r="M19" s="79">
        <f>E19*$C$4</f>
        <v>169.35883853241162</v>
      </c>
      <c r="N19" s="73">
        <f t="shared" si="2"/>
        <v>4.1645616032560238</v>
      </c>
      <c r="O19" s="74">
        <f t="shared" si="3"/>
        <v>173.52340013566766</v>
      </c>
      <c r="P19" s="73">
        <f>O19-$C$6</f>
        <v>42.023400135667657</v>
      </c>
      <c r="Q19" s="75">
        <f>P19/$C$7</f>
        <v>1.6809360054267062</v>
      </c>
      <c r="AQ19" s="20"/>
      <c r="AR19" s="3"/>
      <c r="AS19" s="20" t="s">
        <v>17</v>
      </c>
      <c r="AT19" s="3" t="e">
        <f>#REF!</f>
        <v>#REF!</v>
      </c>
      <c r="AU19" s="3" t="e">
        <f>#REF!</f>
        <v>#REF!</v>
      </c>
      <c r="AV19" s="3" t="e">
        <f>#REF!</f>
        <v>#REF!</v>
      </c>
    </row>
    <row r="20" spans="2:48" x14ac:dyDescent="0.3">
      <c r="B20" t="s">
        <v>133</v>
      </c>
      <c r="L20" s="38"/>
      <c r="AQ20" s="20"/>
      <c r="AR20" s="3"/>
      <c r="AS20" s="20" t="s">
        <v>18</v>
      </c>
      <c r="AT20" s="3" t="e">
        <f>#REF!</f>
        <v>#REF!</v>
      </c>
      <c r="AU20" s="3" t="e">
        <f>#REF!</f>
        <v>#REF!</v>
      </c>
      <c r="AV20" s="3" t="e">
        <f>#REF!</f>
        <v>#REF!</v>
      </c>
    </row>
    <row r="21" spans="2:48" x14ac:dyDescent="0.3">
      <c r="AQ21" s="20"/>
      <c r="AR21" s="3"/>
      <c r="AS21" s="20" t="s">
        <v>19</v>
      </c>
      <c r="AT21" s="3" t="e">
        <f>#REF!</f>
        <v>#REF!</v>
      </c>
      <c r="AU21" s="3" t="e">
        <f>#REF!</f>
        <v>#REF!</v>
      </c>
      <c r="AV21" s="3" t="e">
        <f>#REF!</f>
        <v>#REF!</v>
      </c>
    </row>
    <row r="22" spans="2:48" x14ac:dyDescent="0.3">
      <c r="AQ22" s="20"/>
      <c r="AR22" s="3"/>
      <c r="AS22" s="20"/>
      <c r="AT22" s="3"/>
      <c r="AU22" s="3"/>
      <c r="AV22" s="3"/>
    </row>
    <row r="23" spans="2:48" x14ac:dyDescent="0.3">
      <c r="AQ23" s="20"/>
      <c r="AR23" s="3"/>
      <c r="AS23" s="20"/>
      <c r="AT23" s="3"/>
      <c r="AU23" s="3"/>
      <c r="AV23" s="3"/>
    </row>
    <row r="24" spans="2:48" x14ac:dyDescent="0.3">
      <c r="AQ24" s="20"/>
      <c r="AR24" s="3"/>
      <c r="AS24" s="20"/>
      <c r="AT24" s="3"/>
      <c r="AU24" s="3"/>
      <c r="AV24" s="3"/>
    </row>
    <row r="25" spans="2:48" x14ac:dyDescent="0.3">
      <c r="AQ25" s="20"/>
      <c r="AR25" s="3"/>
      <c r="AS25" s="20"/>
      <c r="AT25" s="3"/>
      <c r="AU25" s="3"/>
      <c r="AV25" s="3"/>
    </row>
    <row r="26" spans="2:48" x14ac:dyDescent="0.3">
      <c r="AQ26" s="20"/>
      <c r="AR26" s="3"/>
      <c r="AS26" s="20"/>
      <c r="AT26" s="3"/>
      <c r="AU26" s="3"/>
      <c r="AV26" s="3"/>
    </row>
    <row r="27" spans="2:48" ht="15" thickBot="1" x14ac:dyDescent="0.35">
      <c r="AQ27" s="20"/>
      <c r="AR27" s="3"/>
      <c r="AS27" s="20"/>
      <c r="AT27" s="3"/>
      <c r="AU27" s="3"/>
      <c r="AV27" s="3"/>
    </row>
    <row r="28" spans="2:48" ht="21.6" thickBot="1" x14ac:dyDescent="0.35">
      <c r="F28" s="38"/>
      <c r="G28" s="89" t="s">
        <v>123</v>
      </c>
      <c r="H28" s="90"/>
      <c r="I28" s="90"/>
      <c r="J28" s="90"/>
      <c r="K28" s="91"/>
      <c r="L28" s="38"/>
      <c r="M28" s="89" t="s">
        <v>122</v>
      </c>
      <c r="N28" s="90"/>
      <c r="O28" s="90"/>
      <c r="P28" s="90"/>
      <c r="Q28" s="91"/>
    </row>
    <row r="29" spans="2:48" ht="43.8" thickBot="1" x14ac:dyDescent="0.35">
      <c r="B29" s="80" t="s">
        <v>117</v>
      </c>
      <c r="C29" s="80"/>
      <c r="D29" s="39" t="s">
        <v>108</v>
      </c>
      <c r="E29" s="58" t="s">
        <v>129</v>
      </c>
      <c r="F29" s="38"/>
      <c r="G29" s="76" t="s">
        <v>125</v>
      </c>
      <c r="H29" s="40" t="s">
        <v>118</v>
      </c>
      <c r="I29" s="40" t="s">
        <v>119</v>
      </c>
      <c r="J29" s="40" t="s">
        <v>120</v>
      </c>
      <c r="K29" s="58" t="s">
        <v>121</v>
      </c>
      <c r="L29" s="38"/>
      <c r="M29" s="76" t="s">
        <v>125</v>
      </c>
      <c r="N29" s="40" t="s">
        <v>118</v>
      </c>
      <c r="O29" s="40" t="s">
        <v>119</v>
      </c>
      <c r="P29" s="40" t="s">
        <v>120</v>
      </c>
      <c r="Q29" s="58" t="s">
        <v>121</v>
      </c>
      <c r="R29" s="20"/>
      <c r="S29" s="20"/>
      <c r="T29" s="20"/>
      <c r="U29" s="20"/>
    </row>
    <row r="30" spans="2:48" x14ac:dyDescent="0.3">
      <c r="B30" s="61" t="s">
        <v>30</v>
      </c>
      <c r="C30" s="85"/>
      <c r="D30" s="66" cm="1">
        <f t="array" ref="D30">_xlfn.LET(_xlpm.data, $W$43:$AB$62,
     _xlpm.filtered, _xlfn._xlws.FILTER(_xlpm.data, $W$43:$W$62='FC R11'!$B30),
     _xlpm.EOL, _xlfn.CHOOSECOLS(_xlpm.filtered,6),
AVERAGE(_xlpm.EOL))</f>
        <v>2.7725082352941177</v>
      </c>
      <c r="E30" s="43" cm="1">
        <f t="array" ref="E30">_xlfn.LET(_xlpm.data, $W$43:$AB$62,
     _xlpm.filtered, _xlfn._xlws.FILTER(_xlpm.data, $W$43:$W$62='FC R11'!$B30),
     _xlpm.EOL, _xlfn.CHOOSECOLS(_xlpm.filtered,6),
MAX(_xlpm.EOL))</f>
        <v>2.8242117647058831</v>
      </c>
      <c r="F30" s="38"/>
      <c r="G30" s="77">
        <f>D30*$C$4</f>
        <v>169.12300235294117</v>
      </c>
      <c r="H30" s="67">
        <f>D30*$C$5</f>
        <v>4.1587623529411761</v>
      </c>
      <c r="I30" s="68">
        <f>SUM(G30:H30)</f>
        <v>173.28176470588235</v>
      </c>
      <c r="J30" s="67">
        <f>I30-$C$6</f>
        <v>41.781764705882352</v>
      </c>
      <c r="K30" s="69">
        <f>J30/$C$7</f>
        <v>1.6712705882352941</v>
      </c>
      <c r="L30" s="38"/>
      <c r="M30" s="77">
        <f>E30*$C$4</f>
        <v>172.27691764705887</v>
      </c>
      <c r="N30" s="67">
        <f>E30*1.5</f>
        <v>4.2363176470588249</v>
      </c>
      <c r="O30" s="68">
        <f>SUM(M30:N30)</f>
        <v>176.51323529411769</v>
      </c>
      <c r="P30" s="67">
        <f>O30-$C$6</f>
        <v>45.013235294117692</v>
      </c>
      <c r="Q30" s="69">
        <f>P30/$C$7</f>
        <v>1.8005294117647077</v>
      </c>
      <c r="R30" s="59"/>
      <c r="S30" s="59"/>
      <c r="T30" s="59"/>
      <c r="U30" s="59"/>
    </row>
    <row r="31" spans="2:48" x14ac:dyDescent="0.3">
      <c r="B31" s="62" t="s">
        <v>31</v>
      </c>
      <c r="C31" s="86"/>
      <c r="D31" s="70" cm="1">
        <f t="array" ref="D31">_xlfn.LET(_xlpm.data, $W$43:$AB$62,
     _xlpm.filtered, _xlfn._xlws.FILTER(_xlpm.data, $W$43:$W$62='FC R11'!$B31),
     _xlpm.EOL, _xlfn.CHOOSECOLS(_xlpm.filtered,6),
AVERAGE(_xlpm.EOL))</f>
        <v>2.8133476251128551</v>
      </c>
      <c r="E31" s="44" cm="1">
        <f t="array" ref="E31">_xlfn.LET(_xlpm.data, $W$43:$AB$62,
     _xlpm.filtered, _xlfn._xlws.FILTER(_xlpm.data, $W$43:$W$62='FC R11'!$B31),
     _xlpm.EOL, _xlfn.CHOOSECOLS(_xlpm.filtered,6),
MAX(_xlpm.EOL))</f>
        <v>2.9226860000000001</v>
      </c>
      <c r="F31" s="38"/>
      <c r="G31" s="78">
        <f>D31*$C$4</f>
        <v>171.61420513188415</v>
      </c>
      <c r="H31" s="64">
        <f t="shared" ref="H31:H32" si="4">D31*$C$5</f>
        <v>4.2200214376692831</v>
      </c>
      <c r="I31" s="65">
        <f t="shared" ref="I31:I32" si="5">SUM(G31:H31)</f>
        <v>175.83422656955344</v>
      </c>
      <c r="J31" s="64">
        <f>I31-$C$6</f>
        <v>44.334226569553437</v>
      </c>
      <c r="K31" s="71">
        <f>J31/$C$7</f>
        <v>1.7733690627821375</v>
      </c>
      <c r="L31" s="38"/>
      <c r="M31" s="78">
        <f>E31*$C$4</f>
        <v>178.28384600000001</v>
      </c>
      <c r="N31" s="64">
        <f t="shared" ref="N31:N32" si="6">E31*1.5</f>
        <v>4.384029</v>
      </c>
      <c r="O31" s="65">
        <f t="shared" ref="O31:O32" si="7">SUM(M31:N31)</f>
        <v>182.66787500000001</v>
      </c>
      <c r="P31" s="64">
        <f>O31-$C$6</f>
        <v>51.167875000000009</v>
      </c>
      <c r="Q31" s="71">
        <f>P31/$C$7</f>
        <v>2.0467150000000003</v>
      </c>
    </row>
    <row r="32" spans="2:48" ht="15" thickBot="1" x14ac:dyDescent="0.35">
      <c r="B32" s="63" t="s">
        <v>29</v>
      </c>
      <c r="C32" s="87"/>
      <c r="D32" s="72" cm="1">
        <f t="array" ref="D32">_xlfn.LET(_xlpm.data, $W$43:$AB$62,
     _xlpm.filtered, _xlfn._xlws.FILTER(_xlpm.data, $W$43:$W$62='FC R11'!$B32),
     _xlpm.EOL, _xlfn.CHOOSECOLS(_xlpm.filtered,6),
AVERAGE(_xlpm.EOL))</f>
        <v>2.8049485450089122</v>
      </c>
      <c r="E32" s="45" cm="1">
        <f t="array" ref="E32">_xlfn.LET(_xlpm.data, $W$43:$AB$62,
     _xlpm.filtered, _xlfn._xlws.FILTER(_xlpm.data, $W$43:$W$62='FC R11'!$B32),
     _xlpm.EOL, _xlfn.CHOOSECOLS(_xlpm.filtered,6),
MAX(_xlpm.EOL))</f>
        <v>2.8864205882352936</v>
      </c>
      <c r="F32" s="38"/>
      <c r="G32" s="79">
        <f>D32*$C$4</f>
        <v>171.10186124554366</v>
      </c>
      <c r="H32" s="73">
        <f t="shared" si="4"/>
        <v>4.2074228175133683</v>
      </c>
      <c r="I32" s="74">
        <f t="shared" si="5"/>
        <v>175.30928406305702</v>
      </c>
      <c r="J32" s="73">
        <f>I32-$C$6</f>
        <v>43.809284063057021</v>
      </c>
      <c r="K32" s="75">
        <f>J32/$C$7</f>
        <v>1.7523713625222808</v>
      </c>
      <c r="L32" s="38"/>
      <c r="M32" s="79">
        <f>E32*$C$4</f>
        <v>176.0716558823529</v>
      </c>
      <c r="N32" s="73">
        <f t="shared" si="6"/>
        <v>4.3296308823529408</v>
      </c>
      <c r="O32" s="74">
        <f t="shared" si="7"/>
        <v>180.40128676470584</v>
      </c>
      <c r="P32" s="73">
        <f>O32-$C$6</f>
        <v>48.901286764705844</v>
      </c>
      <c r="Q32" s="75">
        <f>P32/$C$7</f>
        <v>1.9560514705882337</v>
      </c>
    </row>
    <row r="33" spans="2:30" x14ac:dyDescent="0.3">
      <c r="B33" t="s">
        <v>132</v>
      </c>
    </row>
    <row r="34" spans="2:30" x14ac:dyDescent="0.3">
      <c r="B34" s="83" t="s">
        <v>134</v>
      </c>
      <c r="C34" s="83"/>
    </row>
    <row r="41" spans="2:30" ht="15" thickBot="1" x14ac:dyDescent="0.35"/>
    <row r="42" spans="2:30" ht="29.4" thickBot="1" x14ac:dyDescent="0.35">
      <c r="W42" s="39" t="s">
        <v>34</v>
      </c>
      <c r="X42" s="51" t="s">
        <v>33</v>
      </c>
      <c r="Y42" s="46" t="s">
        <v>110</v>
      </c>
      <c r="AA42" s="57" t="s">
        <v>115</v>
      </c>
      <c r="AB42" s="58" t="s">
        <v>109</v>
      </c>
      <c r="AC42" s="38"/>
      <c r="AD42" s="46" t="s">
        <v>111</v>
      </c>
    </row>
    <row r="43" spans="2:30" x14ac:dyDescent="0.3">
      <c r="W43" s="9" t="s">
        <v>29</v>
      </c>
      <c r="X43" s="52" t="str" cm="1">
        <f t="array" ref="X43:X64">_xlfn._xlws.FILTER(_xlfn.UNIQUE('DUMP R11'!B:B),_xlfn.UNIQUE('DUMP R11'!B:B)&lt;&gt;0)</f>
        <v>Jack Le Brocq, MSR-005</v>
      </c>
      <c r="Y43" s="54" cm="1">
        <f t="array" ref="Y43">_xlfn.LET(_xlpm.data, 'DUMP R11'!$A$3:$J$10000,
     _xlpm.filtered, _xlfn._xlws.FILTER(_xlpm.data,'DUMP R11'!$B$3:$B$10000=$X43),
     _xlpm.EOL_Dash, _xlfn.CHOOSECOLS(_xlpm.filtered,7),
AVERAGE(_xlpm.EOL_Dash))</f>
        <v>2.1758823529411764</v>
      </c>
      <c r="AA43" s="54">
        <f t="shared" ref="AA43:AA62" si="8">Y43/$C$9</f>
        <v>2.7555162097207813</v>
      </c>
      <c r="AB43" s="12" cm="1">
        <f t="array" ref="AB43">_xlfn.LET(_xlpm.data, 'DUMP R11'!$A$3:$J$10000,
     _xlpm.filtered, _xlfn._xlws.FILTER(_xlpm.data,'DUMP R11'!$B$3:$B$10000=$X43),
     _xlpm.EOL_w_Error, _xlfn.CHOOSECOLS(_xlpm.filtered,10),
AVERAGE(_xlpm.EOL_w_Error))</f>
        <v>2.7295308823529405</v>
      </c>
      <c r="AD43" s="47">
        <f t="shared" ref="AD43:AD62" si="9">1-AB43/AA43</f>
        <v>9.4302937780481599E-3</v>
      </c>
    </row>
    <row r="44" spans="2:30" x14ac:dyDescent="0.3">
      <c r="W44" s="13" t="s">
        <v>31</v>
      </c>
      <c r="X44" s="21" t="str">
        <v>Thomas Randle, TR26</v>
      </c>
      <c r="Y44" s="55" cm="1">
        <f t="array" ref="Y44">_xlfn.LET(_xlpm.data, 'DUMP R11'!$A$3:$J$10000,
     _xlpm.filtered, _xlfn._xlws.FILTER(_xlpm.data,'DUMP R11'!$B$3:$B$10000=$X44),
     _xlpm.EOL_Dash, _xlfn.CHOOSECOLS(_xlpm.filtered,7),
AVERAGE(_xlpm.EOL_Dash))</f>
        <v>2.1467647058823531</v>
      </c>
      <c r="AA44" s="55">
        <f t="shared" si="8"/>
        <v>2.7186419052111361</v>
      </c>
      <c r="AB44" s="14" cm="1">
        <f t="array" ref="AB44">_xlfn.LET(_xlpm.data, 'DUMP R11'!$A$3:$J$10000,
     _xlpm.filtered, _xlfn._xlws.FILTER(_xlpm.data,'DUMP R11'!$B$3:$B$10000=X44),
     _xlpm.EOL_w_Error, _xlfn.CHOOSECOLS(_xlpm.filtered,10),
AVERAGE(_xlpm.EOL_w_Error))</f>
        <v>2.7847058823529416</v>
      </c>
      <c r="AD44" s="48">
        <f t="shared" si="9"/>
        <v>-2.4300360049322123E-2</v>
      </c>
    </row>
    <row r="45" spans="2:30" x14ac:dyDescent="0.3">
      <c r="W45" s="13" t="s">
        <v>31</v>
      </c>
      <c r="X45" s="21" t="str">
        <v>Rylan Gray, DJRS08-MR</v>
      </c>
      <c r="Y45" s="55" cm="1">
        <f t="array" ref="Y45">_xlfn.LET(_xlpm.data, 'DUMP R11'!$A$3:$J$10000,
     _xlpm.filtered, _xlfn._xlws.FILTER(_xlpm.data,'DUMP R11'!$B$3:$B$10000=$X45),
     _xlpm.EOL_Dash, _xlfn.CHOOSECOLS(_xlpm.filtered,7),
AVERAGE(_xlpm.EOL_Dash))</f>
        <v>2.1167647058823529</v>
      </c>
      <c r="AA45" s="55">
        <f t="shared" si="8"/>
        <v>2.6806501975345314</v>
      </c>
      <c r="AB45" s="14" cm="1">
        <f t="array" ref="AB45">_xlfn.LET(_xlpm.data, 'DUMP R11'!$A$3:$J$10000,
     _xlpm.filtered, _xlfn._xlws.FILTER(_xlpm.data,'DUMP R11'!$B$3:$B$10000=X45),
     _xlpm.EOL_w_Error, _xlfn.CHOOSECOLS(_xlpm.filtered,10),
AVERAGE(_xlpm.EOL_w_Error))</f>
        <v>2.7461764705882352</v>
      </c>
      <c r="AD45" s="48">
        <f t="shared" si="9"/>
        <v>-2.4444171460330955E-2</v>
      </c>
    </row>
    <row r="46" spans="2:30" x14ac:dyDescent="0.3">
      <c r="W46" s="13" t="s">
        <v>31</v>
      </c>
      <c r="X46" s="21" t="str">
        <v>Cam Waters, TR28</v>
      </c>
      <c r="Y46" s="55" cm="1">
        <f t="array" ref="Y46">_xlfn.LET(_xlpm.data, 'DUMP R11'!$A$3:$J$10000,
     _xlpm.filtered, _xlfn._xlws.FILTER(_xlpm.data,'DUMP R11'!$B$3:$B$10000=$X46),
     _xlpm.EOL_Dash, _xlfn.CHOOSECOLS(_xlpm.filtered,7),
AVERAGE(_xlpm.EOL_Dash))</f>
        <v>2.2029411764705884</v>
      </c>
      <c r="AA46" s="55">
        <f t="shared" si="8"/>
        <v>2.7897832401741898</v>
      </c>
      <c r="AB46" s="14" cm="1">
        <f t="array" ref="AB46">_xlfn.LET(_xlpm.data, 'DUMP R11'!$A$3:$J$10000,
     _xlpm.filtered, _xlfn._xlws.FILTER(_xlpm.data,'DUMP R11'!$B$3:$B$10000=X46),
     _xlpm.EOL_w_Error, _xlfn.CHOOSECOLS(_xlpm.filtered,10),
AVERAGE(_xlpm.EOL_w_Error))</f>
        <v>2.8597929411764715</v>
      </c>
      <c r="AD46" s="48">
        <f t="shared" si="9"/>
        <v>-2.5095032472096435E-2</v>
      </c>
    </row>
    <row r="47" spans="2:30" x14ac:dyDescent="0.3">
      <c r="W47" s="13" t="s">
        <v>30</v>
      </c>
      <c r="X47" s="21" t="str">
        <v>Anton De Pasquale, T18-004</v>
      </c>
      <c r="Y47" s="55" cm="1">
        <f t="array" ref="Y47">_xlfn.LET(_xlpm.data, 'DUMP R11'!$A$3:$J$10000,
     _xlpm.filtered, _xlfn._xlws.FILTER(_xlpm.data,'DUMP R11'!$B$3:$B$10000=$X47),
     _xlpm.EOL_Dash, _xlfn.CHOOSECOLS(_xlpm.filtered,7),
AVERAGE(_xlpm.EOL_Dash))</f>
        <v>2.2035294117647064</v>
      </c>
      <c r="AA47" s="55">
        <f t="shared" si="8"/>
        <v>2.7905281756188294</v>
      </c>
      <c r="AB47" s="14" cm="1">
        <f t="array" ref="AB47">_xlfn.LET(_xlpm.data, 'DUMP R11'!$A$3:$J$10000,
     _xlpm.filtered, _xlfn._xlws.FILTER(_xlpm.data,'DUMP R11'!$B$3:$B$10000=X47),
     _xlpm.EOL_w_Error, _xlfn.CHOOSECOLS(_xlpm.filtered,10),
AVERAGE(_xlpm.EOL_w_Error))</f>
        <v>2.7639294117647046</v>
      </c>
      <c r="AD47" s="48">
        <f t="shared" si="9"/>
        <v>9.5318026481585605E-3</v>
      </c>
    </row>
    <row r="48" spans="2:30" x14ac:dyDescent="0.3">
      <c r="W48" s="13" t="s">
        <v>31</v>
      </c>
      <c r="X48" s="21" t="str">
        <v>Zach Bates, MSR-006</v>
      </c>
      <c r="Y48" s="55" cm="1">
        <f t="array" ref="Y48">_xlfn.LET(_xlpm.data, 'DUMP R11'!$A$3:$J$10000,
     _xlpm.filtered, _xlfn._xlws.FILTER(_xlpm.data,'DUMP R11'!$B$3:$B$10000=$X48),
     _xlpm.EOL_Dash, _xlfn.CHOOSECOLS(_xlpm.filtered,7),
AVERAGE(_xlpm.EOL_Dash))</f>
        <v>2.1829411764705879</v>
      </c>
      <c r="AA48" s="55">
        <f t="shared" si="8"/>
        <v>2.764455435056453</v>
      </c>
      <c r="AB48" s="14" cm="1">
        <f t="array" ref="AB48">_xlfn.LET(_xlpm.data, 'DUMP R11'!$A$3:$J$10000,
     _xlpm.filtered, _xlfn._xlws.FILTER(_xlpm.data,'DUMP R11'!$B$3:$B$10000=X48),
     _xlpm.EOL_w_Error, _xlfn.CHOOSECOLS(_xlpm.filtered,10),
AVERAGE(_xlpm.EOL_w_Error))</f>
        <v>2.7280976470588238</v>
      </c>
      <c r="AD48" s="48">
        <f t="shared" si="9"/>
        <v>1.3151880669361127E-2</v>
      </c>
    </row>
    <row r="49" spans="23:30" x14ac:dyDescent="0.3">
      <c r="W49" s="13" t="s">
        <v>30</v>
      </c>
      <c r="X49" s="21" t="str">
        <v>David Reynolds, T18-003</v>
      </c>
      <c r="Y49" s="55" cm="1">
        <f t="array" ref="Y49">_xlfn.LET(_xlpm.data, 'DUMP R11'!$A$3:$J$10000,
     _xlpm.filtered, _xlfn._xlws.FILTER(_xlpm.data,'DUMP R11'!$B$3:$B$10000=$X49),
     _xlpm.EOL_Dash, _xlfn.CHOOSECOLS(_xlpm.filtered,7),
AVERAGE(_xlpm.EOL_Dash))</f>
        <v>2.2079411764705879</v>
      </c>
      <c r="AA49" s="55">
        <f t="shared" si="8"/>
        <v>2.7961151914536231</v>
      </c>
      <c r="AB49" s="14" cm="1">
        <f t="array" ref="AB49">_xlfn.LET(_xlpm.data, 'DUMP R11'!$A$3:$J$10000,
     _xlpm.filtered, _xlfn._xlws.FILTER(_xlpm.data,'DUMP R11'!$B$3:$B$10000=X49),
     _xlpm.EOL_w_Error, _xlfn.CHOOSECOLS(_xlpm.filtered,10),
AVERAGE(_xlpm.EOL_w_Error))</f>
        <v>2.763264705882353</v>
      </c>
      <c r="AD49" s="48">
        <f t="shared" si="9"/>
        <v>1.1748616677767165E-2</v>
      </c>
    </row>
    <row r="50" spans="23:30" x14ac:dyDescent="0.3">
      <c r="W50" s="13" t="s">
        <v>31</v>
      </c>
      <c r="X50" s="21" t="str">
        <v>Broc Feeney, 888A-072</v>
      </c>
      <c r="Y50" s="55" cm="1">
        <f t="array" ref="Y50">_xlfn.LET(_xlpm.data, 'DUMP R11'!$A$3:$J$10000,
     _xlpm.filtered, _xlfn._xlws.FILTER(_xlpm.data,'DUMP R11'!$B$3:$B$10000=$X50),
     _xlpm.EOL_Dash, _xlfn.CHOOSECOLS(_xlpm.filtered,7),
AVERAGE(_xlpm.EOL_Dash))</f>
        <v>2.2011764705882344</v>
      </c>
      <c r="AA50" s="55">
        <f t="shared" si="8"/>
        <v>2.7875484338402705</v>
      </c>
      <c r="AB50" s="14" cm="1">
        <f t="array" ref="AB50">_xlfn.LET(_xlpm.data, 'DUMP R11'!$A$3:$J$10000,
     _xlpm.filtered, _xlfn._xlws.FILTER(_xlpm.data,'DUMP R11'!$B$3:$B$10000=X50),
     _xlpm.EOL_w_Error, _xlfn.CHOOSECOLS(_xlpm.filtered,10),
AVERAGE(_xlpm.EOL_w_Error))</f>
        <v>2.84999294117647</v>
      </c>
      <c r="AD50" s="48">
        <f t="shared" si="9"/>
        <v>-2.2401227752004482E-2</v>
      </c>
    </row>
    <row r="51" spans="23:30" x14ac:dyDescent="0.3">
      <c r="W51" s="13" t="s">
        <v>30</v>
      </c>
      <c r="X51" s="21" t="str">
        <v>Jayden Ojeda, 888A-064</v>
      </c>
      <c r="Y51" s="55" cm="1">
        <f t="array" ref="Y51">_xlfn.LET(_xlpm.data, 'DUMP R11'!$A$3:$J$10000,
     _xlpm.filtered, _xlfn._xlws.FILTER(_xlpm.data,'DUMP R11'!$B$3:$B$10000=$X51),
     _xlpm.EOL_Dash, _xlfn.CHOOSECOLS(_xlpm.filtered,7),
AVERAGE(_xlpm.EOL_Dash))</f>
        <v>2.1691176470588243</v>
      </c>
      <c r="AA51" s="55">
        <f t="shared" si="8"/>
        <v>2.7469494521074305</v>
      </c>
      <c r="AB51" s="14" cm="1">
        <f t="array" ref="AB51">_xlfn.LET(_xlpm.data, 'DUMP R11'!$A$3:$J$10000,
     _xlpm.filtered, _xlfn._xlws.FILTER(_xlpm.data,'DUMP R11'!$B$3:$B$10000=X51),
     _xlpm.EOL_w_Error, _xlfn.CHOOSECOLS(_xlpm.filtered,10),
AVERAGE(_xlpm.EOL_w_Error))</f>
        <v>2.7107867647058832</v>
      </c>
      <c r="AD51" s="48">
        <f t="shared" si="9"/>
        <v>1.3164671586440635E-2</v>
      </c>
    </row>
    <row r="52" spans="23:30" x14ac:dyDescent="0.3">
      <c r="W52" s="13" t="s">
        <v>31</v>
      </c>
      <c r="X52" s="21" t="str">
        <v>Declan Fraser, 888A-062</v>
      </c>
      <c r="Y52" s="55" cm="1">
        <f t="array" ref="Y52">_xlfn.LET(_xlpm.data, 'DUMP R11'!$A$3:$J$10000,
     _xlpm.filtered, _xlfn._xlws.FILTER(_xlpm.data,'DUMP R11'!$B$3:$B$10000=$X52),
     _xlpm.EOL_Dash, _xlfn.CHOOSECOLS(_xlpm.filtered,7),
AVERAGE(_xlpm.EOL_Dash))</f>
        <v>2.2106060606060609</v>
      </c>
      <c r="AA52" s="55">
        <f t="shared" si="8"/>
        <v>2.7994899747558537</v>
      </c>
      <c r="AB52" s="14" cm="1">
        <f t="array" ref="AB52">_xlfn.LET(_xlpm.data, 'DUMP R11'!$A$3:$J$10000,
     _xlpm.filtered, _xlfn._xlws.FILTER(_xlpm.data,'DUMP R11'!$B$3:$B$10000=X52),
     _xlpm.EOL_w_Error, _xlfn.CHOOSECOLS(_xlpm.filtered,10),
AVERAGE(_xlpm.EOL_w_Error))</f>
        <v>2.7732363636363639</v>
      </c>
      <c r="AD52" s="48">
        <f t="shared" si="9"/>
        <v>9.3779979054147145E-3</v>
      </c>
    </row>
    <row r="53" spans="23:30" x14ac:dyDescent="0.3">
      <c r="W53" s="13" t="s">
        <v>31</v>
      </c>
      <c r="X53" s="21" t="str">
        <v>Jackson Walls, 888A-074</v>
      </c>
      <c r="Y53" s="55" cm="1">
        <f t="array" ref="Y53">_xlfn.LET(_xlpm.data, 'DUMP R11'!$A$3:$J$10000,
     _xlpm.filtered, _xlfn._xlws.FILTER(_xlpm.data,'DUMP R11'!$B$3:$B$10000=$X53),
     _xlpm.EOL_Dash, _xlfn.CHOOSECOLS(_xlpm.filtered,7),
AVERAGE(_xlpm.EOL_Dash))</f>
        <v>2.1097058823529409</v>
      </c>
      <c r="AA53" s="55">
        <f t="shared" si="8"/>
        <v>2.6717109721988597</v>
      </c>
      <c r="AB53" s="14" cm="1">
        <f t="array" ref="AB53">_xlfn.LET(_xlpm.data, 'DUMP R11'!$A$3:$J$10000,
     _xlpm.filtered, _xlfn._xlws.FILTER(_xlpm.data,'DUMP R11'!$B$3:$B$10000=X53),
     _xlpm.EOL_w_Error, _xlfn.CHOOSECOLS(_xlpm.filtered,10),
AVERAGE(_xlpm.EOL_w_Error))</f>
        <v>2.7363199999999996</v>
      </c>
      <c r="AD53" s="48">
        <f t="shared" si="9"/>
        <v>-2.4182641188903009E-2</v>
      </c>
    </row>
    <row r="54" spans="23:30" x14ac:dyDescent="0.3">
      <c r="W54" s="13" t="s">
        <v>29</v>
      </c>
      <c r="X54" s="21" t="str">
        <v>Chaz Mostert, WR-032</v>
      </c>
      <c r="Y54" s="55" cm="1">
        <f t="array" ref="Y54">_xlfn.LET(_xlpm.data, 'DUMP R11'!$A$3:$J$10000,
     _xlpm.filtered, _xlfn._xlws.FILTER(_xlpm.data,'DUMP R11'!$B$3:$B$10000=$X54),
     _xlpm.EOL_Dash, _xlfn.CHOOSECOLS(_xlpm.filtered,7),
AVERAGE(_xlpm.EOL_Dash))</f>
        <v>2.1524242424242419</v>
      </c>
      <c r="AA54" s="55">
        <f t="shared" si="8"/>
        <v>2.7258090871406195</v>
      </c>
      <c r="AB54" s="14" cm="1">
        <f t="array" ref="AB54">_xlfn.LET(_xlpm.data, 'DUMP R11'!$A$3:$J$10000,
     _xlpm.filtered, _xlfn._xlws.FILTER(_xlpm.data,'DUMP R11'!$B$3:$B$10000=X54),
     _xlpm.EOL_w_Error, _xlfn.CHOOSECOLS(_xlpm.filtered,10),
AVERAGE(_xlpm.EOL_w_Error))</f>
        <v>2.837372121212121</v>
      </c>
      <c r="AD54" s="48">
        <f t="shared" si="9"/>
        <v>-4.0928410796565062E-2</v>
      </c>
    </row>
    <row r="55" spans="23:30" x14ac:dyDescent="0.3">
      <c r="W55" s="13" t="s">
        <v>31</v>
      </c>
      <c r="X55" s="21" t="str">
        <v>Aaron Cameron, BRT-001</v>
      </c>
      <c r="Y55" s="55" cm="1">
        <f t="array" ref="Y55">_xlfn.LET(_xlpm.data, 'DUMP R11'!$A$3:$J$10000,
     _xlpm.filtered, _xlfn._xlws.FILTER(_xlpm.data,'DUMP R11'!$B$3:$B$10000=$X55),
     _xlpm.EOL_Dash, _xlfn.CHOOSECOLS(_xlpm.filtered,7),
AVERAGE(_xlpm.EOL_Dash))</f>
        <v>2.1649999999999996</v>
      </c>
      <c r="AA55" s="55">
        <f t="shared" si="8"/>
        <v>2.7417349039949541</v>
      </c>
      <c r="AB55" s="14" cm="1">
        <f t="array" ref="AB55">_xlfn.LET(_xlpm.data, 'DUMP R11'!$A$3:$J$10000,
     _xlpm.filtered, _xlfn._xlws.FILTER(_xlpm.data,'DUMP R11'!$B$3:$B$10000=X55),
     _xlpm.EOL_w_Error, _xlfn.CHOOSECOLS(_xlpm.filtered,10),
AVERAGE(_xlpm.EOL_w_Error))</f>
        <v>2.8024870588235293</v>
      </c>
      <c r="AD55" s="48">
        <f t="shared" si="9"/>
        <v>-2.2158289169406542E-2</v>
      </c>
    </row>
    <row r="56" spans="23:30" x14ac:dyDescent="0.3">
      <c r="W56" s="13" t="s">
        <v>30</v>
      </c>
      <c r="X56" s="21" t="str">
        <v>James Golding, BRT-002</v>
      </c>
      <c r="Y56" s="55" cm="1">
        <f t="array" ref="Y56">_xlfn.LET(_xlpm.data, 'DUMP R11'!$A$3:$J$10000,
     _xlpm.filtered, _xlfn._xlws.FILTER(_xlpm.data,'DUMP R11'!$B$3:$B$10000=$X56),
     _xlpm.EOL_Dash, _xlfn.CHOOSECOLS(_xlpm.filtered,7),
AVERAGE(_xlpm.EOL_Dash))</f>
        <v>2.1779411764705885</v>
      </c>
      <c r="AA56" s="55">
        <f t="shared" si="8"/>
        <v>2.7581234837770197</v>
      </c>
      <c r="AB56" s="14" cm="1">
        <f t="array" ref="AB56">_xlfn.LET(_xlpm.data, 'DUMP R11'!$A$3:$J$10000,
     _xlpm.filtered, _xlfn._xlws.FILTER(_xlpm.data,'DUMP R11'!$B$3:$B$10000=X56),
     _xlpm.EOL_w_Error, _xlfn.CHOOSECOLS(_xlpm.filtered,10),
AVERAGE(_xlpm.EOL_w_Error))</f>
        <v>2.8242117647058831</v>
      </c>
      <c r="AD56" s="48">
        <f t="shared" si="9"/>
        <v>-2.3961320556380894E-2</v>
      </c>
    </row>
    <row r="57" spans="23:30" x14ac:dyDescent="0.3">
      <c r="W57" s="13" t="s">
        <v>30</v>
      </c>
      <c r="X57" s="21" t="str">
        <v>Will Brown, 888A-073</v>
      </c>
      <c r="Y57" s="55" cm="1">
        <f t="array" ref="Y57">_xlfn.LET(_xlpm.data, 'DUMP R11'!$A$3:$J$10000,
     _xlpm.filtered, _xlfn._xlws.FILTER(_xlpm.data,'DUMP R11'!$B$3:$B$10000=$X57),
     _xlpm.EOL_Dash, _xlfn.CHOOSECOLS(_xlpm.filtered,7),
AVERAGE(_xlpm.EOL_Dash))</f>
        <v>2.1585294117647065</v>
      </c>
      <c r="AA57" s="55">
        <f t="shared" si="8"/>
        <v>2.7335406141039229</v>
      </c>
      <c r="AB57" s="14" cm="1">
        <f t="array" ref="AB57">_xlfn.LET(_xlpm.data, 'DUMP R11'!$A$3:$J$10000,
     _xlpm.filtered, _xlfn._xlws.FILTER(_xlpm.data,'DUMP R11'!$B$3:$B$10000=X57),
     _xlpm.EOL_w_Error, _xlfn.CHOOSECOLS(_xlpm.filtered,10),
AVERAGE(_xlpm.EOL_w_Error))</f>
        <v>2.8003485294117634</v>
      </c>
      <c r="AD57" s="48">
        <f t="shared" si="9"/>
        <v>-2.4440066836080465E-2</v>
      </c>
    </row>
    <row r="58" spans="23:30" x14ac:dyDescent="0.3">
      <c r="W58" s="13" t="s">
        <v>31</v>
      </c>
      <c r="X58" s="21" t="str">
        <v>Ryan Wood, WR-030</v>
      </c>
      <c r="Y58" s="55" cm="1">
        <f t="array" ref="Y58">_xlfn.LET(_xlpm.data, 'DUMP R11'!$A$3:$J$10000,
     _xlpm.filtered, _xlfn._xlws.FILTER(_xlpm.data,'DUMP R11'!$B$3:$B$10000=$X58),
     _xlpm.EOL_Dash, _xlfn.CHOOSECOLS(_xlpm.filtered,7),
AVERAGE(_xlpm.EOL_Dash))</f>
        <v>2.1854285714285715</v>
      </c>
      <c r="AA58" s="55">
        <f t="shared" si="8"/>
        <v>2.7676054477937853</v>
      </c>
      <c r="AB58" s="14" cm="1">
        <f t="array" ref="AB58">_xlfn.LET(_xlpm.data, 'DUMP R11'!$A$3:$J$10000,
     _xlpm.filtered, _xlfn._xlws.FILTER(_xlpm.data,'DUMP R11'!$B$3:$B$10000=X58),
     _xlpm.EOL_w_Error, _xlfn.CHOOSECOLS(_xlpm.filtered,10),
AVERAGE(_xlpm.EOL_w_Error))</f>
        <v>2.8834285714285715</v>
      </c>
      <c r="AD58" s="48">
        <f t="shared" si="9"/>
        <v>-4.1849579291410643E-2</v>
      </c>
    </row>
    <row r="59" spans="23:30" x14ac:dyDescent="0.3">
      <c r="W59" s="13" t="s">
        <v>29</v>
      </c>
      <c r="X59" s="21" t="str">
        <v>Brodie Kostecki, DJRS09-MR</v>
      </c>
      <c r="Y59" s="55" cm="1">
        <f t="array" ref="Y59">_xlfn.LET(_xlpm.data, 'DUMP R11'!$A$3:$J$10000,
     _xlpm.filtered, _xlfn._xlws.FILTER(_xlpm.data,'DUMP R11'!$B$3:$B$10000=$X59),
     _xlpm.EOL_Dash, _xlfn.CHOOSECOLS(_xlpm.filtered,7),
AVERAGE(_xlpm.EOL_Dash))</f>
        <v>2.1358823529411763</v>
      </c>
      <c r="AA59" s="55">
        <f t="shared" si="8"/>
        <v>2.704860599485309</v>
      </c>
      <c r="AB59" s="14" cm="1">
        <f t="array" ref="AB59">_xlfn.LET(_xlpm.data, 'DUMP R11'!$A$3:$J$10000,
     _xlpm.filtered, _xlfn._xlws.FILTER(_xlpm.data,'DUMP R11'!$B$3:$B$10000=X59),
     _xlpm.EOL_w_Error, _xlfn.CHOOSECOLS(_xlpm.filtered,10),
AVERAGE(_xlpm.EOL_w_Error))</f>
        <v>2.7664705882352947</v>
      </c>
      <c r="AD59" s="48">
        <f t="shared" si="9"/>
        <v>-2.2777509776921168E-2</v>
      </c>
    </row>
    <row r="60" spans="23:30" x14ac:dyDescent="0.3">
      <c r="W60" s="13" t="s">
        <v>29</v>
      </c>
      <c r="X60" s="21" t="str">
        <v>Macauley Jones, BJR018</v>
      </c>
      <c r="Y60" s="55" cm="1">
        <f t="array" ref="Y60">_xlfn.LET(_xlpm.data, 'DUMP R11'!$A$3:$J$10000,
     _xlpm.filtered, _xlfn._xlws.FILTER(_xlpm.data,'DUMP R11'!$B$3:$B$10000=$X60),
     _xlpm.EOL_Dash, _xlfn.CHOOSECOLS(_xlpm.filtered,7),
AVERAGE(_xlpm.EOL_Dash))</f>
        <v>2.1923529411764706</v>
      </c>
      <c r="AA60" s="55">
        <f t="shared" si="8"/>
        <v>2.7763744021706822</v>
      </c>
      <c r="AB60" s="14" cm="1">
        <f t="array" ref="AB60">_xlfn.LET(_xlpm.data, 'DUMP R11'!$A$3:$J$10000,
     _xlpm.filtered, _xlfn._xlws.FILTER(_xlpm.data,'DUMP R11'!$B$3:$B$10000=X60),
     _xlpm.EOL_w_Error, _xlfn.CHOOSECOLS(_xlpm.filtered,10),
AVERAGE(_xlpm.EOL_w_Error))</f>
        <v>2.8864205882352936</v>
      </c>
      <c r="AD60" s="48">
        <f t="shared" si="9"/>
        <v>-3.9636652023074648E-2</v>
      </c>
    </row>
    <row r="61" spans="23:30" x14ac:dyDescent="0.3">
      <c r="W61" s="13" t="s">
        <v>31</v>
      </c>
      <c r="X61" s="21" t="str">
        <v>Matt Payne, GR02</v>
      </c>
      <c r="Y61" s="55" cm="1">
        <f t="array" ref="Y61">_xlfn.LET(_xlpm.data, 'DUMP R11'!$A$3:$J$10000,
     _xlpm.filtered, _xlfn._xlws.FILTER(_xlpm.data,'DUMP R11'!$B$3:$B$10000=$X61),
     _xlpm.EOL_Dash, _xlfn.CHOOSECOLS(_xlpm.filtered,7),
AVERAGE(_xlpm.EOL_Dash))</f>
        <v>2.2084848484848489</v>
      </c>
      <c r="AA61" s="55">
        <f t="shared" si="8"/>
        <v>2.7968036923948816</v>
      </c>
      <c r="AB61" s="14" cm="1">
        <f t="array" ref="AB61">_xlfn.LET(_xlpm.data, 'DUMP R11'!$A$3:$J$10000,
     _xlpm.filtered, _xlfn._xlws.FILTER(_xlpm.data,'DUMP R11'!$B$3:$B$10000=X61),
     _xlpm.EOL_w_Error, _xlfn.CHOOSECOLS(_xlpm.filtered,10),
AVERAGE(_xlpm.EOL_w_Error))</f>
        <v>2.8599000000000001</v>
      </c>
      <c r="AD61" s="48">
        <f t="shared" si="9"/>
        <v>-2.2560148850164552E-2</v>
      </c>
    </row>
    <row r="62" spans="23:30" ht="15" thickBot="1" x14ac:dyDescent="0.35">
      <c r="W62" s="15" t="s">
        <v>31</v>
      </c>
      <c r="X62" s="53" t="str">
        <v>Cam Hill, BJR020</v>
      </c>
      <c r="Y62" s="56" cm="1">
        <f t="array" ref="Y62">_xlfn.LET(_xlpm.data, 'DUMP R11'!$A$3:$J$10000,
     _xlpm.filtered, _xlfn._xlws.FILTER(_xlpm.data,'DUMP R11'!$B$3:$B$10000=$X62),
     _xlpm.EOL_Dash, _xlfn.CHOOSECOLS(_xlpm.filtered,7),
AVERAGE(_xlpm.EOL_Dash))</f>
        <v>2.2156000000000002</v>
      </c>
      <c r="AA62" s="56">
        <f t="shared" si="8"/>
        <v>2.8058142509428277</v>
      </c>
      <c r="AB62" s="18" cm="1">
        <f t="array" ref="AB62">_xlfn.LET(_xlpm.data, 'DUMP R11'!$A$3:$J$10000,
     _xlpm.filtered, _xlfn._xlws.FILTER(_xlpm.data,'DUMP R11'!$B$3:$B$10000=X62),
     _xlpm.EOL_w_Error, _xlfn.CHOOSECOLS(_xlpm.filtered,10),
AVERAGE(_xlpm.EOL_w_Error))</f>
        <v>2.9226860000000001</v>
      </c>
      <c r="AD62" s="49">
        <f t="shared" si="9"/>
        <v>-4.1653416300776236E-2</v>
      </c>
    </row>
    <row r="63" spans="23:30" x14ac:dyDescent="0.3">
      <c r="X63" t="str">
        <v>Andre Heimgartner, BJR019</v>
      </c>
    </row>
    <row r="64" spans="23:30" x14ac:dyDescent="0.3">
      <c r="X64" t="str">
        <v>Kai Allen, GR-03</v>
      </c>
    </row>
  </sheetData>
  <mergeCells count="4">
    <mergeCell ref="G15:K15"/>
    <mergeCell ref="M15:Q15"/>
    <mergeCell ref="G28:K28"/>
    <mergeCell ref="M28:Q28"/>
  </mergeCells>
  <conditionalFormatting sqref="AD43:AD62">
    <cfRule type="colorScale" priority="1">
      <colorScale>
        <cfvo type="min"/>
        <cfvo type="num" val="0"/>
        <cfvo type="max"/>
        <color rgb="FFFF0000"/>
        <color theme="0" tint="-4.9989318521683403E-2"/>
        <color theme="6" tint="0.39997558519241921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E6B8-BED3-473E-9A07-E4568B02B48A}">
  <dimension ref="A1:J800"/>
  <sheetViews>
    <sheetView topLeftCell="A694" workbookViewId="0">
      <selection activeCell="C9" sqref="C9"/>
    </sheetView>
  </sheetViews>
  <sheetFormatPr defaultRowHeight="14.4" x14ac:dyDescent="0.3"/>
  <cols>
    <col min="1" max="1" width="37.109375" customWidth="1"/>
    <col min="2" max="2" width="12.21875" customWidth="1"/>
    <col min="3" max="3" width="13" customWidth="1"/>
    <col min="4" max="4" width="23.88671875" customWidth="1"/>
    <col min="6" max="6" width="7.109375" bestFit="1" customWidth="1"/>
    <col min="7" max="7" width="20.33203125" style="37" bestFit="1" customWidth="1"/>
    <col min="8" max="8" width="18.33203125" bestFit="1" customWidth="1"/>
    <col min="9" max="9" width="8.88671875" style="37"/>
    <col min="10" max="10" width="15.6640625" bestFit="1" customWidth="1"/>
  </cols>
  <sheetData>
    <row r="1" spans="1:10" x14ac:dyDescent="0.3">
      <c r="A1" t="s">
        <v>0</v>
      </c>
      <c r="G1" s="37" t="s">
        <v>107</v>
      </c>
      <c r="H1" t="s">
        <v>1</v>
      </c>
      <c r="I1" s="37" t="s">
        <v>37</v>
      </c>
      <c r="J1" s="23" t="s">
        <v>114</v>
      </c>
    </row>
    <row r="2" spans="1:10" x14ac:dyDescent="0.3">
      <c r="G2" s="37" t="s">
        <v>2</v>
      </c>
      <c r="H2" t="s">
        <v>2</v>
      </c>
      <c r="I2" s="37" t="s">
        <v>2</v>
      </c>
    </row>
    <row r="3" spans="1:10" x14ac:dyDescent="0.3">
      <c r="A3" t="s">
        <v>3</v>
      </c>
      <c r="B3" t="s">
        <v>4</v>
      </c>
      <c r="C3" t="s">
        <v>138</v>
      </c>
      <c r="D3" t="s">
        <v>139</v>
      </c>
      <c r="E3" t="s">
        <v>9</v>
      </c>
      <c r="F3" s="1">
        <v>9.9723379629629641E-4</v>
      </c>
      <c r="G3" s="37">
        <v>2.06</v>
      </c>
      <c r="H3">
        <v>2.67</v>
      </c>
      <c r="I3" s="37">
        <v>0.96499999999999997</v>
      </c>
      <c r="J3">
        <f>H3*I3</f>
        <v>2.5765499999999997</v>
      </c>
    </row>
    <row r="4" spans="1:10" x14ac:dyDescent="0.3">
      <c r="A4" t="s">
        <v>3</v>
      </c>
      <c r="B4" t="s">
        <v>4</v>
      </c>
      <c r="C4" t="s">
        <v>138</v>
      </c>
      <c r="D4" t="s">
        <v>139</v>
      </c>
      <c r="E4" t="s">
        <v>10</v>
      </c>
      <c r="F4" s="1">
        <v>9.7789351851851856E-4</v>
      </c>
      <c r="G4" s="37">
        <v>2.08</v>
      </c>
      <c r="H4">
        <v>2.69</v>
      </c>
      <c r="I4" s="37">
        <v>0.96499999999999997</v>
      </c>
      <c r="J4">
        <f t="shared" ref="J4:J67" si="0">H4*I4</f>
        <v>2.59585</v>
      </c>
    </row>
    <row r="5" spans="1:10" x14ac:dyDescent="0.3">
      <c r="A5" t="s">
        <v>3</v>
      </c>
      <c r="B5" t="s">
        <v>4</v>
      </c>
      <c r="C5" t="s">
        <v>138</v>
      </c>
      <c r="D5" t="s">
        <v>139</v>
      </c>
      <c r="E5" t="s">
        <v>15</v>
      </c>
      <c r="F5" s="1">
        <v>9.9225694444444448E-4</v>
      </c>
      <c r="G5" s="37">
        <v>2.06</v>
      </c>
      <c r="H5">
        <v>2.68</v>
      </c>
      <c r="I5" s="37">
        <v>0.96499999999999997</v>
      </c>
      <c r="J5">
        <f t="shared" si="0"/>
        <v>2.5862000000000003</v>
      </c>
    </row>
    <row r="6" spans="1:10" x14ac:dyDescent="0.3">
      <c r="A6" t="s">
        <v>3</v>
      </c>
      <c r="B6" t="s">
        <v>4</v>
      </c>
      <c r="C6" t="s">
        <v>138</v>
      </c>
      <c r="D6" t="s">
        <v>139</v>
      </c>
      <c r="E6" t="s">
        <v>16</v>
      </c>
      <c r="F6" s="1">
        <v>9.7555555555555546E-4</v>
      </c>
      <c r="G6" s="37">
        <v>2.1</v>
      </c>
      <c r="H6">
        <v>2.74</v>
      </c>
      <c r="I6" s="37">
        <v>0.96499999999999997</v>
      </c>
      <c r="J6">
        <f t="shared" si="0"/>
        <v>2.6441000000000003</v>
      </c>
    </row>
    <row r="7" spans="1:10" x14ac:dyDescent="0.3">
      <c r="A7" t="s">
        <v>3</v>
      </c>
      <c r="B7" t="s">
        <v>4</v>
      </c>
      <c r="C7" t="s">
        <v>138</v>
      </c>
      <c r="D7" t="s">
        <v>139</v>
      </c>
      <c r="E7" t="s">
        <v>17</v>
      </c>
      <c r="F7" s="1">
        <v>9.7498842592592602E-4</v>
      </c>
      <c r="G7" s="37">
        <v>2.1</v>
      </c>
      <c r="H7">
        <v>2.72</v>
      </c>
      <c r="I7" s="37">
        <v>0.96499999999999997</v>
      </c>
      <c r="J7">
        <f t="shared" si="0"/>
        <v>2.6248</v>
      </c>
    </row>
    <row r="8" spans="1:10" x14ac:dyDescent="0.3">
      <c r="A8" t="s">
        <v>3</v>
      </c>
      <c r="B8" t="s">
        <v>4</v>
      </c>
      <c r="C8" t="s">
        <v>138</v>
      </c>
      <c r="D8" t="s">
        <v>139</v>
      </c>
      <c r="E8" t="s">
        <v>18</v>
      </c>
      <c r="F8" s="1">
        <v>9.7939814814814829E-4</v>
      </c>
      <c r="G8" s="37">
        <v>2.09</v>
      </c>
      <c r="H8">
        <v>2.72</v>
      </c>
      <c r="I8" s="37">
        <v>0.96499999999999997</v>
      </c>
      <c r="J8">
        <f t="shared" si="0"/>
        <v>2.6248</v>
      </c>
    </row>
    <row r="9" spans="1:10" x14ac:dyDescent="0.3">
      <c r="A9" t="s">
        <v>3</v>
      </c>
      <c r="B9" t="s">
        <v>4</v>
      </c>
      <c r="C9" t="s">
        <v>138</v>
      </c>
      <c r="D9" t="s">
        <v>139</v>
      </c>
      <c r="E9" t="s">
        <v>19</v>
      </c>
      <c r="F9" s="1">
        <v>9.7883101851851842E-4</v>
      </c>
      <c r="G9" s="37">
        <v>2.14</v>
      </c>
      <c r="H9">
        <v>2.77</v>
      </c>
      <c r="I9" s="37">
        <v>0.96499999999999997</v>
      </c>
      <c r="J9">
        <f t="shared" si="0"/>
        <v>2.6730499999999999</v>
      </c>
    </row>
    <row r="10" spans="1:10" x14ac:dyDescent="0.3">
      <c r="A10" t="s">
        <v>3</v>
      </c>
      <c r="B10" t="s">
        <v>4</v>
      </c>
      <c r="C10" t="s">
        <v>138</v>
      </c>
      <c r="D10" t="s">
        <v>139</v>
      </c>
      <c r="E10" t="s">
        <v>45</v>
      </c>
      <c r="F10" s="1">
        <v>9.7726851851851859E-4</v>
      </c>
      <c r="G10" s="37">
        <v>2.14</v>
      </c>
      <c r="H10">
        <v>2.78</v>
      </c>
      <c r="I10" s="37">
        <v>0.96499999999999997</v>
      </c>
      <c r="J10">
        <f t="shared" si="0"/>
        <v>2.6826999999999996</v>
      </c>
    </row>
    <row r="11" spans="1:10" x14ac:dyDescent="0.3">
      <c r="A11" t="s">
        <v>3</v>
      </c>
      <c r="B11" t="s">
        <v>4</v>
      </c>
      <c r="C11" t="s">
        <v>138</v>
      </c>
      <c r="D11" t="s">
        <v>139</v>
      </c>
      <c r="E11" t="s">
        <v>47</v>
      </c>
      <c r="F11" s="1">
        <v>9.6320601851851851E-4</v>
      </c>
      <c r="G11" s="37">
        <v>2.25</v>
      </c>
      <c r="H11">
        <v>2.92</v>
      </c>
      <c r="I11" s="37">
        <v>0.96499999999999997</v>
      </c>
      <c r="J11">
        <f t="shared" si="0"/>
        <v>2.8177999999999996</v>
      </c>
    </row>
    <row r="12" spans="1:10" x14ac:dyDescent="0.3">
      <c r="A12" t="s">
        <v>3</v>
      </c>
      <c r="B12" t="s">
        <v>4</v>
      </c>
      <c r="C12" t="s">
        <v>138</v>
      </c>
      <c r="D12" t="s">
        <v>139</v>
      </c>
      <c r="E12" t="s">
        <v>48</v>
      </c>
      <c r="F12" s="1">
        <v>9.6224537037037047E-4</v>
      </c>
      <c r="G12" s="37">
        <v>2.2400000000000002</v>
      </c>
      <c r="H12">
        <v>2.92</v>
      </c>
      <c r="I12" s="37">
        <v>0.96499999999999997</v>
      </c>
      <c r="J12">
        <f t="shared" si="0"/>
        <v>2.8177999999999996</v>
      </c>
    </row>
    <row r="13" spans="1:10" x14ac:dyDescent="0.3">
      <c r="A13" t="s">
        <v>3</v>
      </c>
      <c r="B13" t="s">
        <v>4</v>
      </c>
      <c r="C13" t="s">
        <v>138</v>
      </c>
      <c r="D13" t="s">
        <v>139</v>
      </c>
      <c r="E13" t="s">
        <v>49</v>
      </c>
      <c r="F13" s="1">
        <v>9.6289351851851853E-4</v>
      </c>
      <c r="G13" s="37">
        <v>2.25</v>
      </c>
      <c r="H13">
        <v>2.93</v>
      </c>
      <c r="I13" s="37">
        <v>0.96499999999999997</v>
      </c>
      <c r="J13">
        <f t="shared" si="0"/>
        <v>2.8274500000000002</v>
      </c>
    </row>
    <row r="14" spans="1:10" x14ac:dyDescent="0.3">
      <c r="A14" t="s">
        <v>3</v>
      </c>
      <c r="B14" t="s">
        <v>4</v>
      </c>
      <c r="C14" t="s">
        <v>138</v>
      </c>
      <c r="D14" t="s">
        <v>139</v>
      </c>
      <c r="E14" t="s">
        <v>50</v>
      </c>
      <c r="F14" s="1">
        <v>9.6372685185185179E-4</v>
      </c>
      <c r="G14" s="37">
        <v>2.2599999999999998</v>
      </c>
      <c r="H14">
        <v>2.92</v>
      </c>
      <c r="I14" s="37">
        <v>0.96499999999999997</v>
      </c>
      <c r="J14">
        <f t="shared" si="0"/>
        <v>2.8177999999999996</v>
      </c>
    </row>
    <row r="15" spans="1:10" x14ac:dyDescent="0.3">
      <c r="A15" t="s">
        <v>3</v>
      </c>
      <c r="B15" t="s">
        <v>4</v>
      </c>
      <c r="C15" t="s">
        <v>138</v>
      </c>
      <c r="D15" t="s">
        <v>139</v>
      </c>
      <c r="E15" t="s">
        <v>51</v>
      </c>
      <c r="F15" s="1">
        <v>9.6592592592592596E-4</v>
      </c>
      <c r="G15" s="37">
        <v>2.23</v>
      </c>
      <c r="H15">
        <v>2.89</v>
      </c>
      <c r="I15" s="37">
        <v>0.96499999999999997</v>
      </c>
      <c r="J15">
        <f t="shared" si="0"/>
        <v>2.7888500000000001</v>
      </c>
    </row>
    <row r="16" spans="1:10" x14ac:dyDescent="0.3">
      <c r="A16" t="s">
        <v>3</v>
      </c>
      <c r="B16" t="s">
        <v>4</v>
      </c>
      <c r="C16" t="s">
        <v>138</v>
      </c>
      <c r="D16" t="s">
        <v>139</v>
      </c>
      <c r="E16" t="s">
        <v>52</v>
      </c>
      <c r="F16" s="1">
        <v>9.6597222222222234E-4</v>
      </c>
      <c r="G16" s="37">
        <v>2.25</v>
      </c>
      <c r="H16">
        <v>2.92</v>
      </c>
      <c r="I16" s="37">
        <v>0.96499999999999997</v>
      </c>
      <c r="J16">
        <f t="shared" si="0"/>
        <v>2.8177999999999996</v>
      </c>
    </row>
    <row r="17" spans="1:10" x14ac:dyDescent="0.3">
      <c r="A17" t="s">
        <v>3</v>
      </c>
      <c r="B17" t="s">
        <v>4</v>
      </c>
      <c r="C17" t="s">
        <v>138</v>
      </c>
      <c r="D17" t="s">
        <v>139</v>
      </c>
      <c r="E17" t="s">
        <v>53</v>
      </c>
      <c r="F17" s="1">
        <v>9.6968750000000006E-4</v>
      </c>
      <c r="G17" s="37">
        <v>2.2200000000000002</v>
      </c>
      <c r="H17">
        <v>2.88</v>
      </c>
      <c r="I17" s="37">
        <v>0.96499999999999997</v>
      </c>
      <c r="J17">
        <f t="shared" si="0"/>
        <v>2.7791999999999999</v>
      </c>
    </row>
    <row r="18" spans="1:10" x14ac:dyDescent="0.3">
      <c r="A18" t="s">
        <v>3</v>
      </c>
      <c r="B18" t="s">
        <v>4</v>
      </c>
      <c r="C18" t="s">
        <v>138</v>
      </c>
      <c r="D18" t="s">
        <v>139</v>
      </c>
      <c r="E18" t="s">
        <v>54</v>
      </c>
      <c r="F18" s="1">
        <v>9.7032407407407408E-4</v>
      </c>
      <c r="G18" s="37">
        <v>2.23</v>
      </c>
      <c r="H18">
        <v>2.89</v>
      </c>
      <c r="I18" s="37">
        <v>0.96499999999999997</v>
      </c>
      <c r="J18">
        <f t="shared" si="0"/>
        <v>2.7888500000000001</v>
      </c>
    </row>
    <row r="19" spans="1:10" x14ac:dyDescent="0.3">
      <c r="A19" t="s">
        <v>3</v>
      </c>
      <c r="B19" t="s">
        <v>4</v>
      </c>
      <c r="C19" t="s">
        <v>138</v>
      </c>
      <c r="D19" t="s">
        <v>139</v>
      </c>
      <c r="E19" t="s">
        <v>55</v>
      </c>
      <c r="F19" s="1">
        <v>9.7061342592592598E-4</v>
      </c>
      <c r="G19" s="37">
        <v>2.23</v>
      </c>
      <c r="H19">
        <v>2.89</v>
      </c>
      <c r="I19" s="37">
        <v>0.96499999999999997</v>
      </c>
      <c r="J19">
        <f t="shared" si="0"/>
        <v>2.7888500000000001</v>
      </c>
    </row>
    <row r="20" spans="1:10" x14ac:dyDescent="0.3">
      <c r="A20" t="s">
        <v>3</v>
      </c>
      <c r="B20" t="s">
        <v>4</v>
      </c>
      <c r="C20" t="s">
        <v>138</v>
      </c>
      <c r="D20" t="s">
        <v>139</v>
      </c>
      <c r="E20" t="s">
        <v>56</v>
      </c>
      <c r="F20" s="1">
        <v>9.7489583333333326E-4</v>
      </c>
      <c r="G20" s="37">
        <v>2.1800000000000002</v>
      </c>
      <c r="H20">
        <v>2.83</v>
      </c>
      <c r="I20" s="37">
        <v>0.96499999999999997</v>
      </c>
      <c r="J20">
        <f t="shared" si="0"/>
        <v>2.73095</v>
      </c>
    </row>
    <row r="21" spans="1:10" x14ac:dyDescent="0.3">
      <c r="A21" t="s">
        <v>3</v>
      </c>
      <c r="B21" t="s">
        <v>4</v>
      </c>
      <c r="C21" t="s">
        <v>138</v>
      </c>
      <c r="D21" t="s">
        <v>139</v>
      </c>
      <c r="E21" t="s">
        <v>57</v>
      </c>
      <c r="F21" s="1">
        <v>9.7824074074074068E-4</v>
      </c>
      <c r="G21" s="37">
        <v>2.2000000000000002</v>
      </c>
      <c r="H21">
        <v>2.86</v>
      </c>
      <c r="I21" s="37">
        <v>0.96499999999999997</v>
      </c>
      <c r="J21">
        <f t="shared" si="0"/>
        <v>2.7598999999999996</v>
      </c>
    </row>
    <row r="22" spans="1:10" x14ac:dyDescent="0.3">
      <c r="A22" t="s">
        <v>3</v>
      </c>
      <c r="B22" t="s">
        <v>4</v>
      </c>
      <c r="C22" t="s">
        <v>138</v>
      </c>
      <c r="D22" t="s">
        <v>139</v>
      </c>
      <c r="E22" t="s">
        <v>58</v>
      </c>
      <c r="F22" s="1">
        <v>9.7859953703703715E-4</v>
      </c>
      <c r="G22" s="37">
        <v>2.21</v>
      </c>
      <c r="H22">
        <v>2.86</v>
      </c>
      <c r="I22" s="37">
        <v>0.96499999999999997</v>
      </c>
      <c r="J22">
        <f t="shared" si="0"/>
        <v>2.7598999999999996</v>
      </c>
    </row>
    <row r="23" spans="1:10" x14ac:dyDescent="0.3">
      <c r="A23" t="s">
        <v>3</v>
      </c>
      <c r="B23" t="s">
        <v>4</v>
      </c>
      <c r="C23" t="s">
        <v>138</v>
      </c>
      <c r="D23" t="s">
        <v>139</v>
      </c>
      <c r="E23" t="s">
        <v>72</v>
      </c>
      <c r="F23" s="1">
        <v>9.7402777777777787E-4</v>
      </c>
      <c r="G23" s="37">
        <v>2.2000000000000002</v>
      </c>
      <c r="H23">
        <v>2.85</v>
      </c>
      <c r="I23" s="37">
        <v>0.96499999999999997</v>
      </c>
      <c r="J23">
        <f t="shared" si="0"/>
        <v>2.7502499999999999</v>
      </c>
    </row>
    <row r="24" spans="1:10" x14ac:dyDescent="0.3">
      <c r="A24" t="s">
        <v>3</v>
      </c>
      <c r="B24" t="s">
        <v>4</v>
      </c>
      <c r="C24" t="s">
        <v>138</v>
      </c>
      <c r="D24" t="s">
        <v>139</v>
      </c>
      <c r="E24" t="s">
        <v>59</v>
      </c>
      <c r="F24" s="1">
        <v>9.7591435185185183E-4</v>
      </c>
      <c r="G24" s="37">
        <v>2.21</v>
      </c>
      <c r="H24">
        <v>2.89</v>
      </c>
      <c r="I24" s="37">
        <v>0.96499999999999997</v>
      </c>
      <c r="J24">
        <f t="shared" si="0"/>
        <v>2.7888500000000001</v>
      </c>
    </row>
    <row r="25" spans="1:10" x14ac:dyDescent="0.3">
      <c r="A25" t="s">
        <v>3</v>
      </c>
      <c r="B25" t="s">
        <v>4</v>
      </c>
      <c r="C25" t="s">
        <v>138</v>
      </c>
      <c r="D25" t="s">
        <v>139</v>
      </c>
      <c r="E25" t="s">
        <v>60</v>
      </c>
      <c r="F25" s="1">
        <v>9.7568287037037046E-4</v>
      </c>
      <c r="G25" s="37">
        <v>2.2000000000000002</v>
      </c>
      <c r="H25">
        <v>2.86</v>
      </c>
      <c r="I25" s="37">
        <v>0.96499999999999997</v>
      </c>
      <c r="J25">
        <f t="shared" si="0"/>
        <v>2.7598999999999996</v>
      </c>
    </row>
    <row r="26" spans="1:10" x14ac:dyDescent="0.3">
      <c r="A26" t="s">
        <v>3</v>
      </c>
      <c r="B26" t="s">
        <v>4</v>
      </c>
      <c r="C26" t="s">
        <v>138</v>
      </c>
      <c r="D26" t="s">
        <v>139</v>
      </c>
      <c r="E26" t="s">
        <v>61</v>
      </c>
      <c r="F26" s="1">
        <v>9.7789351851851856E-4</v>
      </c>
      <c r="G26" s="37">
        <v>2.1800000000000002</v>
      </c>
      <c r="H26">
        <v>2.85</v>
      </c>
      <c r="I26" s="37">
        <v>0.96499999999999997</v>
      </c>
      <c r="J26">
        <f t="shared" si="0"/>
        <v>2.7502499999999999</v>
      </c>
    </row>
    <row r="27" spans="1:10" x14ac:dyDescent="0.3">
      <c r="A27" t="s">
        <v>3</v>
      </c>
      <c r="B27" t="s">
        <v>4</v>
      </c>
      <c r="C27" t="s">
        <v>138</v>
      </c>
      <c r="D27" t="s">
        <v>139</v>
      </c>
      <c r="E27" t="s">
        <v>62</v>
      </c>
      <c r="F27" s="1">
        <v>9.8142361111111108E-4</v>
      </c>
      <c r="G27" s="37">
        <v>2.19</v>
      </c>
      <c r="H27">
        <v>2.85</v>
      </c>
      <c r="I27" s="37">
        <v>0.96499999999999997</v>
      </c>
      <c r="J27">
        <f t="shared" si="0"/>
        <v>2.7502499999999999</v>
      </c>
    </row>
    <row r="28" spans="1:10" x14ac:dyDescent="0.3">
      <c r="A28" t="s">
        <v>3</v>
      </c>
      <c r="B28" t="s">
        <v>4</v>
      </c>
      <c r="C28" t="s">
        <v>138</v>
      </c>
      <c r="D28" t="s">
        <v>139</v>
      </c>
      <c r="E28" t="s">
        <v>63</v>
      </c>
      <c r="F28" s="1">
        <v>9.7732638888888891E-4</v>
      </c>
      <c r="G28" s="37">
        <v>2.2000000000000002</v>
      </c>
      <c r="H28">
        <v>2.86</v>
      </c>
      <c r="I28" s="37">
        <v>0.96499999999999997</v>
      </c>
      <c r="J28">
        <f t="shared" si="0"/>
        <v>2.7598999999999996</v>
      </c>
    </row>
    <row r="29" spans="1:10" x14ac:dyDescent="0.3">
      <c r="A29" t="s">
        <v>3</v>
      </c>
      <c r="B29" t="s">
        <v>4</v>
      </c>
      <c r="C29" t="s">
        <v>138</v>
      </c>
      <c r="D29" t="s">
        <v>139</v>
      </c>
      <c r="E29" t="s">
        <v>64</v>
      </c>
      <c r="F29" s="1">
        <v>9.7832175925925929E-4</v>
      </c>
      <c r="G29" s="37">
        <v>2.1800000000000002</v>
      </c>
      <c r="H29">
        <v>2.84</v>
      </c>
      <c r="I29" s="37">
        <v>0.96499999999999997</v>
      </c>
      <c r="J29">
        <f t="shared" si="0"/>
        <v>2.7405999999999997</v>
      </c>
    </row>
    <row r="30" spans="1:10" x14ac:dyDescent="0.3">
      <c r="A30" t="s">
        <v>3</v>
      </c>
      <c r="B30" t="s">
        <v>4</v>
      </c>
      <c r="C30" t="s">
        <v>138</v>
      </c>
      <c r="D30" t="s">
        <v>139</v>
      </c>
      <c r="E30" t="s">
        <v>65</v>
      </c>
      <c r="F30" s="1">
        <v>9.7740740740740752E-4</v>
      </c>
      <c r="G30" s="37">
        <v>2.1800000000000002</v>
      </c>
      <c r="H30">
        <v>2.85</v>
      </c>
      <c r="I30" s="37">
        <v>0.96499999999999997</v>
      </c>
      <c r="J30">
        <f t="shared" si="0"/>
        <v>2.7502499999999999</v>
      </c>
    </row>
    <row r="31" spans="1:10" x14ac:dyDescent="0.3">
      <c r="A31" t="s">
        <v>3</v>
      </c>
      <c r="B31" t="s">
        <v>4</v>
      </c>
      <c r="C31" t="s">
        <v>138</v>
      </c>
      <c r="D31" t="s">
        <v>139</v>
      </c>
      <c r="E31" t="s">
        <v>66</v>
      </c>
      <c r="F31" s="1">
        <v>9.7928240740740745E-4</v>
      </c>
      <c r="G31" s="37">
        <v>2.17</v>
      </c>
      <c r="H31">
        <v>2.82</v>
      </c>
      <c r="I31" s="37">
        <v>0.96499999999999997</v>
      </c>
      <c r="J31">
        <f t="shared" si="0"/>
        <v>2.7212999999999998</v>
      </c>
    </row>
    <row r="32" spans="1:10" x14ac:dyDescent="0.3">
      <c r="A32" t="s">
        <v>3</v>
      </c>
      <c r="B32" t="s">
        <v>4</v>
      </c>
      <c r="C32" t="s">
        <v>138</v>
      </c>
      <c r="D32" t="s">
        <v>139</v>
      </c>
      <c r="E32" t="s">
        <v>67</v>
      </c>
      <c r="F32" s="1">
        <v>9.8136574074074055E-4</v>
      </c>
      <c r="G32" s="37">
        <v>2.19</v>
      </c>
      <c r="H32">
        <v>2.86</v>
      </c>
      <c r="I32" s="37">
        <v>0.96499999999999997</v>
      </c>
      <c r="J32">
        <f t="shared" si="0"/>
        <v>2.7598999999999996</v>
      </c>
    </row>
    <row r="33" spans="1:10" x14ac:dyDescent="0.3">
      <c r="A33" t="s">
        <v>3</v>
      </c>
      <c r="B33" t="s">
        <v>4</v>
      </c>
      <c r="C33" t="s">
        <v>138</v>
      </c>
      <c r="D33" t="s">
        <v>139</v>
      </c>
      <c r="E33" t="s">
        <v>68</v>
      </c>
      <c r="F33" s="1">
        <v>9.954166666666668E-4</v>
      </c>
      <c r="G33" s="37">
        <v>2.17</v>
      </c>
      <c r="H33">
        <v>2.83</v>
      </c>
      <c r="I33" s="37">
        <v>0.96499999999999997</v>
      </c>
      <c r="J33">
        <f t="shared" si="0"/>
        <v>2.73095</v>
      </c>
    </row>
    <row r="34" spans="1:10" x14ac:dyDescent="0.3">
      <c r="A34" t="s">
        <v>3</v>
      </c>
      <c r="B34" t="s">
        <v>4</v>
      </c>
      <c r="C34" t="s">
        <v>138</v>
      </c>
      <c r="D34" t="s">
        <v>139</v>
      </c>
      <c r="E34" t="s">
        <v>69</v>
      </c>
      <c r="F34" s="1">
        <v>9.8288194444444443E-4</v>
      </c>
      <c r="G34" s="37">
        <v>2.13</v>
      </c>
      <c r="H34">
        <v>2.78</v>
      </c>
      <c r="I34" s="37">
        <v>0.96499999999999997</v>
      </c>
      <c r="J34">
        <f t="shared" si="0"/>
        <v>2.6826999999999996</v>
      </c>
    </row>
    <row r="35" spans="1:10" x14ac:dyDescent="0.3">
      <c r="A35" t="s">
        <v>3</v>
      </c>
      <c r="B35" t="s">
        <v>4</v>
      </c>
      <c r="C35" t="s">
        <v>138</v>
      </c>
      <c r="D35" t="s">
        <v>139</v>
      </c>
      <c r="E35" t="s">
        <v>70</v>
      </c>
      <c r="F35" s="1">
        <v>9.8241898148148147E-4</v>
      </c>
      <c r="G35" s="37">
        <v>2.12</v>
      </c>
      <c r="H35">
        <v>2.77</v>
      </c>
      <c r="I35" s="37">
        <v>0.96499999999999997</v>
      </c>
      <c r="J35">
        <f t="shared" si="0"/>
        <v>2.6730499999999999</v>
      </c>
    </row>
    <row r="36" spans="1:10" x14ac:dyDescent="0.3">
      <c r="A36" t="s">
        <v>3</v>
      </c>
      <c r="B36" t="s">
        <v>4</v>
      </c>
      <c r="C36" t="s">
        <v>138</v>
      </c>
      <c r="D36" t="s">
        <v>139</v>
      </c>
      <c r="E36" t="s">
        <v>71</v>
      </c>
      <c r="F36" s="1">
        <v>9.8420138888888884E-4</v>
      </c>
      <c r="G36" s="37">
        <v>2.14</v>
      </c>
      <c r="H36">
        <v>2.78</v>
      </c>
      <c r="I36" s="37">
        <v>0.96499999999999997</v>
      </c>
      <c r="J36">
        <f t="shared" si="0"/>
        <v>2.6826999999999996</v>
      </c>
    </row>
    <row r="37" spans="1:10" x14ac:dyDescent="0.3">
      <c r="A37" t="s">
        <v>3</v>
      </c>
      <c r="B37" t="s">
        <v>13</v>
      </c>
      <c r="C37" t="s">
        <v>138</v>
      </c>
      <c r="D37" t="s">
        <v>140</v>
      </c>
      <c r="E37" t="s">
        <v>9</v>
      </c>
      <c r="F37" s="1">
        <v>9.7835648148148152E-4</v>
      </c>
      <c r="G37" s="37">
        <v>2.0299999999999998</v>
      </c>
      <c r="H37">
        <v>2.64</v>
      </c>
      <c r="I37" s="37">
        <v>1</v>
      </c>
      <c r="J37">
        <f t="shared" si="0"/>
        <v>2.64</v>
      </c>
    </row>
    <row r="38" spans="1:10" x14ac:dyDescent="0.3">
      <c r="A38" t="s">
        <v>3</v>
      </c>
      <c r="B38" t="s">
        <v>13</v>
      </c>
      <c r="C38" t="s">
        <v>138</v>
      </c>
      <c r="D38" t="s">
        <v>140</v>
      </c>
      <c r="E38" t="s">
        <v>10</v>
      </c>
      <c r="F38" s="1">
        <v>9.7651620370370362E-4</v>
      </c>
      <c r="G38" s="37">
        <v>2.08</v>
      </c>
      <c r="H38">
        <v>2.7</v>
      </c>
      <c r="I38" s="37">
        <v>1</v>
      </c>
      <c r="J38">
        <f t="shared" si="0"/>
        <v>2.7</v>
      </c>
    </row>
    <row r="39" spans="1:10" x14ac:dyDescent="0.3">
      <c r="A39" t="s">
        <v>3</v>
      </c>
      <c r="B39" t="s">
        <v>13</v>
      </c>
      <c r="C39" t="s">
        <v>138</v>
      </c>
      <c r="D39" t="s">
        <v>140</v>
      </c>
      <c r="E39" t="s">
        <v>15</v>
      </c>
      <c r="F39" s="1">
        <v>9.7974537037037041E-4</v>
      </c>
      <c r="G39" s="37">
        <v>2.1</v>
      </c>
      <c r="H39">
        <v>2.73</v>
      </c>
      <c r="I39" s="37">
        <v>1</v>
      </c>
      <c r="J39">
        <f t="shared" si="0"/>
        <v>2.73</v>
      </c>
    </row>
    <row r="40" spans="1:10" x14ac:dyDescent="0.3">
      <c r="A40" t="s">
        <v>3</v>
      </c>
      <c r="B40" t="s">
        <v>13</v>
      </c>
      <c r="C40" t="s">
        <v>138</v>
      </c>
      <c r="D40" t="s">
        <v>140</v>
      </c>
      <c r="E40" t="s">
        <v>16</v>
      </c>
      <c r="F40" s="1">
        <v>9.745370370370371E-4</v>
      </c>
      <c r="G40" s="37">
        <v>2.11</v>
      </c>
      <c r="H40">
        <v>2.75</v>
      </c>
      <c r="I40" s="37">
        <v>1</v>
      </c>
      <c r="J40">
        <f t="shared" si="0"/>
        <v>2.75</v>
      </c>
    </row>
    <row r="41" spans="1:10" x14ac:dyDescent="0.3">
      <c r="A41" t="s">
        <v>3</v>
      </c>
      <c r="B41" t="s">
        <v>13</v>
      </c>
      <c r="C41" t="s">
        <v>138</v>
      </c>
      <c r="D41" t="s">
        <v>140</v>
      </c>
      <c r="E41" t="s">
        <v>17</v>
      </c>
      <c r="F41" s="1">
        <v>9.7478009259259263E-4</v>
      </c>
      <c r="G41" s="37">
        <v>2.16</v>
      </c>
      <c r="H41">
        <v>2.8</v>
      </c>
      <c r="I41" s="37">
        <v>1</v>
      </c>
      <c r="J41">
        <f t="shared" si="0"/>
        <v>2.8</v>
      </c>
    </row>
    <row r="42" spans="1:10" x14ac:dyDescent="0.3">
      <c r="A42" t="s">
        <v>3</v>
      </c>
      <c r="B42" t="s">
        <v>13</v>
      </c>
      <c r="C42" t="s">
        <v>138</v>
      </c>
      <c r="D42" t="s">
        <v>140</v>
      </c>
      <c r="E42" t="s">
        <v>18</v>
      </c>
      <c r="F42" s="1">
        <v>9.7644675925925915E-4</v>
      </c>
      <c r="G42" s="37">
        <v>2.16</v>
      </c>
      <c r="H42">
        <v>2.78</v>
      </c>
      <c r="I42" s="37">
        <v>1</v>
      </c>
      <c r="J42">
        <f t="shared" si="0"/>
        <v>2.78</v>
      </c>
    </row>
    <row r="43" spans="1:10" x14ac:dyDescent="0.3">
      <c r="A43" t="s">
        <v>3</v>
      </c>
      <c r="B43" t="s">
        <v>13</v>
      </c>
      <c r="C43" t="s">
        <v>138</v>
      </c>
      <c r="D43" t="s">
        <v>140</v>
      </c>
      <c r="E43" t="s">
        <v>19</v>
      </c>
      <c r="F43" s="1">
        <v>9.8010416666666667E-4</v>
      </c>
      <c r="G43" s="37">
        <v>2.14</v>
      </c>
      <c r="H43">
        <v>2.78</v>
      </c>
      <c r="I43" s="37">
        <v>1</v>
      </c>
      <c r="J43">
        <f t="shared" si="0"/>
        <v>2.78</v>
      </c>
    </row>
    <row r="44" spans="1:10" x14ac:dyDescent="0.3">
      <c r="A44" t="s">
        <v>3</v>
      </c>
      <c r="B44" t="s">
        <v>13</v>
      </c>
      <c r="C44" t="s">
        <v>138</v>
      </c>
      <c r="D44" t="s">
        <v>140</v>
      </c>
      <c r="E44" t="s">
        <v>45</v>
      </c>
      <c r="F44" s="1">
        <v>9.8153935185185193E-4</v>
      </c>
      <c r="G44" s="37">
        <v>2.16</v>
      </c>
      <c r="H44">
        <v>2.8</v>
      </c>
      <c r="I44" s="37">
        <v>1</v>
      </c>
      <c r="J44">
        <f t="shared" si="0"/>
        <v>2.8</v>
      </c>
    </row>
    <row r="45" spans="1:10" x14ac:dyDescent="0.3">
      <c r="A45" t="s">
        <v>3</v>
      </c>
      <c r="B45" t="s">
        <v>13</v>
      </c>
      <c r="C45" t="s">
        <v>138</v>
      </c>
      <c r="D45" t="s">
        <v>140</v>
      </c>
      <c r="E45" t="s">
        <v>46</v>
      </c>
      <c r="F45" s="1">
        <v>9.7721064814814806E-4</v>
      </c>
      <c r="G45" s="37">
        <v>2.19</v>
      </c>
      <c r="H45">
        <v>2.84</v>
      </c>
      <c r="I45" s="37">
        <v>1</v>
      </c>
      <c r="J45">
        <f t="shared" si="0"/>
        <v>2.84</v>
      </c>
    </row>
    <row r="46" spans="1:10" x14ac:dyDescent="0.3">
      <c r="A46" t="s">
        <v>3</v>
      </c>
      <c r="B46" t="s">
        <v>13</v>
      </c>
      <c r="C46" t="s">
        <v>138</v>
      </c>
      <c r="D46" t="s">
        <v>140</v>
      </c>
      <c r="E46" t="s">
        <v>47</v>
      </c>
      <c r="F46" s="1">
        <v>9.8018518518518528E-4</v>
      </c>
      <c r="G46" s="37">
        <v>2.1800000000000002</v>
      </c>
      <c r="H46">
        <v>2.82</v>
      </c>
      <c r="I46" s="37">
        <v>1</v>
      </c>
      <c r="J46">
        <f t="shared" si="0"/>
        <v>2.82</v>
      </c>
    </row>
    <row r="47" spans="1:10" x14ac:dyDescent="0.3">
      <c r="A47" t="s">
        <v>3</v>
      </c>
      <c r="B47" t="s">
        <v>13</v>
      </c>
      <c r="C47" t="s">
        <v>138</v>
      </c>
      <c r="D47" t="s">
        <v>140</v>
      </c>
      <c r="E47" t="s">
        <v>48</v>
      </c>
      <c r="F47" s="1">
        <v>9.7834490740740737E-4</v>
      </c>
      <c r="G47" s="37">
        <v>2.17</v>
      </c>
      <c r="H47">
        <v>2.8</v>
      </c>
      <c r="I47" s="37">
        <v>1</v>
      </c>
      <c r="J47">
        <f t="shared" si="0"/>
        <v>2.8</v>
      </c>
    </row>
    <row r="48" spans="1:10" x14ac:dyDescent="0.3">
      <c r="A48" t="s">
        <v>3</v>
      </c>
      <c r="B48" t="s">
        <v>13</v>
      </c>
      <c r="C48" t="s">
        <v>138</v>
      </c>
      <c r="D48" t="s">
        <v>140</v>
      </c>
      <c r="E48" t="s">
        <v>49</v>
      </c>
      <c r="F48" s="1">
        <v>9.7840277777777769E-4</v>
      </c>
      <c r="G48" s="37">
        <v>2.2000000000000002</v>
      </c>
      <c r="H48">
        <v>2.85</v>
      </c>
      <c r="I48" s="37">
        <v>1</v>
      </c>
      <c r="J48">
        <f t="shared" si="0"/>
        <v>2.85</v>
      </c>
    </row>
    <row r="49" spans="1:10" x14ac:dyDescent="0.3">
      <c r="A49" t="s">
        <v>3</v>
      </c>
      <c r="B49" t="s">
        <v>13</v>
      </c>
      <c r="C49" t="s">
        <v>138</v>
      </c>
      <c r="D49" t="s">
        <v>140</v>
      </c>
      <c r="E49" t="s">
        <v>50</v>
      </c>
      <c r="F49" s="1">
        <v>9.7651620370370362E-4</v>
      </c>
      <c r="G49" s="37">
        <v>2.17</v>
      </c>
      <c r="H49">
        <v>2.81</v>
      </c>
      <c r="I49" s="37">
        <v>1</v>
      </c>
      <c r="J49">
        <f t="shared" si="0"/>
        <v>2.81</v>
      </c>
    </row>
    <row r="50" spans="1:10" x14ac:dyDescent="0.3">
      <c r="A50" t="s">
        <v>3</v>
      </c>
      <c r="B50" t="s">
        <v>13</v>
      </c>
      <c r="C50" t="s">
        <v>138</v>
      </c>
      <c r="D50" t="s">
        <v>140</v>
      </c>
      <c r="E50" t="s">
        <v>51</v>
      </c>
      <c r="F50" s="1">
        <v>9.7900462962962958E-4</v>
      </c>
      <c r="G50" s="37">
        <v>2.19</v>
      </c>
      <c r="H50">
        <v>2.84</v>
      </c>
      <c r="I50" s="37">
        <v>1</v>
      </c>
      <c r="J50">
        <f t="shared" si="0"/>
        <v>2.84</v>
      </c>
    </row>
    <row r="51" spans="1:10" x14ac:dyDescent="0.3">
      <c r="A51" t="s">
        <v>3</v>
      </c>
      <c r="B51" t="s">
        <v>13</v>
      </c>
      <c r="C51" t="s">
        <v>138</v>
      </c>
      <c r="D51" t="s">
        <v>140</v>
      </c>
      <c r="E51" t="s">
        <v>52</v>
      </c>
      <c r="F51" s="1">
        <v>9.7928240740740745E-4</v>
      </c>
      <c r="G51" s="37">
        <v>2.19</v>
      </c>
      <c r="H51">
        <v>2.84</v>
      </c>
      <c r="I51" s="37">
        <v>1</v>
      </c>
      <c r="J51">
        <f t="shared" si="0"/>
        <v>2.84</v>
      </c>
    </row>
    <row r="52" spans="1:10" x14ac:dyDescent="0.3">
      <c r="A52" t="s">
        <v>3</v>
      </c>
      <c r="B52" t="s">
        <v>13</v>
      </c>
      <c r="C52" t="s">
        <v>138</v>
      </c>
      <c r="D52" t="s">
        <v>140</v>
      </c>
      <c r="E52" t="s">
        <v>53</v>
      </c>
      <c r="F52" s="1">
        <v>9.7864583333333332E-4</v>
      </c>
      <c r="G52" s="37">
        <v>2.2000000000000002</v>
      </c>
      <c r="H52">
        <v>2.85</v>
      </c>
      <c r="I52" s="37">
        <v>1</v>
      </c>
      <c r="J52">
        <f t="shared" si="0"/>
        <v>2.85</v>
      </c>
    </row>
    <row r="53" spans="1:10" x14ac:dyDescent="0.3">
      <c r="A53" t="s">
        <v>3</v>
      </c>
      <c r="B53" t="s">
        <v>13</v>
      </c>
      <c r="C53" t="s">
        <v>138</v>
      </c>
      <c r="D53" t="s">
        <v>140</v>
      </c>
      <c r="E53" t="s">
        <v>54</v>
      </c>
      <c r="F53" s="1">
        <v>9.7946759259259254E-4</v>
      </c>
      <c r="G53" s="37">
        <v>2.1800000000000002</v>
      </c>
      <c r="H53">
        <v>2.82</v>
      </c>
      <c r="I53" s="37">
        <v>1</v>
      </c>
      <c r="J53">
        <f t="shared" si="0"/>
        <v>2.82</v>
      </c>
    </row>
    <row r="54" spans="1:10" x14ac:dyDescent="0.3">
      <c r="A54" t="s">
        <v>3</v>
      </c>
      <c r="B54" t="s">
        <v>13</v>
      </c>
      <c r="C54" t="s">
        <v>138</v>
      </c>
      <c r="D54" t="s">
        <v>140</v>
      </c>
      <c r="E54" t="s">
        <v>55</v>
      </c>
      <c r="F54" s="1">
        <v>9.7788194444444441E-4</v>
      </c>
      <c r="G54" s="37">
        <v>2.17</v>
      </c>
      <c r="H54">
        <v>2.81</v>
      </c>
      <c r="I54" s="37">
        <v>1</v>
      </c>
      <c r="J54">
        <f t="shared" si="0"/>
        <v>2.81</v>
      </c>
    </row>
    <row r="55" spans="1:10" x14ac:dyDescent="0.3">
      <c r="A55" t="s">
        <v>3</v>
      </c>
      <c r="B55" t="s">
        <v>13</v>
      </c>
      <c r="C55" t="s">
        <v>138</v>
      </c>
      <c r="D55" t="s">
        <v>140</v>
      </c>
      <c r="E55" t="s">
        <v>56</v>
      </c>
      <c r="F55" s="1">
        <v>9.7803240740740728E-4</v>
      </c>
      <c r="G55" s="37">
        <v>2.2000000000000002</v>
      </c>
      <c r="H55">
        <v>2.83</v>
      </c>
      <c r="I55" s="37">
        <v>1</v>
      </c>
      <c r="J55">
        <f t="shared" si="0"/>
        <v>2.83</v>
      </c>
    </row>
    <row r="56" spans="1:10" x14ac:dyDescent="0.3">
      <c r="A56" t="s">
        <v>3</v>
      </c>
      <c r="B56" t="s">
        <v>13</v>
      </c>
      <c r="C56" t="s">
        <v>138</v>
      </c>
      <c r="D56" t="s">
        <v>140</v>
      </c>
      <c r="E56" t="s">
        <v>57</v>
      </c>
      <c r="F56" s="1">
        <v>9.7894675925925927E-4</v>
      </c>
      <c r="G56" s="37">
        <v>2.19</v>
      </c>
      <c r="H56">
        <v>2.83</v>
      </c>
      <c r="I56" s="37">
        <v>1</v>
      </c>
      <c r="J56">
        <f t="shared" si="0"/>
        <v>2.83</v>
      </c>
    </row>
    <row r="57" spans="1:10" x14ac:dyDescent="0.3">
      <c r="A57" t="s">
        <v>3</v>
      </c>
      <c r="B57" t="s">
        <v>13</v>
      </c>
      <c r="C57" t="s">
        <v>138</v>
      </c>
      <c r="D57" t="s">
        <v>140</v>
      </c>
      <c r="E57" t="s">
        <v>58</v>
      </c>
      <c r="F57" s="1">
        <v>9.7807870370370366E-4</v>
      </c>
      <c r="G57" s="37">
        <v>2.2000000000000002</v>
      </c>
      <c r="H57">
        <v>2.83</v>
      </c>
      <c r="I57" s="37">
        <v>1</v>
      </c>
      <c r="J57">
        <f t="shared" si="0"/>
        <v>2.83</v>
      </c>
    </row>
    <row r="58" spans="1:10" x14ac:dyDescent="0.3">
      <c r="A58" t="s">
        <v>3</v>
      </c>
      <c r="B58" t="s">
        <v>13</v>
      </c>
      <c r="C58" t="s">
        <v>138</v>
      </c>
      <c r="D58" t="s">
        <v>140</v>
      </c>
      <c r="E58" t="s">
        <v>72</v>
      </c>
      <c r="F58" s="1">
        <v>9.7864583333333332E-4</v>
      </c>
      <c r="G58" s="37">
        <v>2.1800000000000002</v>
      </c>
      <c r="H58">
        <v>2.82</v>
      </c>
      <c r="I58" s="37">
        <v>1</v>
      </c>
      <c r="J58">
        <f t="shared" si="0"/>
        <v>2.82</v>
      </c>
    </row>
    <row r="59" spans="1:10" x14ac:dyDescent="0.3">
      <c r="A59" t="s">
        <v>3</v>
      </c>
      <c r="B59" t="s">
        <v>13</v>
      </c>
      <c r="C59" t="s">
        <v>138</v>
      </c>
      <c r="D59" t="s">
        <v>140</v>
      </c>
      <c r="E59" t="s">
        <v>60</v>
      </c>
      <c r="F59" s="1">
        <v>9.7447916666666657E-4</v>
      </c>
      <c r="G59" s="37">
        <v>2.14</v>
      </c>
      <c r="H59">
        <v>2.79</v>
      </c>
      <c r="I59" s="37">
        <v>1</v>
      </c>
      <c r="J59">
        <f t="shared" si="0"/>
        <v>2.79</v>
      </c>
    </row>
    <row r="60" spans="1:10" x14ac:dyDescent="0.3">
      <c r="A60" t="s">
        <v>3</v>
      </c>
      <c r="B60" t="s">
        <v>13</v>
      </c>
      <c r="C60" t="s">
        <v>138</v>
      </c>
      <c r="D60" t="s">
        <v>140</v>
      </c>
      <c r="E60" t="s">
        <v>61</v>
      </c>
      <c r="F60" s="1">
        <v>9.767476851851851E-4</v>
      </c>
      <c r="G60" s="37">
        <v>2.15</v>
      </c>
      <c r="H60">
        <v>2.79</v>
      </c>
      <c r="I60" s="37">
        <v>1</v>
      </c>
      <c r="J60">
        <f t="shared" si="0"/>
        <v>2.79</v>
      </c>
    </row>
    <row r="61" spans="1:10" x14ac:dyDescent="0.3">
      <c r="A61" t="s">
        <v>3</v>
      </c>
      <c r="B61" t="s">
        <v>13</v>
      </c>
      <c r="C61" t="s">
        <v>138</v>
      </c>
      <c r="D61" t="s">
        <v>140</v>
      </c>
      <c r="E61" t="s">
        <v>62</v>
      </c>
      <c r="F61" s="1">
        <v>9.8327546296296292E-4</v>
      </c>
      <c r="G61" s="37">
        <v>2.06</v>
      </c>
      <c r="H61">
        <v>2.68</v>
      </c>
      <c r="I61" s="37">
        <v>1</v>
      </c>
      <c r="J61">
        <f t="shared" si="0"/>
        <v>2.68</v>
      </c>
    </row>
    <row r="62" spans="1:10" x14ac:dyDescent="0.3">
      <c r="A62" t="s">
        <v>3</v>
      </c>
      <c r="B62" t="s">
        <v>13</v>
      </c>
      <c r="C62" t="s">
        <v>138</v>
      </c>
      <c r="D62" t="s">
        <v>140</v>
      </c>
      <c r="E62" t="s">
        <v>63</v>
      </c>
      <c r="F62" s="1">
        <v>9.8913194444444439E-4</v>
      </c>
      <c r="G62" s="37">
        <v>2.06</v>
      </c>
      <c r="H62">
        <v>2.69</v>
      </c>
      <c r="I62" s="37">
        <v>1</v>
      </c>
      <c r="J62">
        <f t="shared" si="0"/>
        <v>2.69</v>
      </c>
    </row>
    <row r="63" spans="1:10" x14ac:dyDescent="0.3">
      <c r="A63" t="s">
        <v>3</v>
      </c>
      <c r="B63" t="s">
        <v>13</v>
      </c>
      <c r="C63" t="s">
        <v>138</v>
      </c>
      <c r="D63" t="s">
        <v>140</v>
      </c>
      <c r="E63" t="s">
        <v>64</v>
      </c>
      <c r="F63" s="1">
        <v>9.7876157407407395E-4</v>
      </c>
      <c r="G63" s="37">
        <v>2.14</v>
      </c>
      <c r="H63">
        <v>2.78</v>
      </c>
      <c r="I63" s="37">
        <v>1</v>
      </c>
      <c r="J63">
        <f t="shared" si="0"/>
        <v>2.78</v>
      </c>
    </row>
    <row r="64" spans="1:10" x14ac:dyDescent="0.3">
      <c r="A64" t="s">
        <v>3</v>
      </c>
      <c r="B64" t="s">
        <v>13</v>
      </c>
      <c r="C64" t="s">
        <v>138</v>
      </c>
      <c r="D64" t="s">
        <v>140</v>
      </c>
      <c r="E64" t="s">
        <v>65</v>
      </c>
      <c r="F64" s="1">
        <v>9.7246527777777782E-4</v>
      </c>
      <c r="G64" s="37">
        <v>2.15</v>
      </c>
      <c r="H64">
        <v>2.79</v>
      </c>
      <c r="I64" s="37">
        <v>1</v>
      </c>
      <c r="J64">
        <f t="shared" si="0"/>
        <v>2.79</v>
      </c>
    </row>
    <row r="65" spans="1:10" x14ac:dyDescent="0.3">
      <c r="A65" t="s">
        <v>3</v>
      </c>
      <c r="B65" t="s">
        <v>13</v>
      </c>
      <c r="C65" t="s">
        <v>138</v>
      </c>
      <c r="D65" t="s">
        <v>140</v>
      </c>
      <c r="E65" t="s">
        <v>66</v>
      </c>
      <c r="F65" s="1">
        <v>9.7499999999999996E-4</v>
      </c>
      <c r="G65" s="37">
        <v>2.15</v>
      </c>
      <c r="H65">
        <v>2.8</v>
      </c>
      <c r="I65" s="37">
        <v>1</v>
      </c>
      <c r="J65">
        <f t="shared" si="0"/>
        <v>2.8</v>
      </c>
    </row>
    <row r="66" spans="1:10" x14ac:dyDescent="0.3">
      <c r="A66" t="s">
        <v>3</v>
      </c>
      <c r="B66" t="s">
        <v>13</v>
      </c>
      <c r="C66" t="s">
        <v>138</v>
      </c>
      <c r="D66" t="s">
        <v>140</v>
      </c>
      <c r="E66" t="s">
        <v>67</v>
      </c>
      <c r="F66" s="1">
        <v>9.7715277777777774E-4</v>
      </c>
      <c r="G66" s="37">
        <v>2.17</v>
      </c>
      <c r="H66">
        <v>2.83</v>
      </c>
      <c r="I66" s="37">
        <v>1</v>
      </c>
      <c r="J66">
        <f t="shared" si="0"/>
        <v>2.83</v>
      </c>
    </row>
    <row r="67" spans="1:10" x14ac:dyDescent="0.3">
      <c r="A67" t="s">
        <v>3</v>
      </c>
      <c r="B67" t="s">
        <v>13</v>
      </c>
      <c r="C67" t="s">
        <v>138</v>
      </c>
      <c r="D67" t="s">
        <v>140</v>
      </c>
      <c r="E67" t="s">
        <v>68</v>
      </c>
      <c r="F67" s="1">
        <v>9.8086805555555557E-4</v>
      </c>
      <c r="G67" s="37">
        <v>2.14</v>
      </c>
      <c r="H67">
        <v>2.78</v>
      </c>
      <c r="I67" s="37">
        <v>1</v>
      </c>
      <c r="J67">
        <f t="shared" si="0"/>
        <v>2.78</v>
      </c>
    </row>
    <row r="68" spans="1:10" x14ac:dyDescent="0.3">
      <c r="A68" t="s">
        <v>3</v>
      </c>
      <c r="B68" t="s">
        <v>13</v>
      </c>
      <c r="C68" t="s">
        <v>138</v>
      </c>
      <c r="D68" t="s">
        <v>140</v>
      </c>
      <c r="E68" t="s">
        <v>69</v>
      </c>
      <c r="F68" s="1">
        <v>9.778240740740741E-4</v>
      </c>
      <c r="G68" s="37">
        <v>2.09</v>
      </c>
      <c r="H68">
        <v>2.73</v>
      </c>
      <c r="I68" s="37">
        <v>1</v>
      </c>
      <c r="J68">
        <f t="shared" ref="J68:J131" si="1">H68*I68</f>
        <v>2.73</v>
      </c>
    </row>
    <row r="69" spans="1:10" x14ac:dyDescent="0.3">
      <c r="A69" t="s">
        <v>3</v>
      </c>
      <c r="B69" t="s">
        <v>13</v>
      </c>
      <c r="C69" t="s">
        <v>138</v>
      </c>
      <c r="D69" t="s">
        <v>140</v>
      </c>
      <c r="E69" t="s">
        <v>70</v>
      </c>
      <c r="F69" s="1">
        <v>9.8969907407407405E-4</v>
      </c>
      <c r="G69" s="37">
        <v>2.08</v>
      </c>
      <c r="H69">
        <v>2.71</v>
      </c>
      <c r="I69" s="37">
        <v>1</v>
      </c>
      <c r="J69">
        <f t="shared" si="1"/>
        <v>2.71</v>
      </c>
    </row>
    <row r="70" spans="1:10" x14ac:dyDescent="0.3">
      <c r="A70" t="s">
        <v>3</v>
      </c>
      <c r="B70" t="s">
        <v>13</v>
      </c>
      <c r="C70" t="s">
        <v>138</v>
      </c>
      <c r="D70" t="s">
        <v>140</v>
      </c>
      <c r="E70" t="s">
        <v>71</v>
      </c>
      <c r="F70" s="1">
        <v>9.8288194444444443E-4</v>
      </c>
      <c r="G70" s="37">
        <v>2.11</v>
      </c>
      <c r="H70">
        <v>2.74</v>
      </c>
      <c r="I70" s="37">
        <v>1</v>
      </c>
      <c r="J70">
        <f t="shared" si="1"/>
        <v>2.74</v>
      </c>
    </row>
    <row r="71" spans="1:10" x14ac:dyDescent="0.3">
      <c r="A71" t="s">
        <v>3</v>
      </c>
      <c r="B71" t="s">
        <v>74</v>
      </c>
      <c r="C71" t="s">
        <v>138</v>
      </c>
      <c r="D71" t="s">
        <v>141</v>
      </c>
      <c r="E71" t="s">
        <v>9</v>
      </c>
      <c r="F71" s="1">
        <v>9.8589120370370367E-4</v>
      </c>
      <c r="G71" s="37">
        <v>2.0499999999999998</v>
      </c>
      <c r="H71">
        <v>2.65</v>
      </c>
      <c r="I71" s="37">
        <v>1</v>
      </c>
      <c r="J71">
        <f t="shared" si="1"/>
        <v>2.65</v>
      </c>
    </row>
    <row r="72" spans="1:10" x14ac:dyDescent="0.3">
      <c r="A72" t="s">
        <v>3</v>
      </c>
      <c r="B72" t="s">
        <v>74</v>
      </c>
      <c r="C72" t="s">
        <v>138</v>
      </c>
      <c r="D72" t="s">
        <v>141</v>
      </c>
      <c r="E72" t="s">
        <v>10</v>
      </c>
      <c r="F72" s="1">
        <v>9.7715277777777774E-4</v>
      </c>
      <c r="G72" s="37">
        <v>2.11</v>
      </c>
      <c r="H72">
        <v>2.72</v>
      </c>
      <c r="I72" s="37">
        <v>1</v>
      </c>
      <c r="J72">
        <f t="shared" si="1"/>
        <v>2.72</v>
      </c>
    </row>
    <row r="73" spans="1:10" x14ac:dyDescent="0.3">
      <c r="A73" t="s">
        <v>3</v>
      </c>
      <c r="B73" t="s">
        <v>74</v>
      </c>
      <c r="C73" t="s">
        <v>138</v>
      </c>
      <c r="D73" t="s">
        <v>141</v>
      </c>
      <c r="E73" t="s">
        <v>15</v>
      </c>
      <c r="F73" s="1">
        <v>9.7304398148148142E-4</v>
      </c>
      <c r="G73" s="37">
        <v>2.12</v>
      </c>
      <c r="H73">
        <v>2.75</v>
      </c>
      <c r="I73" s="37">
        <v>1</v>
      </c>
      <c r="J73">
        <f t="shared" si="1"/>
        <v>2.75</v>
      </c>
    </row>
    <row r="74" spans="1:10" x14ac:dyDescent="0.3">
      <c r="A74" t="s">
        <v>3</v>
      </c>
      <c r="B74" t="s">
        <v>74</v>
      </c>
      <c r="C74" t="s">
        <v>138</v>
      </c>
      <c r="D74" t="s">
        <v>141</v>
      </c>
      <c r="E74" t="s">
        <v>16</v>
      </c>
      <c r="F74" s="1">
        <v>9.7071759259259268E-4</v>
      </c>
      <c r="G74" s="37">
        <v>2.15</v>
      </c>
      <c r="H74">
        <v>2.78</v>
      </c>
      <c r="I74" s="37">
        <v>1</v>
      </c>
      <c r="J74">
        <f t="shared" si="1"/>
        <v>2.78</v>
      </c>
    </row>
    <row r="75" spans="1:10" x14ac:dyDescent="0.3">
      <c r="A75" t="s">
        <v>3</v>
      </c>
      <c r="B75" t="s">
        <v>74</v>
      </c>
      <c r="C75" t="s">
        <v>138</v>
      </c>
      <c r="D75" t="s">
        <v>141</v>
      </c>
      <c r="E75" t="s">
        <v>17</v>
      </c>
      <c r="F75" s="1">
        <v>9.7218749999999996E-4</v>
      </c>
      <c r="G75" s="37">
        <v>2.14</v>
      </c>
      <c r="H75">
        <v>2.78</v>
      </c>
      <c r="I75" s="37">
        <v>1</v>
      </c>
      <c r="J75">
        <f t="shared" si="1"/>
        <v>2.78</v>
      </c>
    </row>
    <row r="76" spans="1:10" x14ac:dyDescent="0.3">
      <c r="A76" t="s">
        <v>3</v>
      </c>
      <c r="B76" t="s">
        <v>74</v>
      </c>
      <c r="C76" t="s">
        <v>138</v>
      </c>
      <c r="D76" t="s">
        <v>141</v>
      </c>
      <c r="E76" t="s">
        <v>18</v>
      </c>
      <c r="F76" s="1">
        <v>9.7586805555555556E-4</v>
      </c>
      <c r="G76" s="37">
        <v>2.11</v>
      </c>
      <c r="H76">
        <v>2.73</v>
      </c>
      <c r="I76" s="37">
        <v>1</v>
      </c>
      <c r="J76">
        <f t="shared" si="1"/>
        <v>2.73</v>
      </c>
    </row>
    <row r="77" spans="1:10" x14ac:dyDescent="0.3">
      <c r="A77" t="s">
        <v>3</v>
      </c>
      <c r="B77" t="s">
        <v>74</v>
      </c>
      <c r="C77" t="s">
        <v>138</v>
      </c>
      <c r="D77" t="s">
        <v>141</v>
      </c>
      <c r="E77" t="s">
        <v>19</v>
      </c>
      <c r="F77" s="1">
        <v>9.7681712962962956E-4</v>
      </c>
      <c r="G77" s="37">
        <v>2.09</v>
      </c>
      <c r="H77">
        <v>2.7</v>
      </c>
      <c r="I77" s="37">
        <v>1</v>
      </c>
      <c r="J77">
        <f t="shared" si="1"/>
        <v>2.7</v>
      </c>
    </row>
    <row r="78" spans="1:10" x14ac:dyDescent="0.3">
      <c r="A78" t="s">
        <v>3</v>
      </c>
      <c r="B78" t="s">
        <v>74</v>
      </c>
      <c r="C78" t="s">
        <v>138</v>
      </c>
      <c r="D78" t="s">
        <v>141</v>
      </c>
      <c r="E78" t="s">
        <v>45</v>
      </c>
      <c r="F78" s="1">
        <v>9.8431712962962969E-4</v>
      </c>
      <c r="G78" s="37">
        <v>2.0699999999999998</v>
      </c>
      <c r="H78">
        <v>2.68</v>
      </c>
      <c r="I78" s="37">
        <v>1</v>
      </c>
      <c r="J78">
        <f t="shared" si="1"/>
        <v>2.68</v>
      </c>
    </row>
    <row r="79" spans="1:10" x14ac:dyDescent="0.3">
      <c r="A79" t="s">
        <v>3</v>
      </c>
      <c r="B79" t="s">
        <v>74</v>
      </c>
      <c r="C79" t="s">
        <v>138</v>
      </c>
      <c r="D79" t="s">
        <v>141</v>
      </c>
      <c r="E79" t="s">
        <v>46</v>
      </c>
      <c r="F79" s="1">
        <v>9.8056712962962963E-4</v>
      </c>
      <c r="G79" s="37">
        <v>2.09</v>
      </c>
      <c r="H79">
        <v>2.71</v>
      </c>
      <c r="I79" s="37">
        <v>1</v>
      </c>
      <c r="J79">
        <f t="shared" si="1"/>
        <v>2.71</v>
      </c>
    </row>
    <row r="80" spans="1:10" x14ac:dyDescent="0.3">
      <c r="A80" t="s">
        <v>3</v>
      </c>
      <c r="B80" t="s">
        <v>74</v>
      </c>
      <c r="C80" t="s">
        <v>138</v>
      </c>
      <c r="D80" t="s">
        <v>141</v>
      </c>
      <c r="E80" t="s">
        <v>47</v>
      </c>
      <c r="F80" s="1">
        <v>9.7745370370370369E-4</v>
      </c>
      <c r="G80" s="37">
        <v>2.12</v>
      </c>
      <c r="H80">
        <v>2.74</v>
      </c>
      <c r="I80" s="37">
        <v>1</v>
      </c>
      <c r="J80">
        <f t="shared" si="1"/>
        <v>2.74</v>
      </c>
    </row>
    <row r="81" spans="1:10" x14ac:dyDescent="0.3">
      <c r="A81" t="s">
        <v>3</v>
      </c>
      <c r="B81" t="s">
        <v>74</v>
      </c>
      <c r="C81" t="s">
        <v>138</v>
      </c>
      <c r="D81" t="s">
        <v>141</v>
      </c>
      <c r="E81" t="s">
        <v>48</v>
      </c>
      <c r="F81" s="1">
        <v>9.7962962962962956E-4</v>
      </c>
      <c r="G81" s="37">
        <v>2.12</v>
      </c>
      <c r="H81">
        <v>2.74</v>
      </c>
      <c r="I81" s="37">
        <v>1</v>
      </c>
      <c r="J81">
        <f t="shared" si="1"/>
        <v>2.74</v>
      </c>
    </row>
    <row r="82" spans="1:10" x14ac:dyDescent="0.3">
      <c r="A82" t="s">
        <v>3</v>
      </c>
      <c r="B82" t="s">
        <v>74</v>
      </c>
      <c r="C82" t="s">
        <v>138</v>
      </c>
      <c r="D82" t="s">
        <v>141</v>
      </c>
      <c r="E82" t="s">
        <v>49</v>
      </c>
      <c r="F82" s="1">
        <v>9.8033564814814815E-4</v>
      </c>
      <c r="G82" s="37">
        <v>2.11</v>
      </c>
      <c r="H82">
        <v>2.74</v>
      </c>
      <c r="I82" s="37">
        <v>1</v>
      </c>
      <c r="J82">
        <f t="shared" si="1"/>
        <v>2.74</v>
      </c>
    </row>
    <row r="83" spans="1:10" x14ac:dyDescent="0.3">
      <c r="A83" t="s">
        <v>3</v>
      </c>
      <c r="B83" t="s">
        <v>74</v>
      </c>
      <c r="C83" t="s">
        <v>138</v>
      </c>
      <c r="D83" t="s">
        <v>141</v>
      </c>
      <c r="E83" t="s">
        <v>50</v>
      </c>
      <c r="F83" s="1">
        <v>9.7835648148148152E-4</v>
      </c>
      <c r="G83" s="37">
        <v>2.11</v>
      </c>
      <c r="H83">
        <v>2.74</v>
      </c>
      <c r="I83" s="37">
        <v>1</v>
      </c>
      <c r="J83">
        <f t="shared" si="1"/>
        <v>2.74</v>
      </c>
    </row>
    <row r="84" spans="1:10" x14ac:dyDescent="0.3">
      <c r="A84" t="s">
        <v>3</v>
      </c>
      <c r="B84" t="s">
        <v>74</v>
      </c>
      <c r="C84" t="s">
        <v>138</v>
      </c>
      <c r="D84" t="s">
        <v>141</v>
      </c>
      <c r="E84" t="s">
        <v>51</v>
      </c>
      <c r="F84" s="1">
        <v>9.8143518518518501E-4</v>
      </c>
      <c r="G84" s="37">
        <v>2.13</v>
      </c>
      <c r="H84">
        <v>2.76</v>
      </c>
      <c r="I84" s="37">
        <v>1</v>
      </c>
      <c r="J84">
        <f t="shared" si="1"/>
        <v>2.76</v>
      </c>
    </row>
    <row r="85" spans="1:10" x14ac:dyDescent="0.3">
      <c r="A85" t="s">
        <v>3</v>
      </c>
      <c r="B85" t="s">
        <v>74</v>
      </c>
      <c r="C85" t="s">
        <v>138</v>
      </c>
      <c r="D85" t="s">
        <v>141</v>
      </c>
      <c r="E85" t="s">
        <v>52</v>
      </c>
      <c r="F85" s="1">
        <v>9.8207175925925936E-4</v>
      </c>
      <c r="G85" s="37">
        <v>2.13</v>
      </c>
      <c r="H85">
        <v>2.75</v>
      </c>
      <c r="I85" s="37">
        <v>1</v>
      </c>
      <c r="J85">
        <f t="shared" si="1"/>
        <v>2.75</v>
      </c>
    </row>
    <row r="86" spans="1:10" x14ac:dyDescent="0.3">
      <c r="A86" t="s">
        <v>3</v>
      </c>
      <c r="B86" t="s">
        <v>74</v>
      </c>
      <c r="C86" t="s">
        <v>138</v>
      </c>
      <c r="D86" t="s">
        <v>141</v>
      </c>
      <c r="E86" t="s">
        <v>53</v>
      </c>
      <c r="F86" s="1">
        <v>9.8082175925925919E-4</v>
      </c>
      <c r="G86" s="37">
        <v>2.14</v>
      </c>
      <c r="H86">
        <v>2.78</v>
      </c>
      <c r="I86" s="37">
        <v>1</v>
      </c>
      <c r="J86">
        <f t="shared" si="1"/>
        <v>2.78</v>
      </c>
    </row>
    <row r="87" spans="1:10" x14ac:dyDescent="0.3">
      <c r="A87" t="s">
        <v>3</v>
      </c>
      <c r="B87" t="s">
        <v>74</v>
      </c>
      <c r="C87" t="s">
        <v>138</v>
      </c>
      <c r="D87" t="s">
        <v>141</v>
      </c>
      <c r="E87" t="s">
        <v>54</v>
      </c>
      <c r="F87" s="1">
        <v>9.8175925925925926E-4</v>
      </c>
      <c r="G87" s="37">
        <v>2.14</v>
      </c>
      <c r="H87">
        <v>2.79</v>
      </c>
      <c r="I87" s="37">
        <v>1</v>
      </c>
      <c r="J87">
        <f t="shared" si="1"/>
        <v>2.79</v>
      </c>
    </row>
    <row r="88" spans="1:10" x14ac:dyDescent="0.3">
      <c r="A88" t="s">
        <v>3</v>
      </c>
      <c r="B88" t="s">
        <v>74</v>
      </c>
      <c r="C88" t="s">
        <v>138</v>
      </c>
      <c r="D88" t="s">
        <v>141</v>
      </c>
      <c r="E88" t="s">
        <v>55</v>
      </c>
      <c r="F88" s="1">
        <v>9.8207175925925936E-4</v>
      </c>
      <c r="G88" s="37">
        <v>2.14</v>
      </c>
      <c r="H88">
        <v>2.76</v>
      </c>
      <c r="I88" s="37">
        <v>1</v>
      </c>
      <c r="J88">
        <f t="shared" si="1"/>
        <v>2.76</v>
      </c>
    </row>
    <row r="89" spans="1:10" x14ac:dyDescent="0.3">
      <c r="A89" t="s">
        <v>3</v>
      </c>
      <c r="B89" t="s">
        <v>74</v>
      </c>
      <c r="C89" t="s">
        <v>138</v>
      </c>
      <c r="D89" t="s">
        <v>141</v>
      </c>
      <c r="E89" t="s">
        <v>56</v>
      </c>
      <c r="F89" s="1">
        <v>9.8188657407407426E-4</v>
      </c>
      <c r="G89" s="37">
        <v>2.15</v>
      </c>
      <c r="H89">
        <v>2.78</v>
      </c>
      <c r="I89" s="37">
        <v>1</v>
      </c>
      <c r="J89">
        <f t="shared" si="1"/>
        <v>2.78</v>
      </c>
    </row>
    <row r="90" spans="1:10" x14ac:dyDescent="0.3">
      <c r="A90" t="s">
        <v>3</v>
      </c>
      <c r="B90" t="s">
        <v>74</v>
      </c>
      <c r="C90" t="s">
        <v>138</v>
      </c>
      <c r="D90" t="s">
        <v>141</v>
      </c>
      <c r="E90" t="s">
        <v>57</v>
      </c>
      <c r="F90" s="1">
        <v>9.8335648148148154E-4</v>
      </c>
      <c r="G90" s="37">
        <v>2.15</v>
      </c>
      <c r="H90">
        <v>2.78</v>
      </c>
      <c r="I90" s="37">
        <v>1</v>
      </c>
      <c r="J90">
        <f t="shared" si="1"/>
        <v>2.78</v>
      </c>
    </row>
    <row r="91" spans="1:10" x14ac:dyDescent="0.3">
      <c r="A91" t="s">
        <v>3</v>
      </c>
      <c r="B91" t="s">
        <v>74</v>
      </c>
      <c r="C91" t="s">
        <v>138</v>
      </c>
      <c r="D91" t="s">
        <v>141</v>
      </c>
      <c r="E91" t="s">
        <v>72</v>
      </c>
      <c r="F91" s="1">
        <v>9.6922453703703699E-4</v>
      </c>
      <c r="G91" s="37">
        <v>2.13</v>
      </c>
      <c r="H91">
        <v>2.76</v>
      </c>
      <c r="I91" s="37">
        <v>1</v>
      </c>
      <c r="J91">
        <f t="shared" si="1"/>
        <v>2.76</v>
      </c>
    </row>
    <row r="92" spans="1:10" x14ac:dyDescent="0.3">
      <c r="A92" t="s">
        <v>3</v>
      </c>
      <c r="B92" t="s">
        <v>74</v>
      </c>
      <c r="C92" t="s">
        <v>138</v>
      </c>
      <c r="D92" t="s">
        <v>141</v>
      </c>
      <c r="E92" t="s">
        <v>59</v>
      </c>
      <c r="F92" s="1">
        <v>9.7134259259259266E-4</v>
      </c>
      <c r="G92" s="37">
        <v>2.04</v>
      </c>
      <c r="H92">
        <v>2.65</v>
      </c>
      <c r="I92" s="37">
        <v>1</v>
      </c>
      <c r="J92">
        <f t="shared" si="1"/>
        <v>2.65</v>
      </c>
    </row>
    <row r="93" spans="1:10" x14ac:dyDescent="0.3">
      <c r="A93" t="s">
        <v>3</v>
      </c>
      <c r="B93" t="s">
        <v>74</v>
      </c>
      <c r="C93" t="s">
        <v>138</v>
      </c>
      <c r="D93" t="s">
        <v>141</v>
      </c>
      <c r="E93" t="s">
        <v>60</v>
      </c>
      <c r="F93" s="1">
        <v>9.6643518518518519E-4</v>
      </c>
      <c r="G93" s="37">
        <v>2.11</v>
      </c>
      <c r="H93">
        <v>2.74</v>
      </c>
      <c r="I93" s="37">
        <v>1</v>
      </c>
      <c r="J93">
        <f t="shared" si="1"/>
        <v>2.74</v>
      </c>
    </row>
    <row r="94" spans="1:10" x14ac:dyDescent="0.3">
      <c r="A94" t="s">
        <v>3</v>
      </c>
      <c r="B94" t="s">
        <v>74</v>
      </c>
      <c r="C94" t="s">
        <v>138</v>
      </c>
      <c r="D94" t="s">
        <v>141</v>
      </c>
      <c r="E94" t="s">
        <v>61</v>
      </c>
      <c r="F94" s="1">
        <v>9.7122685185185192E-4</v>
      </c>
      <c r="G94" s="37">
        <v>2.14</v>
      </c>
      <c r="H94">
        <v>2.78</v>
      </c>
      <c r="I94" s="37">
        <v>1</v>
      </c>
      <c r="J94">
        <f t="shared" si="1"/>
        <v>2.78</v>
      </c>
    </row>
    <row r="95" spans="1:10" x14ac:dyDescent="0.3">
      <c r="A95" t="s">
        <v>3</v>
      </c>
      <c r="B95" t="s">
        <v>74</v>
      </c>
      <c r="C95" t="s">
        <v>138</v>
      </c>
      <c r="D95" t="s">
        <v>141</v>
      </c>
      <c r="E95" t="s">
        <v>62</v>
      </c>
      <c r="F95" s="1">
        <v>9.7310185185185173E-4</v>
      </c>
      <c r="G95" s="37">
        <v>2.13</v>
      </c>
      <c r="H95">
        <v>2.78</v>
      </c>
      <c r="I95" s="37">
        <v>1</v>
      </c>
      <c r="J95">
        <f t="shared" si="1"/>
        <v>2.78</v>
      </c>
    </row>
    <row r="96" spans="1:10" x14ac:dyDescent="0.3">
      <c r="A96" t="s">
        <v>3</v>
      </c>
      <c r="B96" t="s">
        <v>74</v>
      </c>
      <c r="C96" t="s">
        <v>138</v>
      </c>
      <c r="D96" t="s">
        <v>141</v>
      </c>
      <c r="E96" t="s">
        <v>63</v>
      </c>
      <c r="F96" s="1">
        <v>9.683564814814815E-4</v>
      </c>
      <c r="G96" s="37">
        <v>2.12</v>
      </c>
      <c r="H96">
        <v>2.75</v>
      </c>
      <c r="I96" s="37">
        <v>1</v>
      </c>
      <c r="J96">
        <f t="shared" si="1"/>
        <v>2.75</v>
      </c>
    </row>
    <row r="97" spans="1:10" x14ac:dyDescent="0.3">
      <c r="A97" t="s">
        <v>3</v>
      </c>
      <c r="B97" t="s">
        <v>74</v>
      </c>
      <c r="C97" t="s">
        <v>138</v>
      </c>
      <c r="D97" t="s">
        <v>141</v>
      </c>
      <c r="E97" t="s">
        <v>64</v>
      </c>
      <c r="F97" s="1">
        <v>9.7206018518518518E-4</v>
      </c>
      <c r="G97" s="37">
        <v>2.12</v>
      </c>
      <c r="H97">
        <v>2.76</v>
      </c>
      <c r="I97" s="37">
        <v>1</v>
      </c>
      <c r="J97">
        <f t="shared" si="1"/>
        <v>2.76</v>
      </c>
    </row>
    <row r="98" spans="1:10" x14ac:dyDescent="0.3">
      <c r="A98" t="s">
        <v>3</v>
      </c>
      <c r="B98" t="s">
        <v>74</v>
      </c>
      <c r="C98" t="s">
        <v>138</v>
      </c>
      <c r="D98" t="s">
        <v>141</v>
      </c>
      <c r="E98" t="s">
        <v>65</v>
      </c>
      <c r="F98" s="1">
        <v>9.7061342592592598E-4</v>
      </c>
      <c r="G98" s="37">
        <v>2.1</v>
      </c>
      <c r="H98">
        <v>2.75</v>
      </c>
      <c r="I98" s="37">
        <v>1</v>
      </c>
      <c r="J98">
        <f t="shared" si="1"/>
        <v>2.75</v>
      </c>
    </row>
    <row r="99" spans="1:10" x14ac:dyDescent="0.3">
      <c r="A99" t="s">
        <v>3</v>
      </c>
      <c r="B99" t="s">
        <v>74</v>
      </c>
      <c r="C99" t="s">
        <v>138</v>
      </c>
      <c r="D99" t="s">
        <v>141</v>
      </c>
      <c r="E99" t="s">
        <v>66</v>
      </c>
      <c r="F99" s="1">
        <v>9.7287037037037036E-4</v>
      </c>
      <c r="G99" s="37">
        <v>2.1</v>
      </c>
      <c r="H99">
        <v>2.74</v>
      </c>
      <c r="I99" s="37">
        <v>1</v>
      </c>
      <c r="J99">
        <f t="shared" si="1"/>
        <v>2.74</v>
      </c>
    </row>
    <row r="100" spans="1:10" x14ac:dyDescent="0.3">
      <c r="A100" t="s">
        <v>3</v>
      </c>
      <c r="B100" t="s">
        <v>74</v>
      </c>
      <c r="C100" t="s">
        <v>138</v>
      </c>
      <c r="D100" t="s">
        <v>141</v>
      </c>
      <c r="E100" t="s">
        <v>67</v>
      </c>
      <c r="F100" s="1">
        <v>9.799305555555555E-4</v>
      </c>
      <c r="G100" s="37">
        <v>2.09</v>
      </c>
      <c r="H100">
        <v>2.72</v>
      </c>
      <c r="I100" s="37">
        <v>1</v>
      </c>
      <c r="J100">
        <f t="shared" si="1"/>
        <v>2.72</v>
      </c>
    </row>
    <row r="101" spans="1:10" x14ac:dyDescent="0.3">
      <c r="A101" t="s">
        <v>3</v>
      </c>
      <c r="B101" t="s">
        <v>74</v>
      </c>
      <c r="C101" t="s">
        <v>138</v>
      </c>
      <c r="D101" t="s">
        <v>141</v>
      </c>
      <c r="E101" t="s">
        <v>68</v>
      </c>
      <c r="F101" s="1">
        <v>9.8570601851851835E-4</v>
      </c>
      <c r="G101" s="37">
        <v>2.08</v>
      </c>
      <c r="H101">
        <v>2.71</v>
      </c>
      <c r="I101" s="37">
        <v>1</v>
      </c>
      <c r="J101">
        <f t="shared" si="1"/>
        <v>2.71</v>
      </c>
    </row>
    <row r="102" spans="1:10" x14ac:dyDescent="0.3">
      <c r="A102" t="s">
        <v>3</v>
      </c>
      <c r="B102" t="s">
        <v>74</v>
      </c>
      <c r="C102" t="s">
        <v>138</v>
      </c>
      <c r="D102" t="s">
        <v>141</v>
      </c>
      <c r="E102" t="s">
        <v>69</v>
      </c>
      <c r="F102" s="1">
        <v>9.729861111111111E-4</v>
      </c>
      <c r="G102" s="37">
        <v>2.15</v>
      </c>
      <c r="H102">
        <v>2.79</v>
      </c>
      <c r="I102" s="37">
        <v>1</v>
      </c>
      <c r="J102">
        <f t="shared" si="1"/>
        <v>2.79</v>
      </c>
    </row>
    <row r="103" spans="1:10" x14ac:dyDescent="0.3">
      <c r="A103" t="s">
        <v>3</v>
      </c>
      <c r="B103" t="s">
        <v>74</v>
      </c>
      <c r="C103" t="s">
        <v>138</v>
      </c>
      <c r="D103" t="s">
        <v>141</v>
      </c>
      <c r="E103" t="s">
        <v>70</v>
      </c>
      <c r="F103" s="1">
        <v>9.7622685185185193E-4</v>
      </c>
      <c r="G103" s="37">
        <v>2.16</v>
      </c>
      <c r="H103">
        <v>2.8</v>
      </c>
      <c r="I103" s="37">
        <v>1</v>
      </c>
      <c r="J103">
        <f t="shared" si="1"/>
        <v>2.8</v>
      </c>
    </row>
    <row r="104" spans="1:10" x14ac:dyDescent="0.3">
      <c r="A104" t="s">
        <v>3</v>
      </c>
      <c r="B104" t="s">
        <v>74</v>
      </c>
      <c r="C104" t="s">
        <v>138</v>
      </c>
      <c r="D104" t="s">
        <v>141</v>
      </c>
      <c r="E104" t="s">
        <v>71</v>
      </c>
      <c r="F104" s="1">
        <v>9.7703703703703689E-4</v>
      </c>
      <c r="G104" s="37">
        <v>2.13</v>
      </c>
      <c r="H104">
        <v>2.78</v>
      </c>
      <c r="I104" s="37">
        <v>1</v>
      </c>
      <c r="J104">
        <f t="shared" si="1"/>
        <v>2.78</v>
      </c>
    </row>
    <row r="105" spans="1:10" x14ac:dyDescent="0.3">
      <c r="A105" t="s">
        <v>3</v>
      </c>
      <c r="B105" t="s">
        <v>20</v>
      </c>
      <c r="C105" t="s">
        <v>138</v>
      </c>
      <c r="D105" t="s">
        <v>142</v>
      </c>
      <c r="E105" t="s">
        <v>9</v>
      </c>
      <c r="F105" s="1">
        <v>9.8063657407407409E-4</v>
      </c>
      <c r="G105" s="37">
        <v>2.14</v>
      </c>
      <c r="H105">
        <v>2.74</v>
      </c>
      <c r="I105" s="37">
        <v>1.012</v>
      </c>
      <c r="J105">
        <f t="shared" si="1"/>
        <v>2.7728800000000002</v>
      </c>
    </row>
    <row r="106" spans="1:10" x14ac:dyDescent="0.3">
      <c r="A106" t="s">
        <v>3</v>
      </c>
      <c r="B106" t="s">
        <v>20</v>
      </c>
      <c r="C106" t="s">
        <v>138</v>
      </c>
      <c r="D106" t="s">
        <v>142</v>
      </c>
      <c r="E106" t="s">
        <v>10</v>
      </c>
      <c r="F106" s="1">
        <v>9.7015046296296292E-4</v>
      </c>
      <c r="G106" s="37">
        <v>2.2000000000000002</v>
      </c>
      <c r="H106">
        <v>2.81</v>
      </c>
      <c r="I106" s="37">
        <v>1.012</v>
      </c>
      <c r="J106">
        <f t="shared" si="1"/>
        <v>2.8437200000000002</v>
      </c>
    </row>
    <row r="107" spans="1:10" x14ac:dyDescent="0.3">
      <c r="A107" t="s">
        <v>3</v>
      </c>
      <c r="B107" t="s">
        <v>20</v>
      </c>
      <c r="C107" t="s">
        <v>138</v>
      </c>
      <c r="D107" t="s">
        <v>142</v>
      </c>
      <c r="E107" t="s">
        <v>15</v>
      </c>
      <c r="F107" s="1">
        <v>9.6884259259259254E-4</v>
      </c>
      <c r="G107" s="37">
        <v>2.2200000000000002</v>
      </c>
      <c r="H107">
        <v>2.83</v>
      </c>
      <c r="I107" s="37">
        <v>1.012</v>
      </c>
      <c r="J107">
        <f t="shared" si="1"/>
        <v>2.8639600000000001</v>
      </c>
    </row>
    <row r="108" spans="1:10" x14ac:dyDescent="0.3">
      <c r="A108" t="s">
        <v>3</v>
      </c>
      <c r="B108" t="s">
        <v>20</v>
      </c>
      <c r="C108" t="s">
        <v>138</v>
      </c>
      <c r="D108" t="s">
        <v>142</v>
      </c>
      <c r="E108" t="s">
        <v>16</v>
      </c>
      <c r="F108" s="1">
        <v>9.6927083333333338E-4</v>
      </c>
      <c r="G108" s="37">
        <v>2.2200000000000002</v>
      </c>
      <c r="H108">
        <v>2.83</v>
      </c>
      <c r="I108" s="37">
        <v>1.012</v>
      </c>
      <c r="J108">
        <f t="shared" si="1"/>
        <v>2.8639600000000001</v>
      </c>
    </row>
    <row r="109" spans="1:10" x14ac:dyDescent="0.3">
      <c r="A109" t="s">
        <v>3</v>
      </c>
      <c r="B109" t="s">
        <v>20</v>
      </c>
      <c r="C109" t="s">
        <v>138</v>
      </c>
      <c r="D109" t="s">
        <v>142</v>
      </c>
      <c r="E109" t="s">
        <v>17</v>
      </c>
      <c r="F109" s="1">
        <v>9.7061342592592598E-4</v>
      </c>
      <c r="G109" s="37">
        <v>2.2200000000000002</v>
      </c>
      <c r="H109">
        <v>2.84</v>
      </c>
      <c r="I109" s="37">
        <v>1.012</v>
      </c>
      <c r="J109">
        <f t="shared" si="1"/>
        <v>2.8740799999999997</v>
      </c>
    </row>
    <row r="110" spans="1:10" x14ac:dyDescent="0.3">
      <c r="A110" t="s">
        <v>3</v>
      </c>
      <c r="B110" t="s">
        <v>20</v>
      </c>
      <c r="C110" t="s">
        <v>138</v>
      </c>
      <c r="D110" t="s">
        <v>142</v>
      </c>
      <c r="E110" t="s">
        <v>18</v>
      </c>
      <c r="F110" s="1">
        <v>9.7184027777777774E-4</v>
      </c>
      <c r="G110" s="37">
        <v>2.2400000000000002</v>
      </c>
      <c r="H110">
        <v>2.87</v>
      </c>
      <c r="I110" s="37">
        <v>1.012</v>
      </c>
      <c r="J110">
        <f t="shared" si="1"/>
        <v>2.9044400000000001</v>
      </c>
    </row>
    <row r="111" spans="1:10" x14ac:dyDescent="0.3">
      <c r="A111" t="s">
        <v>3</v>
      </c>
      <c r="B111" t="s">
        <v>20</v>
      </c>
      <c r="C111" t="s">
        <v>138</v>
      </c>
      <c r="D111" t="s">
        <v>142</v>
      </c>
      <c r="E111" t="s">
        <v>19</v>
      </c>
      <c r="F111" s="1">
        <v>9.7217592592592592E-4</v>
      </c>
      <c r="G111" s="37">
        <v>2.23</v>
      </c>
      <c r="H111">
        <v>2.86</v>
      </c>
      <c r="I111" s="37">
        <v>1.012</v>
      </c>
      <c r="J111">
        <f t="shared" si="1"/>
        <v>2.89432</v>
      </c>
    </row>
    <row r="112" spans="1:10" x14ac:dyDescent="0.3">
      <c r="A112" t="s">
        <v>3</v>
      </c>
      <c r="B112" t="s">
        <v>20</v>
      </c>
      <c r="C112" t="s">
        <v>138</v>
      </c>
      <c r="D112" t="s">
        <v>142</v>
      </c>
      <c r="E112" t="s">
        <v>45</v>
      </c>
      <c r="F112" s="1">
        <v>9.7368055555555565E-4</v>
      </c>
      <c r="G112" s="37">
        <v>2.23</v>
      </c>
      <c r="H112">
        <v>2.87</v>
      </c>
      <c r="I112" s="37">
        <v>1.012</v>
      </c>
      <c r="J112">
        <f t="shared" si="1"/>
        <v>2.9044400000000001</v>
      </c>
    </row>
    <row r="113" spans="1:10" x14ac:dyDescent="0.3">
      <c r="A113" t="s">
        <v>3</v>
      </c>
      <c r="B113" t="s">
        <v>20</v>
      </c>
      <c r="C113" t="s">
        <v>138</v>
      </c>
      <c r="D113" t="s">
        <v>142</v>
      </c>
      <c r="E113" t="s">
        <v>46</v>
      </c>
      <c r="F113" s="1">
        <v>9.7623842592592597E-4</v>
      </c>
      <c r="G113" s="37">
        <v>2.2200000000000002</v>
      </c>
      <c r="H113">
        <v>2.85</v>
      </c>
      <c r="I113" s="37">
        <v>1.012</v>
      </c>
      <c r="J113">
        <f t="shared" si="1"/>
        <v>2.8842000000000003</v>
      </c>
    </row>
    <row r="114" spans="1:10" x14ac:dyDescent="0.3">
      <c r="A114" t="s">
        <v>3</v>
      </c>
      <c r="B114" t="s">
        <v>20</v>
      </c>
      <c r="C114" t="s">
        <v>138</v>
      </c>
      <c r="D114" t="s">
        <v>142</v>
      </c>
      <c r="E114" t="s">
        <v>47</v>
      </c>
      <c r="F114" s="1">
        <v>9.7855324074074077E-4</v>
      </c>
      <c r="G114" s="37">
        <v>2.2000000000000002</v>
      </c>
      <c r="H114">
        <v>2.81</v>
      </c>
      <c r="I114" s="37">
        <v>1.012</v>
      </c>
      <c r="J114">
        <f t="shared" si="1"/>
        <v>2.8437200000000002</v>
      </c>
    </row>
    <row r="115" spans="1:10" x14ac:dyDescent="0.3">
      <c r="A115" t="s">
        <v>3</v>
      </c>
      <c r="B115" t="s">
        <v>20</v>
      </c>
      <c r="C115" t="s">
        <v>138</v>
      </c>
      <c r="D115" t="s">
        <v>142</v>
      </c>
      <c r="E115" t="s">
        <v>48</v>
      </c>
      <c r="F115" s="1">
        <v>9.7651620370370362E-4</v>
      </c>
      <c r="G115" s="37">
        <v>2.23</v>
      </c>
      <c r="H115">
        <v>2.85</v>
      </c>
      <c r="I115" s="37">
        <v>1.012</v>
      </c>
      <c r="J115">
        <f t="shared" si="1"/>
        <v>2.8842000000000003</v>
      </c>
    </row>
    <row r="116" spans="1:10" x14ac:dyDescent="0.3">
      <c r="A116" t="s">
        <v>3</v>
      </c>
      <c r="B116" t="s">
        <v>20</v>
      </c>
      <c r="C116" t="s">
        <v>138</v>
      </c>
      <c r="D116" t="s">
        <v>142</v>
      </c>
      <c r="E116" t="s">
        <v>49</v>
      </c>
      <c r="F116" s="1">
        <v>9.779050925925925E-4</v>
      </c>
      <c r="G116" s="37">
        <v>2.23</v>
      </c>
      <c r="H116">
        <v>2.85</v>
      </c>
      <c r="I116" s="37">
        <v>1.012</v>
      </c>
      <c r="J116">
        <f t="shared" si="1"/>
        <v>2.8842000000000003</v>
      </c>
    </row>
    <row r="117" spans="1:10" x14ac:dyDescent="0.3">
      <c r="A117" t="s">
        <v>3</v>
      </c>
      <c r="B117" t="s">
        <v>20</v>
      </c>
      <c r="C117" t="s">
        <v>138</v>
      </c>
      <c r="D117" t="s">
        <v>142</v>
      </c>
      <c r="E117" t="s">
        <v>50</v>
      </c>
      <c r="F117" s="1">
        <v>9.7784722222222218E-4</v>
      </c>
      <c r="G117" s="37">
        <v>2.23</v>
      </c>
      <c r="H117">
        <v>2.85</v>
      </c>
      <c r="I117" s="37">
        <v>1.012</v>
      </c>
      <c r="J117">
        <f t="shared" si="1"/>
        <v>2.8842000000000003</v>
      </c>
    </row>
    <row r="118" spans="1:10" x14ac:dyDescent="0.3">
      <c r="A118" t="s">
        <v>3</v>
      </c>
      <c r="B118" t="s">
        <v>20</v>
      </c>
      <c r="C118" t="s">
        <v>138</v>
      </c>
      <c r="D118" t="s">
        <v>142</v>
      </c>
      <c r="E118" t="s">
        <v>51</v>
      </c>
      <c r="F118" s="1">
        <v>9.7936342592592606E-4</v>
      </c>
      <c r="G118" s="37">
        <v>2.21</v>
      </c>
      <c r="H118">
        <v>2.83</v>
      </c>
      <c r="I118" s="37">
        <v>1.012</v>
      </c>
      <c r="J118">
        <f t="shared" si="1"/>
        <v>2.8639600000000001</v>
      </c>
    </row>
    <row r="119" spans="1:10" x14ac:dyDescent="0.3">
      <c r="A119" t="s">
        <v>3</v>
      </c>
      <c r="B119" t="s">
        <v>20</v>
      </c>
      <c r="C119" t="s">
        <v>138</v>
      </c>
      <c r="D119" t="s">
        <v>142</v>
      </c>
      <c r="E119" t="s">
        <v>52</v>
      </c>
      <c r="F119" s="1">
        <v>9.7848379629629631E-4</v>
      </c>
      <c r="G119" s="37">
        <v>2.23</v>
      </c>
      <c r="H119">
        <v>2.85</v>
      </c>
      <c r="I119" s="37">
        <v>1.012</v>
      </c>
      <c r="J119">
        <f t="shared" si="1"/>
        <v>2.8842000000000003</v>
      </c>
    </row>
    <row r="120" spans="1:10" x14ac:dyDescent="0.3">
      <c r="A120" t="s">
        <v>3</v>
      </c>
      <c r="B120" t="s">
        <v>20</v>
      </c>
      <c r="C120" t="s">
        <v>138</v>
      </c>
      <c r="D120" t="s">
        <v>142</v>
      </c>
      <c r="E120" t="s">
        <v>53</v>
      </c>
      <c r="F120" s="1">
        <v>9.8184027777777788E-4</v>
      </c>
      <c r="G120" s="37">
        <v>2.21</v>
      </c>
      <c r="H120">
        <v>2.83</v>
      </c>
      <c r="I120" s="37">
        <v>1.012</v>
      </c>
      <c r="J120">
        <f t="shared" si="1"/>
        <v>2.8639600000000001</v>
      </c>
    </row>
    <row r="121" spans="1:10" x14ac:dyDescent="0.3">
      <c r="A121" t="s">
        <v>3</v>
      </c>
      <c r="B121" t="s">
        <v>20</v>
      </c>
      <c r="C121" t="s">
        <v>138</v>
      </c>
      <c r="D121" t="s">
        <v>142</v>
      </c>
      <c r="E121" t="s">
        <v>54</v>
      </c>
      <c r="F121" s="1">
        <v>9.8237268518518508E-4</v>
      </c>
      <c r="G121" s="37">
        <v>2.21</v>
      </c>
      <c r="H121">
        <v>2.84</v>
      </c>
      <c r="I121" s="37">
        <v>1.012</v>
      </c>
      <c r="J121">
        <f t="shared" si="1"/>
        <v>2.8740799999999997</v>
      </c>
    </row>
    <row r="122" spans="1:10" x14ac:dyDescent="0.3">
      <c r="A122" t="s">
        <v>3</v>
      </c>
      <c r="B122" t="s">
        <v>20</v>
      </c>
      <c r="C122" t="s">
        <v>138</v>
      </c>
      <c r="D122" t="s">
        <v>142</v>
      </c>
      <c r="E122" t="s">
        <v>55</v>
      </c>
      <c r="F122" s="1">
        <v>9.799305555555555E-4</v>
      </c>
      <c r="G122" s="37">
        <v>2.2400000000000002</v>
      </c>
      <c r="H122">
        <v>2.87</v>
      </c>
      <c r="I122" s="37">
        <v>1.012</v>
      </c>
      <c r="J122">
        <f t="shared" si="1"/>
        <v>2.9044400000000001</v>
      </c>
    </row>
    <row r="123" spans="1:10" x14ac:dyDescent="0.3">
      <c r="A123" t="s">
        <v>3</v>
      </c>
      <c r="B123" t="s">
        <v>20</v>
      </c>
      <c r="C123" t="s">
        <v>138</v>
      </c>
      <c r="D123" t="s">
        <v>142</v>
      </c>
      <c r="E123" t="s">
        <v>57</v>
      </c>
      <c r="F123" s="1">
        <v>9.6297453703703692E-4</v>
      </c>
      <c r="G123" s="37">
        <v>2.25</v>
      </c>
      <c r="H123">
        <v>2.88</v>
      </c>
      <c r="I123" s="37">
        <v>1.012</v>
      </c>
      <c r="J123">
        <f t="shared" si="1"/>
        <v>2.9145599999999998</v>
      </c>
    </row>
    <row r="124" spans="1:10" x14ac:dyDescent="0.3">
      <c r="A124" t="s">
        <v>3</v>
      </c>
      <c r="B124" t="s">
        <v>20</v>
      </c>
      <c r="C124" t="s">
        <v>138</v>
      </c>
      <c r="D124" t="s">
        <v>142</v>
      </c>
      <c r="E124" t="s">
        <v>58</v>
      </c>
      <c r="F124" s="1">
        <v>9.632291666666667E-4</v>
      </c>
      <c r="G124" s="37">
        <v>2.25</v>
      </c>
      <c r="H124">
        <v>2.87</v>
      </c>
      <c r="I124" s="37">
        <v>1.012</v>
      </c>
      <c r="J124">
        <f t="shared" si="1"/>
        <v>2.9044400000000001</v>
      </c>
    </row>
    <row r="125" spans="1:10" x14ac:dyDescent="0.3">
      <c r="A125" t="s">
        <v>3</v>
      </c>
      <c r="B125" t="s">
        <v>20</v>
      </c>
      <c r="C125" t="s">
        <v>138</v>
      </c>
      <c r="D125" t="s">
        <v>142</v>
      </c>
      <c r="E125" t="s">
        <v>72</v>
      </c>
      <c r="F125" s="1">
        <v>9.638310185185186E-4</v>
      </c>
      <c r="G125" s="37">
        <v>2.23</v>
      </c>
      <c r="H125">
        <v>2.86</v>
      </c>
      <c r="I125" s="37">
        <v>1.012</v>
      </c>
      <c r="J125">
        <f t="shared" si="1"/>
        <v>2.89432</v>
      </c>
    </row>
    <row r="126" spans="1:10" x14ac:dyDescent="0.3">
      <c r="A126" t="s">
        <v>3</v>
      </c>
      <c r="B126" t="s">
        <v>20</v>
      </c>
      <c r="C126" t="s">
        <v>138</v>
      </c>
      <c r="D126" t="s">
        <v>142</v>
      </c>
      <c r="E126" t="s">
        <v>59</v>
      </c>
      <c r="F126" s="1">
        <v>9.6906250000000009E-4</v>
      </c>
      <c r="G126" s="37">
        <v>2.1800000000000002</v>
      </c>
      <c r="H126">
        <v>2.8</v>
      </c>
      <c r="I126" s="37">
        <v>1.012</v>
      </c>
      <c r="J126">
        <f t="shared" si="1"/>
        <v>2.8335999999999997</v>
      </c>
    </row>
    <row r="127" spans="1:10" x14ac:dyDescent="0.3">
      <c r="A127" t="s">
        <v>3</v>
      </c>
      <c r="B127" t="s">
        <v>20</v>
      </c>
      <c r="C127" t="s">
        <v>138</v>
      </c>
      <c r="D127" t="s">
        <v>142</v>
      </c>
      <c r="E127" t="s">
        <v>60</v>
      </c>
      <c r="F127" s="1">
        <v>9.7917824074074075E-4</v>
      </c>
      <c r="G127" s="37">
        <v>2.13</v>
      </c>
      <c r="H127">
        <v>2.74</v>
      </c>
      <c r="I127" s="37">
        <v>1.012</v>
      </c>
      <c r="J127">
        <f t="shared" si="1"/>
        <v>2.7728800000000002</v>
      </c>
    </row>
    <row r="128" spans="1:10" x14ac:dyDescent="0.3">
      <c r="A128" t="s">
        <v>3</v>
      </c>
      <c r="B128" t="s">
        <v>20</v>
      </c>
      <c r="C128" t="s">
        <v>138</v>
      </c>
      <c r="D128" t="s">
        <v>142</v>
      </c>
      <c r="E128" t="s">
        <v>61</v>
      </c>
      <c r="F128" s="1">
        <v>9.7265046296296303E-4</v>
      </c>
      <c r="G128" s="37">
        <v>2.16</v>
      </c>
      <c r="H128">
        <v>2.79</v>
      </c>
      <c r="I128" s="37">
        <v>1.012</v>
      </c>
      <c r="J128">
        <f t="shared" si="1"/>
        <v>2.82348</v>
      </c>
    </row>
    <row r="129" spans="1:10" x14ac:dyDescent="0.3">
      <c r="A129" t="s">
        <v>3</v>
      </c>
      <c r="B129" t="s">
        <v>20</v>
      </c>
      <c r="C129" t="s">
        <v>138</v>
      </c>
      <c r="D129" t="s">
        <v>142</v>
      </c>
      <c r="E129" t="s">
        <v>62</v>
      </c>
      <c r="F129" s="1">
        <v>9.7709490740740743E-4</v>
      </c>
      <c r="G129" s="37">
        <v>2.16</v>
      </c>
      <c r="H129">
        <v>2.78</v>
      </c>
      <c r="I129" s="37">
        <v>1.012</v>
      </c>
      <c r="J129">
        <f t="shared" si="1"/>
        <v>2.8133599999999999</v>
      </c>
    </row>
    <row r="130" spans="1:10" x14ac:dyDescent="0.3">
      <c r="A130" t="s">
        <v>3</v>
      </c>
      <c r="B130" t="s">
        <v>20</v>
      </c>
      <c r="C130" t="s">
        <v>138</v>
      </c>
      <c r="D130" t="s">
        <v>142</v>
      </c>
      <c r="E130" t="s">
        <v>63</v>
      </c>
      <c r="F130" s="1">
        <v>9.7194444444444444E-4</v>
      </c>
      <c r="G130" s="37">
        <v>2.21</v>
      </c>
      <c r="H130">
        <v>2.84</v>
      </c>
      <c r="I130" s="37">
        <v>1.012</v>
      </c>
      <c r="J130">
        <f t="shared" si="1"/>
        <v>2.8740799999999997</v>
      </c>
    </row>
    <row r="131" spans="1:10" x14ac:dyDescent="0.3">
      <c r="A131" t="s">
        <v>3</v>
      </c>
      <c r="B131" t="s">
        <v>20</v>
      </c>
      <c r="C131" t="s">
        <v>138</v>
      </c>
      <c r="D131" t="s">
        <v>142</v>
      </c>
      <c r="E131" t="s">
        <v>64</v>
      </c>
      <c r="F131" s="1">
        <v>9.7224537037037028E-4</v>
      </c>
      <c r="G131" s="37">
        <v>2.2200000000000002</v>
      </c>
      <c r="H131">
        <v>2.86</v>
      </c>
      <c r="I131" s="37">
        <v>1.012</v>
      </c>
      <c r="J131">
        <f t="shared" si="1"/>
        <v>2.89432</v>
      </c>
    </row>
    <row r="132" spans="1:10" x14ac:dyDescent="0.3">
      <c r="A132" t="s">
        <v>3</v>
      </c>
      <c r="B132" t="s">
        <v>20</v>
      </c>
      <c r="C132" t="s">
        <v>138</v>
      </c>
      <c r="D132" t="s">
        <v>142</v>
      </c>
      <c r="E132" t="s">
        <v>65</v>
      </c>
      <c r="F132" s="1">
        <v>9.7686342592592595E-4</v>
      </c>
      <c r="G132" s="37">
        <v>2.1800000000000002</v>
      </c>
      <c r="H132">
        <v>2.8</v>
      </c>
      <c r="I132" s="37">
        <v>1.012</v>
      </c>
      <c r="J132">
        <f t="shared" ref="J132:J195" si="2">H132*I132</f>
        <v>2.8335999999999997</v>
      </c>
    </row>
    <row r="133" spans="1:10" x14ac:dyDescent="0.3">
      <c r="A133" t="s">
        <v>3</v>
      </c>
      <c r="B133" t="s">
        <v>20</v>
      </c>
      <c r="C133" t="s">
        <v>138</v>
      </c>
      <c r="D133" t="s">
        <v>142</v>
      </c>
      <c r="E133" t="s">
        <v>66</v>
      </c>
      <c r="F133" s="1">
        <v>9.7894675925925927E-4</v>
      </c>
      <c r="G133" s="37">
        <v>2.17</v>
      </c>
      <c r="H133">
        <v>2.82</v>
      </c>
      <c r="I133" s="37">
        <v>1.012</v>
      </c>
      <c r="J133">
        <f t="shared" si="2"/>
        <v>2.8538399999999999</v>
      </c>
    </row>
    <row r="134" spans="1:10" x14ac:dyDescent="0.3">
      <c r="A134" t="s">
        <v>3</v>
      </c>
      <c r="B134" t="s">
        <v>20</v>
      </c>
      <c r="C134" t="s">
        <v>138</v>
      </c>
      <c r="D134" t="s">
        <v>142</v>
      </c>
      <c r="E134" t="s">
        <v>67</v>
      </c>
      <c r="F134" s="1">
        <v>9.8098379629629642E-4</v>
      </c>
      <c r="G134" s="37">
        <v>2.16</v>
      </c>
      <c r="H134">
        <v>2.79</v>
      </c>
      <c r="I134" s="37">
        <v>1.012</v>
      </c>
      <c r="J134">
        <f t="shared" si="2"/>
        <v>2.82348</v>
      </c>
    </row>
    <row r="135" spans="1:10" x14ac:dyDescent="0.3">
      <c r="A135" t="s">
        <v>3</v>
      </c>
      <c r="B135" t="s">
        <v>20</v>
      </c>
      <c r="C135" t="s">
        <v>138</v>
      </c>
      <c r="D135" t="s">
        <v>142</v>
      </c>
      <c r="E135" t="s">
        <v>68</v>
      </c>
      <c r="F135" s="1">
        <v>9.8406249999999991E-4</v>
      </c>
      <c r="G135" s="37">
        <v>2.14</v>
      </c>
      <c r="H135">
        <v>2.76</v>
      </c>
      <c r="I135" s="37">
        <v>1.012</v>
      </c>
      <c r="J135">
        <f t="shared" si="2"/>
        <v>2.7931199999999996</v>
      </c>
    </row>
    <row r="136" spans="1:10" x14ac:dyDescent="0.3">
      <c r="A136" t="s">
        <v>3</v>
      </c>
      <c r="B136" t="s">
        <v>20</v>
      </c>
      <c r="C136" t="s">
        <v>138</v>
      </c>
      <c r="D136" t="s">
        <v>142</v>
      </c>
      <c r="E136" t="s">
        <v>69</v>
      </c>
      <c r="F136" s="1">
        <v>9.7934027777777776E-4</v>
      </c>
      <c r="G136" s="37">
        <v>2.17</v>
      </c>
      <c r="H136">
        <v>2.79</v>
      </c>
      <c r="I136" s="37">
        <v>1.012</v>
      </c>
      <c r="J136">
        <f t="shared" si="2"/>
        <v>2.82348</v>
      </c>
    </row>
    <row r="137" spans="1:10" x14ac:dyDescent="0.3">
      <c r="A137" t="s">
        <v>3</v>
      </c>
      <c r="B137" t="s">
        <v>20</v>
      </c>
      <c r="C137" t="s">
        <v>138</v>
      </c>
      <c r="D137" t="s">
        <v>142</v>
      </c>
      <c r="E137" t="s">
        <v>70</v>
      </c>
      <c r="F137" s="1">
        <v>9.8052083333333324E-4</v>
      </c>
      <c r="G137" s="37">
        <v>2.2000000000000002</v>
      </c>
      <c r="H137">
        <v>2.82</v>
      </c>
      <c r="I137" s="37">
        <v>1.012</v>
      </c>
      <c r="J137">
        <f t="shared" si="2"/>
        <v>2.8538399999999999</v>
      </c>
    </row>
    <row r="138" spans="1:10" x14ac:dyDescent="0.3">
      <c r="A138" t="s">
        <v>3</v>
      </c>
      <c r="B138" t="s">
        <v>20</v>
      </c>
      <c r="C138" t="s">
        <v>138</v>
      </c>
      <c r="D138" t="s">
        <v>142</v>
      </c>
      <c r="E138" t="s">
        <v>71</v>
      </c>
      <c r="F138" s="1">
        <v>9.8373842592592588E-4</v>
      </c>
      <c r="G138" s="37">
        <v>2.1800000000000002</v>
      </c>
      <c r="H138">
        <v>2.8</v>
      </c>
      <c r="I138" s="37">
        <v>1.012</v>
      </c>
      <c r="J138">
        <f t="shared" si="2"/>
        <v>2.8335999999999997</v>
      </c>
    </row>
    <row r="139" spans="1:10" x14ac:dyDescent="0.3">
      <c r="A139" t="s">
        <v>3</v>
      </c>
      <c r="B139" t="s">
        <v>93</v>
      </c>
      <c r="C139" t="s">
        <v>138</v>
      </c>
      <c r="D139" t="s">
        <v>143</v>
      </c>
      <c r="E139" t="s">
        <v>9</v>
      </c>
      <c r="F139" s="1">
        <v>9.8589120370370367E-4</v>
      </c>
      <c r="G139" s="37">
        <v>2.11</v>
      </c>
      <c r="H139">
        <v>2.72</v>
      </c>
      <c r="I139" s="37">
        <v>0.97</v>
      </c>
      <c r="J139">
        <f t="shared" si="2"/>
        <v>2.6384000000000003</v>
      </c>
    </row>
    <row r="140" spans="1:10" x14ac:dyDescent="0.3">
      <c r="A140" t="s">
        <v>3</v>
      </c>
      <c r="B140" t="s">
        <v>93</v>
      </c>
      <c r="C140" t="s">
        <v>138</v>
      </c>
      <c r="D140" t="s">
        <v>143</v>
      </c>
      <c r="E140" t="s">
        <v>10</v>
      </c>
      <c r="F140" s="1">
        <v>9.7885416666666672E-4</v>
      </c>
      <c r="G140" s="37">
        <v>2.14</v>
      </c>
      <c r="H140">
        <v>2.76</v>
      </c>
      <c r="I140" s="37">
        <v>0.97</v>
      </c>
      <c r="J140">
        <f t="shared" si="2"/>
        <v>2.6771999999999996</v>
      </c>
    </row>
    <row r="141" spans="1:10" x14ac:dyDescent="0.3">
      <c r="A141" t="s">
        <v>3</v>
      </c>
      <c r="B141" t="s">
        <v>93</v>
      </c>
      <c r="C141" t="s">
        <v>138</v>
      </c>
      <c r="D141" t="s">
        <v>143</v>
      </c>
      <c r="E141" t="s">
        <v>15</v>
      </c>
      <c r="F141" s="1">
        <v>9.7258101851851856E-4</v>
      </c>
      <c r="G141" s="37">
        <v>2.14</v>
      </c>
      <c r="H141">
        <v>2.78</v>
      </c>
      <c r="I141" s="37">
        <v>0.97</v>
      </c>
      <c r="J141">
        <f t="shared" si="2"/>
        <v>2.6965999999999997</v>
      </c>
    </row>
    <row r="142" spans="1:10" x14ac:dyDescent="0.3">
      <c r="A142" t="s">
        <v>3</v>
      </c>
      <c r="B142" t="s">
        <v>93</v>
      </c>
      <c r="C142" t="s">
        <v>138</v>
      </c>
      <c r="D142" t="s">
        <v>143</v>
      </c>
      <c r="E142" t="s">
        <v>16</v>
      </c>
      <c r="F142" s="1">
        <v>9.7186342592592582E-4</v>
      </c>
      <c r="G142" s="37">
        <v>2.17</v>
      </c>
      <c r="H142">
        <v>2.81</v>
      </c>
      <c r="I142" s="37">
        <v>0.97</v>
      </c>
      <c r="J142">
        <f t="shared" si="2"/>
        <v>2.7256999999999998</v>
      </c>
    </row>
    <row r="143" spans="1:10" x14ac:dyDescent="0.3">
      <c r="A143" t="s">
        <v>3</v>
      </c>
      <c r="B143" t="s">
        <v>93</v>
      </c>
      <c r="C143" t="s">
        <v>138</v>
      </c>
      <c r="D143" t="s">
        <v>143</v>
      </c>
      <c r="E143" t="s">
        <v>17</v>
      </c>
      <c r="F143" s="1">
        <v>9.7444444444444455E-4</v>
      </c>
      <c r="G143" s="37">
        <v>2.1800000000000002</v>
      </c>
      <c r="H143">
        <v>2.83</v>
      </c>
      <c r="I143" s="37">
        <v>0.97</v>
      </c>
      <c r="J143">
        <f t="shared" si="2"/>
        <v>2.7450999999999999</v>
      </c>
    </row>
    <row r="144" spans="1:10" x14ac:dyDescent="0.3">
      <c r="A144" t="s">
        <v>3</v>
      </c>
      <c r="B144" t="s">
        <v>93</v>
      </c>
      <c r="C144" t="s">
        <v>138</v>
      </c>
      <c r="D144" t="s">
        <v>143</v>
      </c>
      <c r="E144" t="s">
        <v>18</v>
      </c>
      <c r="F144" s="1">
        <v>9.7552083333333334E-4</v>
      </c>
      <c r="G144" s="37">
        <v>2.23</v>
      </c>
      <c r="H144">
        <v>2.87</v>
      </c>
      <c r="I144" s="37">
        <v>0.97</v>
      </c>
      <c r="J144">
        <f t="shared" si="2"/>
        <v>2.7839</v>
      </c>
    </row>
    <row r="145" spans="1:10" x14ac:dyDescent="0.3">
      <c r="A145" t="s">
        <v>3</v>
      </c>
      <c r="B145" t="s">
        <v>93</v>
      </c>
      <c r="C145" t="s">
        <v>138</v>
      </c>
      <c r="D145" t="s">
        <v>143</v>
      </c>
      <c r="E145" t="s">
        <v>19</v>
      </c>
      <c r="F145" s="1">
        <v>9.7480324074074071E-4</v>
      </c>
      <c r="G145" s="37">
        <v>2.2000000000000002</v>
      </c>
      <c r="H145">
        <v>2.84</v>
      </c>
      <c r="I145" s="37">
        <v>0.97</v>
      </c>
      <c r="J145">
        <f t="shared" si="2"/>
        <v>2.7547999999999999</v>
      </c>
    </row>
    <row r="146" spans="1:10" x14ac:dyDescent="0.3">
      <c r="A146" t="s">
        <v>3</v>
      </c>
      <c r="B146" t="s">
        <v>93</v>
      </c>
      <c r="C146" t="s">
        <v>138</v>
      </c>
      <c r="D146" t="s">
        <v>143</v>
      </c>
      <c r="E146" t="s">
        <v>45</v>
      </c>
      <c r="F146" s="1">
        <v>9.8263888888888901E-4</v>
      </c>
      <c r="G146" s="37">
        <v>2.13</v>
      </c>
      <c r="H146">
        <v>2.74</v>
      </c>
      <c r="I146" s="37">
        <v>0.97</v>
      </c>
      <c r="J146">
        <f t="shared" si="2"/>
        <v>2.6577999999999999</v>
      </c>
    </row>
    <row r="147" spans="1:10" x14ac:dyDescent="0.3">
      <c r="A147" t="s">
        <v>3</v>
      </c>
      <c r="B147" t="s">
        <v>93</v>
      </c>
      <c r="C147" t="s">
        <v>138</v>
      </c>
      <c r="D147" t="s">
        <v>143</v>
      </c>
      <c r="E147" t="s">
        <v>47</v>
      </c>
      <c r="F147" s="1">
        <v>9.6795138888888885E-4</v>
      </c>
      <c r="G147" s="37">
        <v>2.2400000000000002</v>
      </c>
      <c r="H147">
        <v>2.92</v>
      </c>
      <c r="I147" s="37">
        <v>0.97</v>
      </c>
      <c r="J147">
        <f t="shared" si="2"/>
        <v>2.8323999999999998</v>
      </c>
    </row>
    <row r="148" spans="1:10" x14ac:dyDescent="0.3">
      <c r="A148" t="s">
        <v>3</v>
      </c>
      <c r="B148" t="s">
        <v>93</v>
      </c>
      <c r="C148" t="s">
        <v>138</v>
      </c>
      <c r="D148" t="s">
        <v>143</v>
      </c>
      <c r="E148" t="s">
        <v>48</v>
      </c>
      <c r="F148" s="1">
        <v>9.6922453703703699E-4</v>
      </c>
      <c r="G148" s="37">
        <v>2.27</v>
      </c>
      <c r="H148">
        <v>2.93</v>
      </c>
      <c r="I148" s="37">
        <v>0.97</v>
      </c>
      <c r="J148">
        <f t="shared" si="2"/>
        <v>2.8421000000000003</v>
      </c>
    </row>
    <row r="149" spans="1:10" x14ac:dyDescent="0.3">
      <c r="A149" t="s">
        <v>3</v>
      </c>
      <c r="B149" t="s">
        <v>93</v>
      </c>
      <c r="C149" t="s">
        <v>138</v>
      </c>
      <c r="D149" t="s">
        <v>143</v>
      </c>
      <c r="E149" t="s">
        <v>49</v>
      </c>
      <c r="F149" s="1">
        <v>9.6986111111111101E-4</v>
      </c>
      <c r="G149" s="37">
        <v>2.2599999999999998</v>
      </c>
      <c r="H149">
        <v>2.9</v>
      </c>
      <c r="I149" s="37">
        <v>0.97</v>
      </c>
      <c r="J149">
        <f t="shared" si="2"/>
        <v>2.8129999999999997</v>
      </c>
    </row>
    <row r="150" spans="1:10" x14ac:dyDescent="0.3">
      <c r="A150" t="s">
        <v>3</v>
      </c>
      <c r="B150" t="s">
        <v>93</v>
      </c>
      <c r="C150" t="s">
        <v>138</v>
      </c>
      <c r="D150" t="s">
        <v>143</v>
      </c>
      <c r="E150" t="s">
        <v>50</v>
      </c>
      <c r="F150" s="1">
        <v>9.6841435185185181E-4</v>
      </c>
      <c r="G150" s="37">
        <v>2.27</v>
      </c>
      <c r="H150">
        <v>2.93</v>
      </c>
      <c r="I150" s="37">
        <v>0.97</v>
      </c>
      <c r="J150">
        <f t="shared" si="2"/>
        <v>2.8421000000000003</v>
      </c>
    </row>
    <row r="151" spans="1:10" x14ac:dyDescent="0.3">
      <c r="A151" t="s">
        <v>3</v>
      </c>
      <c r="B151" t="s">
        <v>93</v>
      </c>
      <c r="C151" t="s">
        <v>138</v>
      </c>
      <c r="D151" t="s">
        <v>143</v>
      </c>
      <c r="E151" t="s">
        <v>51</v>
      </c>
      <c r="F151" s="1">
        <v>9.6790509259259258E-4</v>
      </c>
      <c r="G151" s="37">
        <v>2.27</v>
      </c>
      <c r="H151">
        <v>2.92</v>
      </c>
      <c r="I151" s="37">
        <v>0.97</v>
      </c>
      <c r="J151">
        <f t="shared" si="2"/>
        <v>2.8323999999999998</v>
      </c>
    </row>
    <row r="152" spans="1:10" x14ac:dyDescent="0.3">
      <c r="A152" t="s">
        <v>3</v>
      </c>
      <c r="B152" t="s">
        <v>93</v>
      </c>
      <c r="C152" t="s">
        <v>138</v>
      </c>
      <c r="D152" t="s">
        <v>143</v>
      </c>
      <c r="E152" t="s">
        <v>52</v>
      </c>
      <c r="F152" s="1">
        <v>9.70300925925926E-4</v>
      </c>
      <c r="G152" s="37">
        <v>2.2599999999999998</v>
      </c>
      <c r="H152">
        <v>2.91</v>
      </c>
      <c r="I152" s="37">
        <v>0.97</v>
      </c>
      <c r="J152">
        <f t="shared" si="2"/>
        <v>2.8227000000000002</v>
      </c>
    </row>
    <row r="153" spans="1:10" x14ac:dyDescent="0.3">
      <c r="A153" t="s">
        <v>3</v>
      </c>
      <c r="B153" t="s">
        <v>93</v>
      </c>
      <c r="C153" t="s">
        <v>138</v>
      </c>
      <c r="D153" t="s">
        <v>143</v>
      </c>
      <c r="E153" t="s">
        <v>53</v>
      </c>
      <c r="F153" s="1">
        <v>9.7010416666666675E-4</v>
      </c>
      <c r="G153" s="37">
        <v>2.27</v>
      </c>
      <c r="H153">
        <v>2.93</v>
      </c>
      <c r="I153" s="37">
        <v>0.97</v>
      </c>
      <c r="J153">
        <f t="shared" si="2"/>
        <v>2.8421000000000003</v>
      </c>
    </row>
    <row r="154" spans="1:10" x14ac:dyDescent="0.3">
      <c r="A154" t="s">
        <v>3</v>
      </c>
      <c r="B154" t="s">
        <v>93</v>
      </c>
      <c r="C154" t="s">
        <v>138</v>
      </c>
      <c r="D154" t="s">
        <v>143</v>
      </c>
      <c r="E154" t="s">
        <v>54</v>
      </c>
      <c r="F154" s="1">
        <v>9.7465277777777784E-4</v>
      </c>
      <c r="G154" s="37">
        <v>2.21</v>
      </c>
      <c r="H154">
        <v>2.86</v>
      </c>
      <c r="I154" s="37">
        <v>0.97</v>
      </c>
      <c r="J154">
        <f t="shared" si="2"/>
        <v>2.7742</v>
      </c>
    </row>
    <row r="155" spans="1:10" x14ac:dyDescent="0.3">
      <c r="A155" t="s">
        <v>3</v>
      </c>
      <c r="B155" t="s">
        <v>93</v>
      </c>
      <c r="C155" t="s">
        <v>138</v>
      </c>
      <c r="D155" t="s">
        <v>143</v>
      </c>
      <c r="E155" t="s">
        <v>55</v>
      </c>
      <c r="F155" s="1">
        <v>9.73275462962963E-4</v>
      </c>
      <c r="G155" s="37">
        <v>2.21</v>
      </c>
      <c r="H155">
        <v>2.86</v>
      </c>
      <c r="I155" s="37">
        <v>0.97</v>
      </c>
      <c r="J155">
        <f t="shared" si="2"/>
        <v>2.7742</v>
      </c>
    </row>
    <row r="156" spans="1:10" x14ac:dyDescent="0.3">
      <c r="A156" t="s">
        <v>3</v>
      </c>
      <c r="B156" t="s">
        <v>93</v>
      </c>
      <c r="C156" t="s">
        <v>138</v>
      </c>
      <c r="D156" t="s">
        <v>143</v>
      </c>
      <c r="E156" t="s">
        <v>56</v>
      </c>
      <c r="F156" s="1">
        <v>9.7706018518518519E-4</v>
      </c>
      <c r="G156" s="37">
        <v>2.14</v>
      </c>
      <c r="H156">
        <v>2.82</v>
      </c>
      <c r="I156" s="37">
        <v>0.97</v>
      </c>
      <c r="J156">
        <f t="shared" si="2"/>
        <v>2.7353999999999998</v>
      </c>
    </row>
    <row r="157" spans="1:10" x14ac:dyDescent="0.3">
      <c r="A157" t="s">
        <v>3</v>
      </c>
      <c r="B157" t="s">
        <v>93</v>
      </c>
      <c r="C157" t="s">
        <v>138</v>
      </c>
      <c r="D157" t="s">
        <v>143</v>
      </c>
      <c r="E157" t="s">
        <v>57</v>
      </c>
      <c r="F157" s="1">
        <v>9.8298611111111113E-4</v>
      </c>
      <c r="G157" s="37">
        <v>2.21</v>
      </c>
      <c r="H157">
        <v>2.85</v>
      </c>
      <c r="I157" s="37">
        <v>0.97</v>
      </c>
      <c r="J157">
        <f t="shared" si="2"/>
        <v>2.7645</v>
      </c>
    </row>
    <row r="158" spans="1:10" x14ac:dyDescent="0.3">
      <c r="A158" t="s">
        <v>3</v>
      </c>
      <c r="B158" t="s">
        <v>93</v>
      </c>
      <c r="C158" t="s">
        <v>138</v>
      </c>
      <c r="D158" t="s">
        <v>143</v>
      </c>
      <c r="E158" t="s">
        <v>58</v>
      </c>
      <c r="F158" s="1">
        <v>9.8339120370370377E-4</v>
      </c>
      <c r="G158" s="37">
        <v>2.17</v>
      </c>
      <c r="H158">
        <v>2.8</v>
      </c>
      <c r="I158" s="37">
        <v>0.97</v>
      </c>
      <c r="J158">
        <f t="shared" si="2"/>
        <v>2.7159999999999997</v>
      </c>
    </row>
    <row r="159" spans="1:10" x14ac:dyDescent="0.3">
      <c r="A159" t="s">
        <v>3</v>
      </c>
      <c r="B159" t="s">
        <v>93</v>
      </c>
      <c r="C159" t="s">
        <v>138</v>
      </c>
      <c r="D159" t="s">
        <v>143</v>
      </c>
      <c r="E159" t="s">
        <v>72</v>
      </c>
      <c r="F159" s="1">
        <v>9.7431712962962956E-4</v>
      </c>
      <c r="G159" s="37">
        <v>2.21</v>
      </c>
      <c r="H159">
        <v>2.86</v>
      </c>
      <c r="I159" s="37">
        <v>0.97</v>
      </c>
      <c r="J159">
        <f t="shared" si="2"/>
        <v>2.7742</v>
      </c>
    </row>
    <row r="160" spans="1:10" x14ac:dyDescent="0.3">
      <c r="A160" t="s">
        <v>3</v>
      </c>
      <c r="B160" t="s">
        <v>93</v>
      </c>
      <c r="C160" t="s">
        <v>138</v>
      </c>
      <c r="D160" t="s">
        <v>143</v>
      </c>
      <c r="E160" t="s">
        <v>59</v>
      </c>
      <c r="F160" s="1">
        <v>9.7605324074074077E-4</v>
      </c>
      <c r="G160" s="37">
        <v>2.21</v>
      </c>
      <c r="H160">
        <v>2.86</v>
      </c>
      <c r="I160" s="37">
        <v>0.97</v>
      </c>
      <c r="J160">
        <f t="shared" si="2"/>
        <v>2.7742</v>
      </c>
    </row>
    <row r="161" spans="1:10" x14ac:dyDescent="0.3">
      <c r="A161" t="s">
        <v>3</v>
      </c>
      <c r="B161" t="s">
        <v>93</v>
      </c>
      <c r="C161" t="s">
        <v>138</v>
      </c>
      <c r="D161" t="s">
        <v>143</v>
      </c>
      <c r="E161" t="s">
        <v>60</v>
      </c>
      <c r="F161" s="1">
        <v>9.7958333333333339E-4</v>
      </c>
      <c r="G161" s="37">
        <v>2.19</v>
      </c>
      <c r="H161">
        <v>2.85</v>
      </c>
      <c r="I161" s="37">
        <v>0.97</v>
      </c>
      <c r="J161">
        <f t="shared" si="2"/>
        <v>2.7645</v>
      </c>
    </row>
    <row r="162" spans="1:10" x14ac:dyDescent="0.3">
      <c r="A162" t="s">
        <v>3</v>
      </c>
      <c r="B162" t="s">
        <v>93</v>
      </c>
      <c r="C162" t="s">
        <v>138</v>
      </c>
      <c r="D162" t="s">
        <v>143</v>
      </c>
      <c r="E162" t="s">
        <v>61</v>
      </c>
      <c r="F162" s="1">
        <v>9.7679398148148148E-4</v>
      </c>
      <c r="G162" s="37">
        <v>2.2000000000000002</v>
      </c>
      <c r="H162">
        <v>2.86</v>
      </c>
      <c r="I162" s="37">
        <v>0.97</v>
      </c>
      <c r="J162">
        <f t="shared" si="2"/>
        <v>2.7742</v>
      </c>
    </row>
    <row r="163" spans="1:10" x14ac:dyDescent="0.3">
      <c r="A163" t="s">
        <v>3</v>
      </c>
      <c r="B163" t="s">
        <v>93</v>
      </c>
      <c r="C163" t="s">
        <v>138</v>
      </c>
      <c r="D163" t="s">
        <v>143</v>
      </c>
      <c r="E163" t="s">
        <v>62</v>
      </c>
      <c r="F163" s="1">
        <v>9.7450231481481487E-4</v>
      </c>
      <c r="G163" s="37">
        <v>2.21</v>
      </c>
      <c r="H163">
        <v>2.86</v>
      </c>
      <c r="I163" s="37">
        <v>0.97</v>
      </c>
      <c r="J163">
        <f t="shared" si="2"/>
        <v>2.7742</v>
      </c>
    </row>
    <row r="164" spans="1:10" x14ac:dyDescent="0.3">
      <c r="A164" t="s">
        <v>3</v>
      </c>
      <c r="B164" t="s">
        <v>93</v>
      </c>
      <c r="C164" t="s">
        <v>138</v>
      </c>
      <c r="D164" t="s">
        <v>143</v>
      </c>
      <c r="E164" t="s">
        <v>63</v>
      </c>
      <c r="F164" s="1">
        <v>9.7581018518518524E-4</v>
      </c>
      <c r="G164" s="37">
        <v>2.2400000000000002</v>
      </c>
      <c r="H164">
        <v>2.88</v>
      </c>
      <c r="I164" s="37">
        <v>0.97</v>
      </c>
      <c r="J164">
        <f t="shared" si="2"/>
        <v>2.7935999999999996</v>
      </c>
    </row>
    <row r="165" spans="1:10" x14ac:dyDescent="0.3">
      <c r="A165" t="s">
        <v>3</v>
      </c>
      <c r="B165" t="s">
        <v>93</v>
      </c>
      <c r="C165" t="s">
        <v>138</v>
      </c>
      <c r="D165" t="s">
        <v>143</v>
      </c>
      <c r="E165" t="s">
        <v>64</v>
      </c>
      <c r="F165" s="1">
        <v>9.7663194444444447E-4</v>
      </c>
      <c r="G165" s="37">
        <v>2.21</v>
      </c>
      <c r="H165">
        <v>2.86</v>
      </c>
      <c r="I165" s="37">
        <v>0.97</v>
      </c>
      <c r="J165">
        <f t="shared" si="2"/>
        <v>2.7742</v>
      </c>
    </row>
    <row r="166" spans="1:10" x14ac:dyDescent="0.3">
      <c r="A166" t="s">
        <v>3</v>
      </c>
      <c r="B166" t="s">
        <v>93</v>
      </c>
      <c r="C166" t="s">
        <v>138</v>
      </c>
      <c r="D166" t="s">
        <v>143</v>
      </c>
      <c r="E166" t="s">
        <v>65</v>
      </c>
      <c r="F166" s="1">
        <v>9.7715277777777774E-4</v>
      </c>
      <c r="G166" s="37">
        <v>2.2000000000000002</v>
      </c>
      <c r="H166">
        <v>2.85</v>
      </c>
      <c r="I166" s="37">
        <v>0.97</v>
      </c>
      <c r="J166">
        <f t="shared" si="2"/>
        <v>2.7645</v>
      </c>
    </row>
    <row r="167" spans="1:10" x14ac:dyDescent="0.3">
      <c r="A167" t="s">
        <v>3</v>
      </c>
      <c r="B167" t="s">
        <v>93</v>
      </c>
      <c r="C167" t="s">
        <v>138</v>
      </c>
      <c r="D167" t="s">
        <v>143</v>
      </c>
      <c r="E167" t="s">
        <v>66</v>
      </c>
      <c r="F167" s="1">
        <v>9.7894675925925927E-4</v>
      </c>
      <c r="G167" s="37">
        <v>2.2000000000000002</v>
      </c>
      <c r="H167">
        <v>2.84</v>
      </c>
      <c r="I167" s="37">
        <v>0.97</v>
      </c>
      <c r="J167">
        <f t="shared" si="2"/>
        <v>2.7547999999999999</v>
      </c>
    </row>
    <row r="168" spans="1:10" x14ac:dyDescent="0.3">
      <c r="A168" t="s">
        <v>3</v>
      </c>
      <c r="B168" t="s">
        <v>93</v>
      </c>
      <c r="C168" t="s">
        <v>138</v>
      </c>
      <c r="D168" t="s">
        <v>143</v>
      </c>
      <c r="E168" t="s">
        <v>67</v>
      </c>
      <c r="F168" s="1">
        <v>9.825347222222221E-4</v>
      </c>
      <c r="G168" s="37">
        <v>2.2000000000000002</v>
      </c>
      <c r="H168">
        <v>2.84</v>
      </c>
      <c r="I168" s="37">
        <v>0.97</v>
      </c>
      <c r="J168">
        <f t="shared" si="2"/>
        <v>2.7547999999999999</v>
      </c>
    </row>
    <row r="169" spans="1:10" x14ac:dyDescent="0.3">
      <c r="A169" t="s">
        <v>3</v>
      </c>
      <c r="B169" t="s">
        <v>93</v>
      </c>
      <c r="C169" t="s">
        <v>138</v>
      </c>
      <c r="D169" t="s">
        <v>143</v>
      </c>
      <c r="E169" t="s">
        <v>68</v>
      </c>
      <c r="F169" s="1">
        <v>9.7986111111111104E-4</v>
      </c>
      <c r="G169" s="37">
        <v>2.19</v>
      </c>
      <c r="H169">
        <v>2.83</v>
      </c>
      <c r="I169" s="37">
        <v>0.97</v>
      </c>
      <c r="J169">
        <f t="shared" si="2"/>
        <v>2.7450999999999999</v>
      </c>
    </row>
    <row r="170" spans="1:10" x14ac:dyDescent="0.3">
      <c r="A170" t="s">
        <v>3</v>
      </c>
      <c r="B170" t="s">
        <v>93</v>
      </c>
      <c r="C170" t="s">
        <v>138</v>
      </c>
      <c r="D170" t="s">
        <v>143</v>
      </c>
      <c r="E170" t="s">
        <v>69</v>
      </c>
      <c r="F170" s="1">
        <v>9.7709490740740743E-4</v>
      </c>
      <c r="G170" s="37">
        <v>2.21</v>
      </c>
      <c r="H170">
        <v>2.86</v>
      </c>
      <c r="I170" s="37">
        <v>0.97</v>
      </c>
      <c r="J170">
        <f t="shared" si="2"/>
        <v>2.7742</v>
      </c>
    </row>
    <row r="171" spans="1:10" x14ac:dyDescent="0.3">
      <c r="A171" t="s">
        <v>3</v>
      </c>
      <c r="B171" t="s">
        <v>93</v>
      </c>
      <c r="C171" t="s">
        <v>138</v>
      </c>
      <c r="D171" t="s">
        <v>143</v>
      </c>
      <c r="E171" t="s">
        <v>70</v>
      </c>
      <c r="F171" s="1">
        <v>9.7622685185185193E-4</v>
      </c>
      <c r="G171" s="37">
        <v>2.19</v>
      </c>
      <c r="H171">
        <v>2.83</v>
      </c>
      <c r="I171" s="37">
        <v>0.97</v>
      </c>
      <c r="J171">
        <f t="shared" si="2"/>
        <v>2.7450999999999999</v>
      </c>
    </row>
    <row r="172" spans="1:10" x14ac:dyDescent="0.3">
      <c r="A172" t="s">
        <v>3</v>
      </c>
      <c r="B172" t="s">
        <v>93</v>
      </c>
      <c r="C172" t="s">
        <v>138</v>
      </c>
      <c r="D172" t="s">
        <v>143</v>
      </c>
      <c r="E172" t="s">
        <v>71</v>
      </c>
      <c r="F172" s="1">
        <v>9.7668981481481478E-4</v>
      </c>
      <c r="G172" s="37">
        <v>2.1800000000000002</v>
      </c>
      <c r="H172">
        <v>2.82</v>
      </c>
      <c r="I172" s="37">
        <v>0.97</v>
      </c>
      <c r="J172">
        <f t="shared" si="2"/>
        <v>2.7353999999999998</v>
      </c>
    </row>
    <row r="173" spans="1:10" x14ac:dyDescent="0.3">
      <c r="A173" t="s">
        <v>3</v>
      </c>
      <c r="B173" t="s">
        <v>81</v>
      </c>
      <c r="C173" t="s">
        <v>138</v>
      </c>
      <c r="D173" t="s">
        <v>144</v>
      </c>
      <c r="E173" t="s">
        <v>9</v>
      </c>
      <c r="F173" s="1">
        <v>9.8789351851851859E-4</v>
      </c>
      <c r="G173" s="37">
        <v>2.06</v>
      </c>
      <c r="H173">
        <v>2.67</v>
      </c>
      <c r="I173" s="37">
        <v>0.96599999999999997</v>
      </c>
      <c r="J173">
        <f t="shared" si="2"/>
        <v>2.5792199999999998</v>
      </c>
    </row>
    <row r="174" spans="1:10" x14ac:dyDescent="0.3">
      <c r="A174" t="s">
        <v>3</v>
      </c>
      <c r="B174" t="s">
        <v>81</v>
      </c>
      <c r="C174" t="s">
        <v>138</v>
      </c>
      <c r="D174" t="s">
        <v>144</v>
      </c>
      <c r="E174" t="s">
        <v>10</v>
      </c>
      <c r="F174" s="1">
        <v>9.8453703703703702E-4</v>
      </c>
      <c r="G174" s="37">
        <v>2.0699999999999998</v>
      </c>
      <c r="H174">
        <v>2.67</v>
      </c>
      <c r="I174" s="37">
        <v>0.96599999999999997</v>
      </c>
      <c r="J174">
        <f t="shared" si="2"/>
        <v>2.5792199999999998</v>
      </c>
    </row>
    <row r="175" spans="1:10" x14ac:dyDescent="0.3">
      <c r="A175" t="s">
        <v>3</v>
      </c>
      <c r="B175" t="s">
        <v>81</v>
      </c>
      <c r="C175" t="s">
        <v>138</v>
      </c>
      <c r="D175" t="s">
        <v>144</v>
      </c>
      <c r="E175" t="s">
        <v>15</v>
      </c>
      <c r="F175" s="1">
        <v>9.7667824074074085E-4</v>
      </c>
      <c r="G175" s="37">
        <v>2.15</v>
      </c>
      <c r="H175">
        <v>2.78</v>
      </c>
      <c r="I175" s="37">
        <v>0.96599999999999997</v>
      </c>
      <c r="J175">
        <f t="shared" si="2"/>
        <v>2.6854799999999996</v>
      </c>
    </row>
    <row r="176" spans="1:10" x14ac:dyDescent="0.3">
      <c r="A176" t="s">
        <v>3</v>
      </c>
      <c r="B176" t="s">
        <v>81</v>
      </c>
      <c r="C176" t="s">
        <v>138</v>
      </c>
      <c r="D176" t="s">
        <v>144</v>
      </c>
      <c r="E176" t="s">
        <v>16</v>
      </c>
      <c r="F176" s="1">
        <v>9.7493055555555571E-4</v>
      </c>
      <c r="G176" s="37">
        <v>2.17</v>
      </c>
      <c r="H176">
        <v>2.81</v>
      </c>
      <c r="I176" s="37">
        <v>0.96599999999999997</v>
      </c>
      <c r="J176">
        <f t="shared" si="2"/>
        <v>2.7144599999999999</v>
      </c>
    </row>
    <row r="177" spans="1:10" x14ac:dyDescent="0.3">
      <c r="A177" t="s">
        <v>3</v>
      </c>
      <c r="B177" t="s">
        <v>81</v>
      </c>
      <c r="C177" t="s">
        <v>138</v>
      </c>
      <c r="D177" t="s">
        <v>144</v>
      </c>
      <c r="E177" t="s">
        <v>17</v>
      </c>
      <c r="F177" s="1">
        <v>9.7446759259259264E-4</v>
      </c>
      <c r="G177" s="37">
        <v>2.21</v>
      </c>
      <c r="H177">
        <v>2.87</v>
      </c>
      <c r="I177" s="37">
        <v>0.96599999999999997</v>
      </c>
      <c r="J177">
        <f t="shared" si="2"/>
        <v>2.7724199999999999</v>
      </c>
    </row>
    <row r="178" spans="1:10" x14ac:dyDescent="0.3">
      <c r="A178" t="s">
        <v>3</v>
      </c>
      <c r="B178" t="s">
        <v>81</v>
      </c>
      <c r="C178" t="s">
        <v>138</v>
      </c>
      <c r="D178" t="s">
        <v>144</v>
      </c>
      <c r="E178" t="s">
        <v>18</v>
      </c>
      <c r="F178" s="1">
        <v>9.7541666666666664E-4</v>
      </c>
      <c r="G178" s="37">
        <v>2.2599999999999998</v>
      </c>
      <c r="H178">
        <v>2.92</v>
      </c>
      <c r="I178" s="37">
        <v>0.96599999999999997</v>
      </c>
      <c r="J178">
        <f t="shared" si="2"/>
        <v>2.8207199999999997</v>
      </c>
    </row>
    <row r="179" spans="1:10" x14ac:dyDescent="0.3">
      <c r="A179" t="s">
        <v>3</v>
      </c>
      <c r="B179" t="s">
        <v>81</v>
      </c>
      <c r="C179" t="s">
        <v>138</v>
      </c>
      <c r="D179" t="s">
        <v>144</v>
      </c>
      <c r="E179" t="s">
        <v>19</v>
      </c>
      <c r="F179" s="1">
        <v>9.7464120370370369E-4</v>
      </c>
      <c r="G179" s="37">
        <v>2.25</v>
      </c>
      <c r="H179">
        <v>2.9</v>
      </c>
      <c r="I179" s="37">
        <v>0.96599999999999997</v>
      </c>
      <c r="J179">
        <f t="shared" si="2"/>
        <v>2.8013999999999997</v>
      </c>
    </row>
    <row r="180" spans="1:10" x14ac:dyDescent="0.3">
      <c r="A180" t="s">
        <v>3</v>
      </c>
      <c r="B180" t="s">
        <v>81</v>
      </c>
      <c r="C180" t="s">
        <v>138</v>
      </c>
      <c r="D180" t="s">
        <v>144</v>
      </c>
      <c r="E180" t="s">
        <v>45</v>
      </c>
      <c r="F180" s="1">
        <v>9.7688657407407403E-4</v>
      </c>
      <c r="G180" s="37">
        <v>2.23</v>
      </c>
      <c r="H180">
        <v>2.88</v>
      </c>
      <c r="I180" s="37">
        <v>0.96599999999999997</v>
      </c>
      <c r="J180">
        <f t="shared" si="2"/>
        <v>2.7820799999999997</v>
      </c>
    </row>
    <row r="181" spans="1:10" x14ac:dyDescent="0.3">
      <c r="A181" t="s">
        <v>3</v>
      </c>
      <c r="B181" t="s">
        <v>81</v>
      </c>
      <c r="C181" t="s">
        <v>138</v>
      </c>
      <c r="D181" t="s">
        <v>144</v>
      </c>
      <c r="E181" t="s">
        <v>46</v>
      </c>
      <c r="F181" s="1">
        <v>9.7870370370370364E-4</v>
      </c>
      <c r="G181" s="37">
        <v>2.2200000000000002</v>
      </c>
      <c r="H181">
        <v>2.87</v>
      </c>
      <c r="I181" s="37">
        <v>0.96599999999999997</v>
      </c>
      <c r="J181">
        <f t="shared" si="2"/>
        <v>2.7724199999999999</v>
      </c>
    </row>
    <row r="182" spans="1:10" x14ac:dyDescent="0.3">
      <c r="A182" t="s">
        <v>3</v>
      </c>
      <c r="B182" t="s">
        <v>81</v>
      </c>
      <c r="C182" t="s">
        <v>138</v>
      </c>
      <c r="D182" t="s">
        <v>144</v>
      </c>
      <c r="E182" t="s">
        <v>47</v>
      </c>
      <c r="F182" s="1">
        <v>9.8482638888888882E-4</v>
      </c>
      <c r="G182" s="37">
        <v>2.1800000000000002</v>
      </c>
      <c r="H182">
        <v>2.81</v>
      </c>
      <c r="I182" s="37">
        <v>0.96599999999999997</v>
      </c>
      <c r="J182">
        <f t="shared" si="2"/>
        <v>2.7144599999999999</v>
      </c>
    </row>
    <row r="183" spans="1:10" x14ac:dyDescent="0.3">
      <c r="A183" t="s">
        <v>3</v>
      </c>
      <c r="B183" t="s">
        <v>81</v>
      </c>
      <c r="C183" t="s">
        <v>138</v>
      </c>
      <c r="D183" t="s">
        <v>144</v>
      </c>
      <c r="E183" t="s">
        <v>49</v>
      </c>
      <c r="F183" s="1">
        <v>9.6260416666666662E-4</v>
      </c>
      <c r="G183" s="37">
        <v>2.2799999999999998</v>
      </c>
      <c r="H183">
        <v>2.94</v>
      </c>
      <c r="I183" s="37">
        <v>0.96599999999999997</v>
      </c>
      <c r="J183">
        <f t="shared" si="2"/>
        <v>2.8400399999999997</v>
      </c>
    </row>
    <row r="184" spans="1:10" x14ac:dyDescent="0.3">
      <c r="A184" t="s">
        <v>3</v>
      </c>
      <c r="B184" t="s">
        <v>81</v>
      </c>
      <c r="C184" t="s">
        <v>138</v>
      </c>
      <c r="D184" t="s">
        <v>144</v>
      </c>
      <c r="E184" t="s">
        <v>50</v>
      </c>
      <c r="F184" s="1">
        <v>9.650462962962962E-4</v>
      </c>
      <c r="G184" s="37">
        <v>2.25</v>
      </c>
      <c r="H184">
        <v>2.89</v>
      </c>
      <c r="I184" s="37">
        <v>0.96599999999999997</v>
      </c>
      <c r="J184">
        <f t="shared" si="2"/>
        <v>2.7917399999999999</v>
      </c>
    </row>
    <row r="185" spans="1:10" x14ac:dyDescent="0.3">
      <c r="A185" t="s">
        <v>3</v>
      </c>
      <c r="B185" t="s">
        <v>81</v>
      </c>
      <c r="C185" t="s">
        <v>138</v>
      </c>
      <c r="D185" t="s">
        <v>144</v>
      </c>
      <c r="E185" t="s">
        <v>51</v>
      </c>
      <c r="F185" s="1">
        <v>9.6642361111111104E-4</v>
      </c>
      <c r="G185" s="37">
        <v>2.2599999999999998</v>
      </c>
      <c r="H185">
        <v>2.92</v>
      </c>
      <c r="I185" s="37">
        <v>0.96599999999999997</v>
      </c>
      <c r="J185">
        <f t="shared" si="2"/>
        <v>2.8207199999999997</v>
      </c>
    </row>
    <row r="186" spans="1:10" x14ac:dyDescent="0.3">
      <c r="A186" t="s">
        <v>3</v>
      </c>
      <c r="B186" t="s">
        <v>81</v>
      </c>
      <c r="C186" t="s">
        <v>138</v>
      </c>
      <c r="D186" t="s">
        <v>144</v>
      </c>
      <c r="E186" t="s">
        <v>52</v>
      </c>
      <c r="F186" s="1">
        <v>9.6543981481481481E-4</v>
      </c>
      <c r="G186" s="37">
        <v>2.25</v>
      </c>
      <c r="H186">
        <v>2.89</v>
      </c>
      <c r="I186" s="37">
        <v>0.96599999999999997</v>
      </c>
      <c r="J186">
        <f t="shared" si="2"/>
        <v>2.7917399999999999</v>
      </c>
    </row>
    <row r="187" spans="1:10" x14ac:dyDescent="0.3">
      <c r="A187" t="s">
        <v>3</v>
      </c>
      <c r="B187" t="s">
        <v>81</v>
      </c>
      <c r="C187" t="s">
        <v>138</v>
      </c>
      <c r="D187" t="s">
        <v>144</v>
      </c>
      <c r="E187" t="s">
        <v>53</v>
      </c>
      <c r="F187" s="1">
        <v>9.6469907407407398E-4</v>
      </c>
      <c r="G187" s="37">
        <v>2.2400000000000002</v>
      </c>
      <c r="H187">
        <v>2.89</v>
      </c>
      <c r="I187" s="37">
        <v>0.96599999999999997</v>
      </c>
      <c r="J187">
        <f t="shared" si="2"/>
        <v>2.7917399999999999</v>
      </c>
    </row>
    <row r="188" spans="1:10" x14ac:dyDescent="0.3">
      <c r="A188" t="s">
        <v>3</v>
      </c>
      <c r="B188" t="s">
        <v>81</v>
      </c>
      <c r="C188" t="s">
        <v>138</v>
      </c>
      <c r="D188" t="s">
        <v>144</v>
      </c>
      <c r="E188" t="s">
        <v>54</v>
      </c>
      <c r="F188" s="1">
        <v>9.6630787037037041E-4</v>
      </c>
      <c r="G188" s="37">
        <v>2.23</v>
      </c>
      <c r="H188">
        <v>2.88</v>
      </c>
      <c r="I188" s="37">
        <v>0.96599999999999997</v>
      </c>
      <c r="J188">
        <f t="shared" si="2"/>
        <v>2.7820799999999997</v>
      </c>
    </row>
    <row r="189" spans="1:10" x14ac:dyDescent="0.3">
      <c r="A189" t="s">
        <v>3</v>
      </c>
      <c r="B189" t="s">
        <v>81</v>
      </c>
      <c r="C189" t="s">
        <v>138</v>
      </c>
      <c r="D189" t="s">
        <v>144</v>
      </c>
      <c r="E189" t="s">
        <v>55</v>
      </c>
      <c r="F189" s="1">
        <v>9.6726851851851856E-4</v>
      </c>
      <c r="G189" s="37">
        <v>2.2400000000000002</v>
      </c>
      <c r="H189">
        <v>2.89</v>
      </c>
      <c r="I189" s="37">
        <v>0.96599999999999997</v>
      </c>
      <c r="J189">
        <f t="shared" si="2"/>
        <v>2.7917399999999999</v>
      </c>
    </row>
    <row r="190" spans="1:10" x14ac:dyDescent="0.3">
      <c r="A190" t="s">
        <v>3</v>
      </c>
      <c r="B190" t="s">
        <v>81</v>
      </c>
      <c r="C190" t="s">
        <v>138</v>
      </c>
      <c r="D190" t="s">
        <v>144</v>
      </c>
      <c r="E190" t="s">
        <v>56</v>
      </c>
      <c r="F190" s="1">
        <v>9.6935185185185178E-4</v>
      </c>
      <c r="G190" s="37">
        <v>2.23</v>
      </c>
      <c r="H190">
        <v>2.88</v>
      </c>
      <c r="I190" s="37">
        <v>0.96599999999999997</v>
      </c>
      <c r="J190">
        <f t="shared" si="2"/>
        <v>2.7820799999999997</v>
      </c>
    </row>
    <row r="191" spans="1:10" x14ac:dyDescent="0.3">
      <c r="A191" t="s">
        <v>3</v>
      </c>
      <c r="B191" t="s">
        <v>81</v>
      </c>
      <c r="C191" t="s">
        <v>138</v>
      </c>
      <c r="D191" t="s">
        <v>144</v>
      </c>
      <c r="E191" t="s">
        <v>57</v>
      </c>
      <c r="F191" s="1">
        <v>9.6837962962962969E-4</v>
      </c>
      <c r="G191" s="37">
        <v>2.2400000000000002</v>
      </c>
      <c r="H191">
        <v>2.88</v>
      </c>
      <c r="I191" s="37">
        <v>0.96599999999999997</v>
      </c>
      <c r="J191">
        <f t="shared" si="2"/>
        <v>2.7820799999999997</v>
      </c>
    </row>
    <row r="192" spans="1:10" x14ac:dyDescent="0.3">
      <c r="A192" t="s">
        <v>3</v>
      </c>
      <c r="B192" t="s">
        <v>81</v>
      </c>
      <c r="C192" t="s">
        <v>138</v>
      </c>
      <c r="D192" t="s">
        <v>144</v>
      </c>
      <c r="E192" t="s">
        <v>58</v>
      </c>
      <c r="F192" s="1">
        <v>9.6876157407407403E-4</v>
      </c>
      <c r="G192" s="37">
        <v>2.19</v>
      </c>
      <c r="H192">
        <v>2.84</v>
      </c>
      <c r="I192" s="37">
        <v>0.96599999999999997</v>
      </c>
      <c r="J192">
        <f t="shared" si="2"/>
        <v>2.7434399999999997</v>
      </c>
    </row>
    <row r="193" spans="1:10" x14ac:dyDescent="0.3">
      <c r="A193" t="s">
        <v>3</v>
      </c>
      <c r="B193" t="s">
        <v>81</v>
      </c>
      <c r="C193" t="s">
        <v>138</v>
      </c>
      <c r="D193" t="s">
        <v>144</v>
      </c>
      <c r="E193" t="s">
        <v>72</v>
      </c>
      <c r="F193" s="1">
        <v>9.7401620370370372E-4</v>
      </c>
      <c r="G193" s="37">
        <v>2.16</v>
      </c>
      <c r="H193">
        <v>2.8</v>
      </c>
      <c r="I193" s="37">
        <v>0.96599999999999997</v>
      </c>
      <c r="J193">
        <f t="shared" si="2"/>
        <v>2.7047999999999996</v>
      </c>
    </row>
    <row r="194" spans="1:10" x14ac:dyDescent="0.3">
      <c r="A194" t="s">
        <v>3</v>
      </c>
      <c r="B194" t="s">
        <v>81</v>
      </c>
      <c r="C194" t="s">
        <v>138</v>
      </c>
      <c r="D194" t="s">
        <v>144</v>
      </c>
      <c r="E194" t="s">
        <v>59</v>
      </c>
      <c r="F194" s="1">
        <v>9.734837962962964E-4</v>
      </c>
      <c r="G194" s="37">
        <v>2.13</v>
      </c>
      <c r="H194">
        <v>2.76</v>
      </c>
      <c r="I194" s="37">
        <v>0.96599999999999997</v>
      </c>
      <c r="J194">
        <f t="shared" si="2"/>
        <v>2.6661599999999996</v>
      </c>
    </row>
    <row r="195" spans="1:10" x14ac:dyDescent="0.3">
      <c r="A195" t="s">
        <v>3</v>
      </c>
      <c r="B195" t="s">
        <v>81</v>
      </c>
      <c r="C195" t="s">
        <v>138</v>
      </c>
      <c r="D195" t="s">
        <v>144</v>
      </c>
      <c r="E195" t="s">
        <v>60</v>
      </c>
      <c r="F195" s="1">
        <v>9.835069444444444E-4</v>
      </c>
      <c r="G195" s="37">
        <v>2.0699999999999998</v>
      </c>
      <c r="H195">
        <v>2.68</v>
      </c>
      <c r="I195" s="37">
        <v>0.96599999999999997</v>
      </c>
      <c r="J195">
        <f t="shared" si="2"/>
        <v>2.5888800000000001</v>
      </c>
    </row>
    <row r="196" spans="1:10" x14ac:dyDescent="0.3">
      <c r="A196" t="s">
        <v>3</v>
      </c>
      <c r="B196" t="s">
        <v>81</v>
      </c>
      <c r="C196" t="s">
        <v>138</v>
      </c>
      <c r="D196" t="s">
        <v>144</v>
      </c>
      <c r="E196" t="s">
        <v>61</v>
      </c>
      <c r="F196" s="1">
        <v>9.919444444444446E-4</v>
      </c>
      <c r="G196" s="37">
        <v>2.09</v>
      </c>
      <c r="H196">
        <v>2.73</v>
      </c>
      <c r="I196" s="37">
        <v>0.96599999999999997</v>
      </c>
      <c r="J196">
        <f t="shared" ref="J196:J259" si="3">H196*I196</f>
        <v>2.6371799999999999</v>
      </c>
    </row>
    <row r="197" spans="1:10" x14ac:dyDescent="0.3">
      <c r="A197" t="s">
        <v>3</v>
      </c>
      <c r="B197" t="s">
        <v>81</v>
      </c>
      <c r="C197" t="s">
        <v>138</v>
      </c>
      <c r="D197" t="s">
        <v>144</v>
      </c>
      <c r="E197" t="s">
        <v>62</v>
      </c>
      <c r="F197" s="1">
        <v>9.9703703703703716E-4</v>
      </c>
      <c r="G197" s="37">
        <v>2.16</v>
      </c>
      <c r="H197">
        <v>2.81</v>
      </c>
      <c r="I197" s="37">
        <v>0.96599999999999997</v>
      </c>
      <c r="J197">
        <f t="shared" si="3"/>
        <v>2.7144599999999999</v>
      </c>
    </row>
    <row r="198" spans="1:10" x14ac:dyDescent="0.3">
      <c r="A198" t="s">
        <v>3</v>
      </c>
      <c r="B198" t="s">
        <v>81</v>
      </c>
      <c r="C198" t="s">
        <v>138</v>
      </c>
      <c r="D198" t="s">
        <v>144</v>
      </c>
      <c r="E198" t="s">
        <v>63</v>
      </c>
      <c r="F198" s="1">
        <v>9.8138888888888885E-4</v>
      </c>
      <c r="G198" s="37">
        <v>2.15</v>
      </c>
      <c r="H198">
        <v>2.79</v>
      </c>
      <c r="I198" s="37">
        <v>0.96599999999999997</v>
      </c>
      <c r="J198">
        <f t="shared" si="3"/>
        <v>2.6951399999999999</v>
      </c>
    </row>
    <row r="199" spans="1:10" x14ac:dyDescent="0.3">
      <c r="A199" t="s">
        <v>3</v>
      </c>
      <c r="B199" t="s">
        <v>81</v>
      </c>
      <c r="C199" t="s">
        <v>138</v>
      </c>
      <c r="D199" t="s">
        <v>144</v>
      </c>
      <c r="E199" t="s">
        <v>64</v>
      </c>
      <c r="F199" s="1">
        <v>9.7523148148148154E-4</v>
      </c>
      <c r="G199" s="37">
        <v>2.16</v>
      </c>
      <c r="H199">
        <v>2.8</v>
      </c>
      <c r="I199" s="37">
        <v>0.96599999999999997</v>
      </c>
      <c r="J199">
        <f t="shared" si="3"/>
        <v>2.7047999999999996</v>
      </c>
    </row>
    <row r="200" spans="1:10" x14ac:dyDescent="0.3">
      <c r="A200" t="s">
        <v>3</v>
      </c>
      <c r="B200" t="s">
        <v>81</v>
      </c>
      <c r="C200" t="s">
        <v>138</v>
      </c>
      <c r="D200" t="s">
        <v>144</v>
      </c>
      <c r="E200" t="s">
        <v>65</v>
      </c>
      <c r="F200" s="1">
        <v>9.767476851851851E-4</v>
      </c>
      <c r="G200" s="37">
        <v>2.16</v>
      </c>
      <c r="H200">
        <v>2.8</v>
      </c>
      <c r="I200" s="37">
        <v>0.96599999999999997</v>
      </c>
      <c r="J200">
        <f t="shared" si="3"/>
        <v>2.7047999999999996</v>
      </c>
    </row>
    <row r="201" spans="1:10" x14ac:dyDescent="0.3">
      <c r="A201" t="s">
        <v>3</v>
      </c>
      <c r="B201" t="s">
        <v>81</v>
      </c>
      <c r="C201" t="s">
        <v>138</v>
      </c>
      <c r="D201" t="s">
        <v>144</v>
      </c>
      <c r="E201" t="s">
        <v>66</v>
      </c>
      <c r="F201" s="1">
        <v>9.7662037037037032E-4</v>
      </c>
      <c r="G201" s="37">
        <v>2.16</v>
      </c>
      <c r="H201">
        <v>2.79</v>
      </c>
      <c r="I201" s="37">
        <v>0.96599999999999997</v>
      </c>
      <c r="J201">
        <f t="shared" si="3"/>
        <v>2.6951399999999999</v>
      </c>
    </row>
    <row r="202" spans="1:10" x14ac:dyDescent="0.3">
      <c r="A202" t="s">
        <v>3</v>
      </c>
      <c r="B202" t="s">
        <v>81</v>
      </c>
      <c r="C202" t="s">
        <v>138</v>
      </c>
      <c r="D202" t="s">
        <v>144</v>
      </c>
      <c r="E202" t="s">
        <v>67</v>
      </c>
      <c r="F202" s="1">
        <v>9.7568287037037046E-4</v>
      </c>
      <c r="G202" s="37">
        <v>2.17</v>
      </c>
      <c r="H202">
        <v>2.81</v>
      </c>
      <c r="I202" s="37">
        <v>0.96599999999999997</v>
      </c>
      <c r="J202">
        <f t="shared" si="3"/>
        <v>2.7144599999999999</v>
      </c>
    </row>
    <row r="203" spans="1:10" x14ac:dyDescent="0.3">
      <c r="A203" t="s">
        <v>3</v>
      </c>
      <c r="B203" t="s">
        <v>81</v>
      </c>
      <c r="C203" t="s">
        <v>138</v>
      </c>
      <c r="D203" t="s">
        <v>144</v>
      </c>
      <c r="E203" t="s">
        <v>68</v>
      </c>
      <c r="F203" s="1">
        <v>9.7603009259259268E-4</v>
      </c>
      <c r="G203" s="37">
        <v>2.16</v>
      </c>
      <c r="H203">
        <v>2.8</v>
      </c>
      <c r="I203" s="37">
        <v>0.96599999999999997</v>
      </c>
      <c r="J203">
        <f t="shared" si="3"/>
        <v>2.7047999999999996</v>
      </c>
    </row>
    <row r="204" spans="1:10" x14ac:dyDescent="0.3">
      <c r="A204" t="s">
        <v>3</v>
      </c>
      <c r="B204" t="s">
        <v>81</v>
      </c>
      <c r="C204" t="s">
        <v>138</v>
      </c>
      <c r="D204" t="s">
        <v>144</v>
      </c>
      <c r="E204" t="s">
        <v>69</v>
      </c>
      <c r="F204" s="1">
        <v>9.767476851851851E-4</v>
      </c>
      <c r="G204" s="37">
        <v>2.15</v>
      </c>
      <c r="H204">
        <v>2.8</v>
      </c>
      <c r="I204" s="37">
        <v>0.96599999999999997</v>
      </c>
      <c r="J204">
        <f t="shared" si="3"/>
        <v>2.7047999999999996</v>
      </c>
    </row>
    <row r="205" spans="1:10" x14ac:dyDescent="0.3">
      <c r="A205" t="s">
        <v>3</v>
      </c>
      <c r="B205" t="s">
        <v>81</v>
      </c>
      <c r="C205" t="s">
        <v>138</v>
      </c>
      <c r="D205" t="s">
        <v>144</v>
      </c>
      <c r="E205" t="s">
        <v>70</v>
      </c>
      <c r="F205" s="1">
        <v>9.8105324074074089E-4</v>
      </c>
      <c r="G205" s="37">
        <v>2.16</v>
      </c>
      <c r="H205">
        <v>2.8</v>
      </c>
      <c r="I205" s="37">
        <v>0.96599999999999997</v>
      </c>
      <c r="J205">
        <f t="shared" si="3"/>
        <v>2.7047999999999996</v>
      </c>
    </row>
    <row r="206" spans="1:10" x14ac:dyDescent="0.3">
      <c r="A206" t="s">
        <v>3</v>
      </c>
      <c r="B206" t="s">
        <v>81</v>
      </c>
      <c r="C206" t="s">
        <v>138</v>
      </c>
      <c r="D206" t="s">
        <v>144</v>
      </c>
      <c r="E206" t="s">
        <v>71</v>
      </c>
      <c r="F206" s="1">
        <v>9.7857638888888907E-4</v>
      </c>
      <c r="G206" s="37">
        <v>2.13</v>
      </c>
      <c r="H206">
        <v>2.77</v>
      </c>
      <c r="I206" s="37">
        <v>0.96599999999999997</v>
      </c>
      <c r="J206">
        <f t="shared" si="3"/>
        <v>2.6758199999999999</v>
      </c>
    </row>
    <row r="207" spans="1:10" x14ac:dyDescent="0.3">
      <c r="A207" t="s">
        <v>3</v>
      </c>
      <c r="B207" t="s">
        <v>11</v>
      </c>
      <c r="C207" t="s">
        <v>138</v>
      </c>
      <c r="D207" t="s">
        <v>145</v>
      </c>
      <c r="E207" t="s">
        <v>9</v>
      </c>
      <c r="F207" s="1">
        <v>1.0054398148148149E-3</v>
      </c>
      <c r="G207" s="37">
        <v>2.17</v>
      </c>
      <c r="H207">
        <v>2.78</v>
      </c>
      <c r="I207" s="37">
        <v>0.97499999999999998</v>
      </c>
      <c r="J207">
        <f t="shared" si="3"/>
        <v>2.7104999999999997</v>
      </c>
    </row>
    <row r="208" spans="1:10" x14ac:dyDescent="0.3">
      <c r="A208" t="s">
        <v>3</v>
      </c>
      <c r="B208" t="s">
        <v>11</v>
      </c>
      <c r="C208" t="s">
        <v>138</v>
      </c>
      <c r="D208" t="s">
        <v>145</v>
      </c>
      <c r="E208" t="s">
        <v>10</v>
      </c>
      <c r="F208" s="1">
        <v>9.7847222222222216E-4</v>
      </c>
      <c r="G208" s="37">
        <v>2.16</v>
      </c>
      <c r="H208">
        <v>2.77</v>
      </c>
      <c r="I208" s="37">
        <v>0.97499999999999998</v>
      </c>
      <c r="J208">
        <f t="shared" si="3"/>
        <v>2.7007499999999998</v>
      </c>
    </row>
    <row r="209" spans="1:10" x14ac:dyDescent="0.3">
      <c r="A209" t="s">
        <v>3</v>
      </c>
      <c r="B209" t="s">
        <v>11</v>
      </c>
      <c r="C209" t="s">
        <v>138</v>
      </c>
      <c r="D209" t="s">
        <v>145</v>
      </c>
      <c r="E209" t="s">
        <v>15</v>
      </c>
      <c r="F209" s="1">
        <v>9.8913194444444439E-4</v>
      </c>
      <c r="G209" s="37">
        <v>2.16</v>
      </c>
      <c r="H209">
        <v>2.77</v>
      </c>
      <c r="I209" s="37">
        <v>0.97499999999999998</v>
      </c>
      <c r="J209">
        <f t="shared" si="3"/>
        <v>2.7007499999999998</v>
      </c>
    </row>
    <row r="210" spans="1:10" x14ac:dyDescent="0.3">
      <c r="A210" t="s">
        <v>3</v>
      </c>
      <c r="B210" t="s">
        <v>11</v>
      </c>
      <c r="C210" t="s">
        <v>138</v>
      </c>
      <c r="D210" t="s">
        <v>145</v>
      </c>
      <c r="E210" t="s">
        <v>16</v>
      </c>
      <c r="F210" s="1">
        <v>9.7349537037037033E-4</v>
      </c>
      <c r="G210" s="37">
        <v>2.19</v>
      </c>
      <c r="H210">
        <v>2.8</v>
      </c>
      <c r="I210" s="37">
        <v>0.97499999999999998</v>
      </c>
      <c r="J210">
        <f t="shared" si="3"/>
        <v>2.73</v>
      </c>
    </row>
    <row r="211" spans="1:10" x14ac:dyDescent="0.3">
      <c r="A211" t="s">
        <v>3</v>
      </c>
      <c r="B211" t="s">
        <v>11</v>
      </c>
      <c r="C211" t="s">
        <v>138</v>
      </c>
      <c r="D211" t="s">
        <v>145</v>
      </c>
      <c r="E211" t="s">
        <v>17</v>
      </c>
      <c r="F211" s="1">
        <v>9.7310185185185173E-4</v>
      </c>
      <c r="G211" s="37">
        <v>2.19</v>
      </c>
      <c r="H211">
        <v>2.81</v>
      </c>
      <c r="I211" s="37">
        <v>0.97499999999999998</v>
      </c>
      <c r="J211">
        <f t="shared" si="3"/>
        <v>2.7397499999999999</v>
      </c>
    </row>
    <row r="212" spans="1:10" x14ac:dyDescent="0.3">
      <c r="A212" t="s">
        <v>3</v>
      </c>
      <c r="B212" t="s">
        <v>11</v>
      </c>
      <c r="C212" t="s">
        <v>138</v>
      </c>
      <c r="D212" t="s">
        <v>145</v>
      </c>
      <c r="E212" t="s">
        <v>18</v>
      </c>
      <c r="F212" s="1">
        <v>9.8015046296296305E-4</v>
      </c>
      <c r="G212" s="37">
        <v>2.16</v>
      </c>
      <c r="H212">
        <v>2.77</v>
      </c>
      <c r="I212" s="37">
        <v>0.97499999999999998</v>
      </c>
      <c r="J212">
        <f t="shared" si="3"/>
        <v>2.7007499999999998</v>
      </c>
    </row>
    <row r="213" spans="1:10" x14ac:dyDescent="0.3">
      <c r="A213" t="s">
        <v>3</v>
      </c>
      <c r="B213" t="s">
        <v>11</v>
      </c>
      <c r="C213" t="s">
        <v>138</v>
      </c>
      <c r="D213" t="s">
        <v>145</v>
      </c>
      <c r="E213" t="s">
        <v>19</v>
      </c>
      <c r="F213" s="1">
        <v>9.835300925925927E-4</v>
      </c>
      <c r="G213" s="37">
        <v>2.19</v>
      </c>
      <c r="H213">
        <v>2.81</v>
      </c>
      <c r="I213" s="37">
        <v>0.97499999999999998</v>
      </c>
      <c r="J213">
        <f t="shared" si="3"/>
        <v>2.7397499999999999</v>
      </c>
    </row>
    <row r="214" spans="1:10" x14ac:dyDescent="0.3">
      <c r="A214" t="s">
        <v>3</v>
      </c>
      <c r="B214" t="s">
        <v>11</v>
      </c>
      <c r="C214" t="s">
        <v>138</v>
      </c>
      <c r="D214" t="s">
        <v>145</v>
      </c>
      <c r="E214" t="s">
        <v>45</v>
      </c>
      <c r="F214" s="1">
        <v>9.8002314814814827E-4</v>
      </c>
      <c r="G214" s="37">
        <v>2.23</v>
      </c>
      <c r="H214">
        <v>2.87</v>
      </c>
      <c r="I214" s="37">
        <v>0.97499999999999998</v>
      </c>
      <c r="J214">
        <f t="shared" si="3"/>
        <v>2.7982499999999999</v>
      </c>
    </row>
    <row r="215" spans="1:10" x14ac:dyDescent="0.3">
      <c r="A215" t="s">
        <v>3</v>
      </c>
      <c r="B215" t="s">
        <v>11</v>
      </c>
      <c r="C215" t="s">
        <v>138</v>
      </c>
      <c r="D215" t="s">
        <v>145</v>
      </c>
      <c r="E215" t="s">
        <v>46</v>
      </c>
      <c r="F215" s="1">
        <v>9.8098379629629642E-4</v>
      </c>
      <c r="G215" s="37">
        <v>2.25</v>
      </c>
      <c r="H215">
        <v>2.89</v>
      </c>
      <c r="I215" s="37">
        <v>0.97499999999999998</v>
      </c>
      <c r="J215">
        <f t="shared" si="3"/>
        <v>2.8177500000000002</v>
      </c>
    </row>
    <row r="216" spans="1:10" x14ac:dyDescent="0.3">
      <c r="A216" t="s">
        <v>3</v>
      </c>
      <c r="B216" t="s">
        <v>11</v>
      </c>
      <c r="C216" t="s">
        <v>138</v>
      </c>
      <c r="D216" t="s">
        <v>145</v>
      </c>
      <c r="E216" t="s">
        <v>48</v>
      </c>
      <c r="F216" s="1">
        <v>9.7622685185185193E-4</v>
      </c>
      <c r="G216" s="37">
        <v>2.25</v>
      </c>
      <c r="H216">
        <v>2.88</v>
      </c>
      <c r="I216" s="37">
        <v>0.97499999999999998</v>
      </c>
      <c r="J216">
        <f t="shared" si="3"/>
        <v>2.8079999999999998</v>
      </c>
    </row>
    <row r="217" spans="1:10" x14ac:dyDescent="0.3">
      <c r="A217" t="s">
        <v>3</v>
      </c>
      <c r="B217" t="s">
        <v>11</v>
      </c>
      <c r="C217" t="s">
        <v>138</v>
      </c>
      <c r="D217" t="s">
        <v>145</v>
      </c>
      <c r="E217" t="s">
        <v>49</v>
      </c>
      <c r="F217" s="1">
        <v>9.7622685185185193E-4</v>
      </c>
      <c r="G217" s="37">
        <v>2.27</v>
      </c>
      <c r="H217">
        <v>2.9</v>
      </c>
      <c r="I217" s="37">
        <v>0.97499999999999998</v>
      </c>
      <c r="J217">
        <f t="shared" si="3"/>
        <v>2.8274999999999997</v>
      </c>
    </row>
    <row r="218" spans="1:10" x14ac:dyDescent="0.3">
      <c r="A218" t="s">
        <v>3</v>
      </c>
      <c r="B218" t="s">
        <v>11</v>
      </c>
      <c r="C218" t="s">
        <v>138</v>
      </c>
      <c r="D218" t="s">
        <v>145</v>
      </c>
      <c r="E218" t="s">
        <v>50</v>
      </c>
      <c r="F218" s="1">
        <v>9.7546296296296302E-4</v>
      </c>
      <c r="G218" s="37">
        <v>2.27</v>
      </c>
      <c r="H218">
        <v>2.91</v>
      </c>
      <c r="I218" s="37">
        <v>0.97499999999999998</v>
      </c>
      <c r="J218">
        <f t="shared" si="3"/>
        <v>2.83725</v>
      </c>
    </row>
    <row r="219" spans="1:10" x14ac:dyDescent="0.3">
      <c r="A219" t="s">
        <v>3</v>
      </c>
      <c r="B219" t="s">
        <v>11</v>
      </c>
      <c r="C219" t="s">
        <v>138</v>
      </c>
      <c r="D219" t="s">
        <v>145</v>
      </c>
      <c r="E219" t="s">
        <v>51</v>
      </c>
      <c r="F219" s="1">
        <v>9.8259259259259263E-4</v>
      </c>
      <c r="G219" s="37">
        <v>2.2400000000000002</v>
      </c>
      <c r="H219">
        <v>2.86</v>
      </c>
      <c r="I219" s="37">
        <v>0.97499999999999998</v>
      </c>
      <c r="J219">
        <f t="shared" si="3"/>
        <v>2.7885</v>
      </c>
    </row>
    <row r="220" spans="1:10" x14ac:dyDescent="0.3">
      <c r="A220" t="s">
        <v>3</v>
      </c>
      <c r="B220" t="s">
        <v>11</v>
      </c>
      <c r="C220" t="s">
        <v>138</v>
      </c>
      <c r="D220" t="s">
        <v>145</v>
      </c>
      <c r="E220" t="s">
        <v>52</v>
      </c>
      <c r="F220" s="1">
        <v>9.7836805555555567E-4</v>
      </c>
      <c r="G220" s="37">
        <v>2.23</v>
      </c>
      <c r="H220">
        <v>2.87</v>
      </c>
      <c r="I220" s="37">
        <v>0.97499999999999998</v>
      </c>
      <c r="J220">
        <f t="shared" si="3"/>
        <v>2.7982499999999999</v>
      </c>
    </row>
    <row r="221" spans="1:10" x14ac:dyDescent="0.3">
      <c r="A221" t="s">
        <v>3</v>
      </c>
      <c r="B221" t="s">
        <v>11</v>
      </c>
      <c r="C221" t="s">
        <v>138</v>
      </c>
      <c r="D221" t="s">
        <v>145</v>
      </c>
      <c r="E221" t="s">
        <v>53</v>
      </c>
      <c r="F221" s="1">
        <v>9.7557870370370366E-4</v>
      </c>
      <c r="G221" s="37">
        <v>2.23</v>
      </c>
      <c r="H221">
        <v>2.86</v>
      </c>
      <c r="I221" s="37">
        <v>0.97499999999999998</v>
      </c>
      <c r="J221">
        <f t="shared" si="3"/>
        <v>2.7885</v>
      </c>
    </row>
    <row r="222" spans="1:10" x14ac:dyDescent="0.3">
      <c r="A222" t="s">
        <v>3</v>
      </c>
      <c r="B222" t="s">
        <v>11</v>
      </c>
      <c r="C222" t="s">
        <v>138</v>
      </c>
      <c r="D222" t="s">
        <v>145</v>
      </c>
      <c r="E222" t="s">
        <v>54</v>
      </c>
      <c r="F222" s="1">
        <v>9.7964120370370371E-4</v>
      </c>
      <c r="G222" s="37">
        <v>2.2200000000000002</v>
      </c>
      <c r="H222">
        <v>2.85</v>
      </c>
      <c r="I222" s="37">
        <v>0.97499999999999998</v>
      </c>
      <c r="J222">
        <f t="shared" si="3"/>
        <v>2.7787500000000001</v>
      </c>
    </row>
    <row r="223" spans="1:10" x14ac:dyDescent="0.3">
      <c r="A223" t="s">
        <v>3</v>
      </c>
      <c r="B223" t="s">
        <v>11</v>
      </c>
      <c r="C223" t="s">
        <v>138</v>
      </c>
      <c r="D223" t="s">
        <v>145</v>
      </c>
      <c r="E223" t="s">
        <v>55</v>
      </c>
      <c r="F223" s="1">
        <v>9.7957175925925924E-4</v>
      </c>
      <c r="G223" s="37">
        <v>2.23</v>
      </c>
      <c r="H223">
        <v>2.86</v>
      </c>
      <c r="I223" s="37">
        <v>0.97499999999999998</v>
      </c>
      <c r="J223">
        <f t="shared" si="3"/>
        <v>2.7885</v>
      </c>
    </row>
    <row r="224" spans="1:10" x14ac:dyDescent="0.3">
      <c r="A224" t="s">
        <v>3</v>
      </c>
      <c r="B224" t="s">
        <v>11</v>
      </c>
      <c r="C224" t="s">
        <v>138</v>
      </c>
      <c r="D224" t="s">
        <v>145</v>
      </c>
      <c r="E224" t="s">
        <v>56</v>
      </c>
      <c r="F224" s="1">
        <v>9.7636574074074075E-4</v>
      </c>
      <c r="G224" s="37">
        <v>2.23</v>
      </c>
      <c r="H224">
        <v>2.84</v>
      </c>
      <c r="I224" s="37">
        <v>0.97499999999999998</v>
      </c>
      <c r="J224">
        <f t="shared" si="3"/>
        <v>2.7689999999999997</v>
      </c>
    </row>
    <row r="225" spans="1:10" x14ac:dyDescent="0.3">
      <c r="A225" t="s">
        <v>3</v>
      </c>
      <c r="B225" t="s">
        <v>11</v>
      </c>
      <c r="C225" t="s">
        <v>138</v>
      </c>
      <c r="D225" t="s">
        <v>145</v>
      </c>
      <c r="E225" t="s">
        <v>57</v>
      </c>
      <c r="F225" s="1">
        <v>9.7662037037037032E-4</v>
      </c>
      <c r="G225" s="37">
        <v>2.23</v>
      </c>
      <c r="H225">
        <v>2.85</v>
      </c>
      <c r="I225" s="37">
        <v>0.97499999999999998</v>
      </c>
      <c r="J225">
        <f t="shared" si="3"/>
        <v>2.7787500000000001</v>
      </c>
    </row>
    <row r="226" spans="1:10" x14ac:dyDescent="0.3">
      <c r="A226" t="s">
        <v>3</v>
      </c>
      <c r="B226" t="s">
        <v>11</v>
      </c>
      <c r="C226" t="s">
        <v>138</v>
      </c>
      <c r="D226" t="s">
        <v>145</v>
      </c>
      <c r="E226" t="s">
        <v>58</v>
      </c>
      <c r="F226" s="1">
        <v>9.7620370370370363E-4</v>
      </c>
      <c r="G226" s="37">
        <v>2.2400000000000002</v>
      </c>
      <c r="H226">
        <v>2.86</v>
      </c>
      <c r="I226" s="37">
        <v>0.97499999999999998</v>
      </c>
      <c r="J226">
        <f t="shared" si="3"/>
        <v>2.7885</v>
      </c>
    </row>
    <row r="227" spans="1:10" x14ac:dyDescent="0.3">
      <c r="A227" t="s">
        <v>3</v>
      </c>
      <c r="B227" t="s">
        <v>11</v>
      </c>
      <c r="C227" t="s">
        <v>138</v>
      </c>
      <c r="D227" t="s">
        <v>145</v>
      </c>
      <c r="E227" t="s">
        <v>72</v>
      </c>
      <c r="F227" s="1">
        <v>9.7890046296296288E-4</v>
      </c>
      <c r="G227" s="37">
        <v>2.25</v>
      </c>
      <c r="H227">
        <v>2.88</v>
      </c>
      <c r="I227" s="37">
        <v>0.97499999999999998</v>
      </c>
      <c r="J227">
        <f t="shared" si="3"/>
        <v>2.8079999999999998</v>
      </c>
    </row>
    <row r="228" spans="1:10" x14ac:dyDescent="0.3">
      <c r="A228" t="s">
        <v>3</v>
      </c>
      <c r="B228" t="s">
        <v>11</v>
      </c>
      <c r="C228" t="s">
        <v>138</v>
      </c>
      <c r="D228" t="s">
        <v>145</v>
      </c>
      <c r="E228" t="s">
        <v>59</v>
      </c>
      <c r="F228" s="1">
        <v>9.7944444444444446E-4</v>
      </c>
      <c r="G228" s="37">
        <v>2.2200000000000002</v>
      </c>
      <c r="H228">
        <v>2.86</v>
      </c>
      <c r="I228" s="37">
        <v>0.97499999999999998</v>
      </c>
      <c r="J228">
        <f t="shared" si="3"/>
        <v>2.7885</v>
      </c>
    </row>
    <row r="229" spans="1:10" x14ac:dyDescent="0.3">
      <c r="A229" t="s">
        <v>3</v>
      </c>
      <c r="B229" t="s">
        <v>11</v>
      </c>
      <c r="C229" t="s">
        <v>138</v>
      </c>
      <c r="D229" t="s">
        <v>145</v>
      </c>
      <c r="E229" t="s">
        <v>60</v>
      </c>
      <c r="F229" s="1">
        <v>9.7553240740740738E-4</v>
      </c>
      <c r="G229" s="37">
        <v>2.25</v>
      </c>
      <c r="H229">
        <v>2.87</v>
      </c>
      <c r="I229" s="37">
        <v>0.97499999999999998</v>
      </c>
      <c r="J229">
        <f t="shared" si="3"/>
        <v>2.7982499999999999</v>
      </c>
    </row>
    <row r="230" spans="1:10" x14ac:dyDescent="0.3">
      <c r="A230" t="s">
        <v>3</v>
      </c>
      <c r="B230" t="s">
        <v>11</v>
      </c>
      <c r="C230" t="s">
        <v>138</v>
      </c>
      <c r="D230" t="s">
        <v>145</v>
      </c>
      <c r="E230" t="s">
        <v>61</v>
      </c>
      <c r="F230" s="1">
        <v>9.791666666666666E-4</v>
      </c>
      <c r="G230" s="37">
        <v>2.25</v>
      </c>
      <c r="H230">
        <v>2.88</v>
      </c>
      <c r="I230" s="37">
        <v>0.97499999999999998</v>
      </c>
      <c r="J230">
        <f t="shared" si="3"/>
        <v>2.8079999999999998</v>
      </c>
    </row>
    <row r="231" spans="1:10" x14ac:dyDescent="0.3">
      <c r="A231" t="s">
        <v>3</v>
      </c>
      <c r="B231" t="s">
        <v>11</v>
      </c>
      <c r="C231" t="s">
        <v>138</v>
      </c>
      <c r="D231" t="s">
        <v>145</v>
      </c>
      <c r="E231" t="s">
        <v>62</v>
      </c>
      <c r="F231" s="1">
        <v>9.8351851851851855E-4</v>
      </c>
      <c r="G231" s="37">
        <v>2.1800000000000002</v>
      </c>
      <c r="H231">
        <v>2.81</v>
      </c>
      <c r="I231" s="37">
        <v>0.97499999999999998</v>
      </c>
      <c r="J231">
        <f t="shared" si="3"/>
        <v>2.7397499999999999</v>
      </c>
    </row>
    <row r="232" spans="1:10" x14ac:dyDescent="0.3">
      <c r="A232" t="s">
        <v>3</v>
      </c>
      <c r="B232" t="s">
        <v>11</v>
      </c>
      <c r="C232" t="s">
        <v>138</v>
      </c>
      <c r="D232" t="s">
        <v>145</v>
      </c>
      <c r="E232" t="s">
        <v>63</v>
      </c>
      <c r="F232" s="1">
        <v>9.8107638888888897E-4</v>
      </c>
      <c r="G232" s="37">
        <v>2.2200000000000002</v>
      </c>
      <c r="H232">
        <v>2.85</v>
      </c>
      <c r="I232" s="37">
        <v>0.97499999999999998</v>
      </c>
      <c r="J232">
        <f t="shared" si="3"/>
        <v>2.7787500000000001</v>
      </c>
    </row>
    <row r="233" spans="1:10" x14ac:dyDescent="0.3">
      <c r="A233" t="s">
        <v>3</v>
      </c>
      <c r="B233" t="s">
        <v>11</v>
      </c>
      <c r="C233" t="s">
        <v>138</v>
      </c>
      <c r="D233" t="s">
        <v>145</v>
      </c>
      <c r="E233" t="s">
        <v>64</v>
      </c>
      <c r="F233" s="1">
        <v>9.8121527777777768E-4</v>
      </c>
      <c r="G233" s="37">
        <v>2.21</v>
      </c>
      <c r="H233">
        <v>2.85</v>
      </c>
      <c r="I233" s="37">
        <v>0.97499999999999998</v>
      </c>
      <c r="J233">
        <f t="shared" si="3"/>
        <v>2.7787500000000001</v>
      </c>
    </row>
    <row r="234" spans="1:10" x14ac:dyDescent="0.3">
      <c r="A234" t="s">
        <v>3</v>
      </c>
      <c r="B234" t="s">
        <v>11</v>
      </c>
      <c r="C234" t="s">
        <v>138</v>
      </c>
      <c r="D234" t="s">
        <v>145</v>
      </c>
      <c r="E234" t="s">
        <v>65</v>
      </c>
      <c r="F234" s="1">
        <v>9.7747685185185199E-4</v>
      </c>
      <c r="G234" s="37">
        <v>2.21</v>
      </c>
      <c r="H234">
        <v>2.85</v>
      </c>
      <c r="I234" s="37">
        <v>0.97499999999999998</v>
      </c>
      <c r="J234">
        <f t="shared" si="3"/>
        <v>2.7787500000000001</v>
      </c>
    </row>
    <row r="235" spans="1:10" x14ac:dyDescent="0.3">
      <c r="A235" t="s">
        <v>3</v>
      </c>
      <c r="B235" t="s">
        <v>11</v>
      </c>
      <c r="C235" t="s">
        <v>138</v>
      </c>
      <c r="D235" t="s">
        <v>145</v>
      </c>
      <c r="E235" t="s">
        <v>66</v>
      </c>
      <c r="F235" s="1">
        <v>9.8370370370370365E-4</v>
      </c>
      <c r="G235" s="37">
        <v>2.2000000000000002</v>
      </c>
      <c r="H235">
        <v>2.84</v>
      </c>
      <c r="I235" s="37">
        <v>0.97499999999999998</v>
      </c>
      <c r="J235">
        <f t="shared" si="3"/>
        <v>2.7689999999999997</v>
      </c>
    </row>
    <row r="236" spans="1:10" x14ac:dyDescent="0.3">
      <c r="A236" t="s">
        <v>3</v>
      </c>
      <c r="B236" t="s">
        <v>11</v>
      </c>
      <c r="C236" t="s">
        <v>138</v>
      </c>
      <c r="D236" t="s">
        <v>145</v>
      </c>
      <c r="E236" t="s">
        <v>67</v>
      </c>
      <c r="F236" s="1">
        <v>9.8471064814814819E-4</v>
      </c>
      <c r="G236" s="37">
        <v>2.1800000000000002</v>
      </c>
      <c r="H236">
        <v>2.81</v>
      </c>
      <c r="I236" s="37">
        <v>0.97499999999999998</v>
      </c>
      <c r="J236">
        <f t="shared" si="3"/>
        <v>2.7397499999999999</v>
      </c>
    </row>
    <row r="237" spans="1:10" x14ac:dyDescent="0.3">
      <c r="A237" t="s">
        <v>3</v>
      </c>
      <c r="B237" t="s">
        <v>11</v>
      </c>
      <c r="C237" t="s">
        <v>138</v>
      </c>
      <c r="D237" t="s">
        <v>145</v>
      </c>
      <c r="E237" t="s">
        <v>68</v>
      </c>
      <c r="F237" s="1">
        <v>9.8901620370370354E-4</v>
      </c>
      <c r="G237" s="37">
        <v>2.1</v>
      </c>
      <c r="H237">
        <v>2.7</v>
      </c>
      <c r="I237" s="37">
        <v>0.97499999999999998</v>
      </c>
      <c r="J237">
        <f t="shared" si="3"/>
        <v>2.6325000000000003</v>
      </c>
    </row>
    <row r="238" spans="1:10" x14ac:dyDescent="0.3">
      <c r="A238" t="s">
        <v>3</v>
      </c>
      <c r="B238" t="s">
        <v>11</v>
      </c>
      <c r="C238" t="s">
        <v>138</v>
      </c>
      <c r="D238" t="s">
        <v>145</v>
      </c>
      <c r="E238" t="s">
        <v>69</v>
      </c>
      <c r="F238" s="1">
        <v>9.8692129629629629E-4</v>
      </c>
      <c r="G238" s="37">
        <v>2.12</v>
      </c>
      <c r="H238">
        <v>2.74</v>
      </c>
      <c r="I238" s="37">
        <v>0.97499999999999998</v>
      </c>
      <c r="J238">
        <f t="shared" si="3"/>
        <v>2.6715</v>
      </c>
    </row>
    <row r="239" spans="1:10" x14ac:dyDescent="0.3">
      <c r="A239" t="s">
        <v>3</v>
      </c>
      <c r="B239" t="s">
        <v>11</v>
      </c>
      <c r="C239" t="s">
        <v>138</v>
      </c>
      <c r="D239" s="22" t="s">
        <v>145</v>
      </c>
      <c r="E239" t="s">
        <v>70</v>
      </c>
      <c r="F239" s="1">
        <v>9.8635416666666663E-4</v>
      </c>
      <c r="G239" s="37">
        <v>2.17</v>
      </c>
      <c r="H239">
        <v>2.8</v>
      </c>
      <c r="I239" s="37">
        <v>0.97499999999999998</v>
      </c>
      <c r="J239">
        <f t="shared" si="3"/>
        <v>2.73</v>
      </c>
    </row>
    <row r="240" spans="1:10" x14ac:dyDescent="0.3">
      <c r="A240" t="s">
        <v>3</v>
      </c>
      <c r="B240" t="s">
        <v>11</v>
      </c>
      <c r="C240" t="s">
        <v>138</v>
      </c>
      <c r="D240" s="22" t="s">
        <v>145</v>
      </c>
      <c r="E240" t="s">
        <v>71</v>
      </c>
      <c r="F240" s="1">
        <v>9.8479166666666658E-4</v>
      </c>
      <c r="G240" s="37">
        <v>2.17</v>
      </c>
      <c r="H240">
        <v>2.81</v>
      </c>
      <c r="I240" s="37">
        <v>0.97499999999999998</v>
      </c>
      <c r="J240">
        <f t="shared" si="3"/>
        <v>2.7397499999999999</v>
      </c>
    </row>
    <row r="241" spans="1:10" x14ac:dyDescent="0.3">
      <c r="A241" t="s">
        <v>3</v>
      </c>
      <c r="B241" t="s">
        <v>79</v>
      </c>
      <c r="C241" t="s">
        <v>138</v>
      </c>
      <c r="D241" s="22" t="s">
        <v>146</v>
      </c>
      <c r="E241" t="s">
        <v>9</v>
      </c>
      <c r="F241" s="1">
        <v>9.7739583333333337E-4</v>
      </c>
      <c r="G241" s="37">
        <v>2.2200000000000002</v>
      </c>
      <c r="H241">
        <v>2.82</v>
      </c>
      <c r="I241" s="37">
        <v>1.0169999999999999</v>
      </c>
      <c r="J241">
        <f t="shared" si="3"/>
        <v>2.8679399999999995</v>
      </c>
    </row>
    <row r="242" spans="1:10" x14ac:dyDescent="0.3">
      <c r="A242" t="s">
        <v>3</v>
      </c>
      <c r="B242" t="s">
        <v>79</v>
      </c>
      <c r="C242" t="s">
        <v>138</v>
      </c>
      <c r="D242" s="22" t="s">
        <v>146</v>
      </c>
      <c r="E242" t="s">
        <v>10</v>
      </c>
      <c r="F242" s="1">
        <v>9.691435185185186E-4</v>
      </c>
      <c r="G242" s="37">
        <v>2.23</v>
      </c>
      <c r="H242">
        <v>2.83</v>
      </c>
      <c r="I242" s="37">
        <v>1.0169999999999999</v>
      </c>
      <c r="J242">
        <f t="shared" si="3"/>
        <v>2.8781099999999999</v>
      </c>
    </row>
    <row r="243" spans="1:10" x14ac:dyDescent="0.3">
      <c r="A243" t="s">
        <v>3</v>
      </c>
      <c r="B243" t="s">
        <v>79</v>
      </c>
      <c r="C243" t="s">
        <v>138</v>
      </c>
      <c r="D243" s="22" t="s">
        <v>146</v>
      </c>
      <c r="E243" t="s">
        <v>15</v>
      </c>
      <c r="F243" s="1">
        <v>9.6633101851851849E-4</v>
      </c>
      <c r="G243" s="37">
        <v>2.21</v>
      </c>
      <c r="H243">
        <v>2.81</v>
      </c>
      <c r="I243" s="37">
        <v>1.0169999999999999</v>
      </c>
      <c r="J243">
        <f t="shared" si="3"/>
        <v>2.8577699999999999</v>
      </c>
    </row>
    <row r="244" spans="1:10" x14ac:dyDescent="0.3">
      <c r="A244" t="s">
        <v>3</v>
      </c>
      <c r="B244" t="s">
        <v>79</v>
      </c>
      <c r="C244" t="s">
        <v>138</v>
      </c>
      <c r="D244" s="22" t="s">
        <v>146</v>
      </c>
      <c r="E244" t="s">
        <v>16</v>
      </c>
      <c r="F244" s="1">
        <v>9.6789351851851854E-4</v>
      </c>
      <c r="G244" s="37">
        <v>2.25</v>
      </c>
      <c r="H244">
        <v>2.86</v>
      </c>
      <c r="I244" s="37">
        <v>1.0169999999999999</v>
      </c>
      <c r="J244">
        <f t="shared" si="3"/>
        <v>2.9086199999999995</v>
      </c>
    </row>
    <row r="245" spans="1:10" x14ac:dyDescent="0.3">
      <c r="A245" t="s">
        <v>3</v>
      </c>
      <c r="B245" t="s">
        <v>79</v>
      </c>
      <c r="C245" t="s">
        <v>138</v>
      </c>
      <c r="D245" s="22" t="s">
        <v>146</v>
      </c>
      <c r="E245" t="s">
        <v>17</v>
      </c>
      <c r="F245" s="1">
        <v>9.6898148148148147E-4</v>
      </c>
      <c r="G245" s="37">
        <v>2.2599999999999998</v>
      </c>
      <c r="H245">
        <v>2.86</v>
      </c>
      <c r="I245" s="37">
        <v>1.0169999999999999</v>
      </c>
      <c r="J245">
        <f t="shared" si="3"/>
        <v>2.9086199999999995</v>
      </c>
    </row>
    <row r="246" spans="1:10" x14ac:dyDescent="0.3">
      <c r="A246" t="s">
        <v>3</v>
      </c>
      <c r="B246" t="s">
        <v>79</v>
      </c>
      <c r="C246" t="s">
        <v>138</v>
      </c>
      <c r="D246" s="22" t="s">
        <v>146</v>
      </c>
      <c r="E246" t="s">
        <v>18</v>
      </c>
      <c r="F246" s="1">
        <v>9.6945601851851847E-4</v>
      </c>
      <c r="G246" s="37">
        <v>2.25</v>
      </c>
      <c r="H246">
        <v>2.86</v>
      </c>
      <c r="I246" s="37">
        <v>1.0169999999999999</v>
      </c>
      <c r="J246">
        <f t="shared" si="3"/>
        <v>2.9086199999999995</v>
      </c>
    </row>
    <row r="247" spans="1:10" x14ac:dyDescent="0.3">
      <c r="A247" t="s">
        <v>3</v>
      </c>
      <c r="B247" t="s">
        <v>79</v>
      </c>
      <c r="C247" t="s">
        <v>138</v>
      </c>
      <c r="D247" s="22" t="s">
        <v>146</v>
      </c>
      <c r="E247" t="s">
        <v>19</v>
      </c>
      <c r="F247" s="1">
        <v>9.706712962962963E-4</v>
      </c>
      <c r="G247" s="37">
        <v>2.25</v>
      </c>
      <c r="H247">
        <v>2.85</v>
      </c>
      <c r="I247" s="37">
        <v>1.0169999999999999</v>
      </c>
      <c r="J247">
        <f t="shared" si="3"/>
        <v>2.89845</v>
      </c>
    </row>
    <row r="248" spans="1:10" x14ac:dyDescent="0.3">
      <c r="A248" t="s">
        <v>3</v>
      </c>
      <c r="B248" t="s">
        <v>79</v>
      </c>
      <c r="C248" t="s">
        <v>138</v>
      </c>
      <c r="D248" s="22" t="s">
        <v>146</v>
      </c>
      <c r="E248" t="s">
        <v>45</v>
      </c>
      <c r="F248" s="1">
        <v>9.7476851851851848E-4</v>
      </c>
      <c r="G248" s="37">
        <v>2.2200000000000002</v>
      </c>
      <c r="H248">
        <v>2.82</v>
      </c>
      <c r="I248" s="37">
        <v>1.0169999999999999</v>
      </c>
      <c r="J248">
        <f t="shared" si="3"/>
        <v>2.8679399999999995</v>
      </c>
    </row>
    <row r="249" spans="1:10" x14ac:dyDescent="0.3">
      <c r="A249" t="s">
        <v>3</v>
      </c>
      <c r="B249" t="s">
        <v>79</v>
      </c>
      <c r="C249" t="s">
        <v>138</v>
      </c>
      <c r="D249" s="22" t="s">
        <v>146</v>
      </c>
      <c r="E249" t="s">
        <v>46</v>
      </c>
      <c r="F249" s="1">
        <v>9.7437500000000009E-4</v>
      </c>
      <c r="G249" s="37">
        <v>2.23</v>
      </c>
      <c r="H249">
        <v>2.83</v>
      </c>
      <c r="I249" s="37">
        <v>1.0169999999999999</v>
      </c>
      <c r="J249">
        <f t="shared" si="3"/>
        <v>2.8781099999999999</v>
      </c>
    </row>
    <row r="250" spans="1:10" x14ac:dyDescent="0.3">
      <c r="A250" t="s">
        <v>3</v>
      </c>
      <c r="B250" t="s">
        <v>79</v>
      </c>
      <c r="C250" t="s">
        <v>138</v>
      </c>
      <c r="D250" s="22" t="s">
        <v>146</v>
      </c>
      <c r="E250" t="s">
        <v>47</v>
      </c>
      <c r="F250" s="1">
        <v>9.7265046296296303E-4</v>
      </c>
      <c r="G250" s="37">
        <v>2.2400000000000002</v>
      </c>
      <c r="H250">
        <v>2.84</v>
      </c>
      <c r="I250" s="37">
        <v>1.0169999999999999</v>
      </c>
      <c r="J250">
        <f t="shared" si="3"/>
        <v>2.8882799999999995</v>
      </c>
    </row>
    <row r="251" spans="1:10" x14ac:dyDescent="0.3">
      <c r="A251" t="s">
        <v>3</v>
      </c>
      <c r="B251" t="s">
        <v>79</v>
      </c>
      <c r="C251" t="s">
        <v>138</v>
      </c>
      <c r="D251" s="22" t="s">
        <v>146</v>
      </c>
      <c r="E251" t="s">
        <v>48</v>
      </c>
      <c r="F251" s="1">
        <v>9.7465277777777784E-4</v>
      </c>
      <c r="G251" s="37">
        <v>2.2200000000000002</v>
      </c>
      <c r="H251">
        <v>2.82</v>
      </c>
      <c r="I251" s="37">
        <v>1.0169999999999999</v>
      </c>
      <c r="J251">
        <f t="shared" si="3"/>
        <v>2.8679399999999995</v>
      </c>
    </row>
    <row r="252" spans="1:10" x14ac:dyDescent="0.3">
      <c r="A252" t="s">
        <v>3</v>
      </c>
      <c r="B252" t="s">
        <v>79</v>
      </c>
      <c r="C252" t="s">
        <v>138</v>
      </c>
      <c r="D252" s="22" t="s">
        <v>146</v>
      </c>
      <c r="E252" t="s">
        <v>49</v>
      </c>
      <c r="F252" s="1">
        <v>9.7355324074074065E-4</v>
      </c>
      <c r="G252" s="37">
        <v>2.23</v>
      </c>
      <c r="H252">
        <v>2.83</v>
      </c>
      <c r="I252" s="37">
        <v>1.0169999999999999</v>
      </c>
      <c r="J252">
        <f t="shared" si="3"/>
        <v>2.8781099999999999</v>
      </c>
    </row>
    <row r="253" spans="1:10" x14ac:dyDescent="0.3">
      <c r="A253" t="s">
        <v>3</v>
      </c>
      <c r="B253" t="s">
        <v>79</v>
      </c>
      <c r="C253" t="s">
        <v>138</v>
      </c>
      <c r="D253" s="22" t="s">
        <v>146</v>
      </c>
      <c r="E253" t="s">
        <v>50</v>
      </c>
      <c r="F253" s="1">
        <v>9.7454861111111104E-4</v>
      </c>
      <c r="G253" s="37">
        <v>2.23</v>
      </c>
      <c r="H253">
        <v>2.82</v>
      </c>
      <c r="I253" s="37">
        <v>1.0169999999999999</v>
      </c>
      <c r="J253">
        <f t="shared" si="3"/>
        <v>2.8679399999999995</v>
      </c>
    </row>
    <row r="254" spans="1:10" x14ac:dyDescent="0.3">
      <c r="A254" t="s">
        <v>3</v>
      </c>
      <c r="B254" t="s">
        <v>79</v>
      </c>
      <c r="C254" t="s">
        <v>138</v>
      </c>
      <c r="D254" s="22" t="s">
        <v>146</v>
      </c>
      <c r="E254" t="s">
        <v>51</v>
      </c>
      <c r="F254" s="1">
        <v>9.7604166666666662E-4</v>
      </c>
      <c r="G254" s="37">
        <v>2.2200000000000002</v>
      </c>
      <c r="H254">
        <v>2.82</v>
      </c>
      <c r="I254" s="37">
        <v>1.0169999999999999</v>
      </c>
      <c r="J254">
        <f t="shared" si="3"/>
        <v>2.8679399999999995</v>
      </c>
    </row>
    <row r="255" spans="1:10" x14ac:dyDescent="0.3">
      <c r="A255" t="s">
        <v>3</v>
      </c>
      <c r="B255" t="s">
        <v>79</v>
      </c>
      <c r="C255" t="s">
        <v>138</v>
      </c>
      <c r="D255" s="22" t="s">
        <v>146</v>
      </c>
      <c r="E255" t="s">
        <v>52</v>
      </c>
      <c r="F255" s="1">
        <v>9.7570601851851855E-4</v>
      </c>
      <c r="G255" s="37">
        <v>2.2200000000000002</v>
      </c>
      <c r="H255">
        <v>2.82</v>
      </c>
      <c r="I255" s="37">
        <v>1.0169999999999999</v>
      </c>
      <c r="J255">
        <f t="shared" si="3"/>
        <v>2.8679399999999995</v>
      </c>
    </row>
    <row r="256" spans="1:10" x14ac:dyDescent="0.3">
      <c r="A256" t="s">
        <v>3</v>
      </c>
      <c r="B256" t="s">
        <v>79</v>
      </c>
      <c r="C256" t="s">
        <v>138</v>
      </c>
      <c r="D256" s="22" t="s">
        <v>146</v>
      </c>
      <c r="E256" t="s">
        <v>53</v>
      </c>
      <c r="F256" s="1">
        <v>9.7777777777777772E-4</v>
      </c>
      <c r="G256" s="37">
        <v>2.21</v>
      </c>
      <c r="H256">
        <v>2.81</v>
      </c>
      <c r="I256" s="37">
        <v>1.0169999999999999</v>
      </c>
      <c r="J256">
        <f t="shared" si="3"/>
        <v>2.8577699999999999</v>
      </c>
    </row>
    <row r="257" spans="1:10" x14ac:dyDescent="0.3">
      <c r="A257" t="s">
        <v>3</v>
      </c>
      <c r="B257" t="s">
        <v>79</v>
      </c>
      <c r="C257" t="s">
        <v>138</v>
      </c>
      <c r="D257" s="22" t="s">
        <v>146</v>
      </c>
      <c r="E257" t="s">
        <v>54</v>
      </c>
      <c r="F257" s="1">
        <v>9.7762731481481485E-4</v>
      </c>
      <c r="G257" s="37">
        <v>2.2200000000000002</v>
      </c>
      <c r="H257">
        <v>2.83</v>
      </c>
      <c r="I257" s="37">
        <v>1.0169999999999999</v>
      </c>
      <c r="J257">
        <f t="shared" si="3"/>
        <v>2.8781099999999999</v>
      </c>
    </row>
    <row r="258" spans="1:10" x14ac:dyDescent="0.3">
      <c r="A258" t="s">
        <v>3</v>
      </c>
      <c r="B258" t="s">
        <v>79</v>
      </c>
      <c r="C258" t="s">
        <v>138</v>
      </c>
      <c r="D258" s="22" t="s">
        <v>146</v>
      </c>
      <c r="E258" t="s">
        <v>55</v>
      </c>
      <c r="F258" s="1">
        <v>9.7650462962962968E-4</v>
      </c>
      <c r="G258" s="37">
        <v>2.2200000000000002</v>
      </c>
      <c r="H258">
        <v>2.83</v>
      </c>
      <c r="I258" s="37">
        <v>1.0169999999999999</v>
      </c>
      <c r="J258">
        <f t="shared" si="3"/>
        <v>2.8781099999999999</v>
      </c>
    </row>
    <row r="259" spans="1:10" x14ac:dyDescent="0.3">
      <c r="A259" t="s">
        <v>3</v>
      </c>
      <c r="B259" t="s">
        <v>79</v>
      </c>
      <c r="C259" t="s">
        <v>138</v>
      </c>
      <c r="D259" s="22" t="s">
        <v>146</v>
      </c>
      <c r="E259" t="s">
        <v>57</v>
      </c>
      <c r="F259" s="1">
        <v>9.7165509259259254E-4</v>
      </c>
      <c r="G259" s="37">
        <v>2.2000000000000002</v>
      </c>
      <c r="H259">
        <v>2.8</v>
      </c>
      <c r="I259" s="37">
        <v>1.0169999999999999</v>
      </c>
      <c r="J259">
        <f t="shared" si="3"/>
        <v>2.8475999999999995</v>
      </c>
    </row>
    <row r="260" spans="1:10" x14ac:dyDescent="0.3">
      <c r="A260" t="s">
        <v>3</v>
      </c>
      <c r="B260" t="s">
        <v>79</v>
      </c>
      <c r="C260" t="s">
        <v>138</v>
      </c>
      <c r="D260" s="22" t="s">
        <v>146</v>
      </c>
      <c r="E260" t="s">
        <v>58</v>
      </c>
      <c r="F260" s="1">
        <v>9.6319444444444447E-4</v>
      </c>
      <c r="G260" s="37">
        <v>2.2200000000000002</v>
      </c>
      <c r="H260">
        <v>2.83</v>
      </c>
      <c r="I260" s="37">
        <v>1.0169999999999999</v>
      </c>
      <c r="J260">
        <f t="shared" ref="J260:J323" si="4">H260*I260</f>
        <v>2.8781099999999999</v>
      </c>
    </row>
    <row r="261" spans="1:10" x14ac:dyDescent="0.3">
      <c r="A261" t="s">
        <v>3</v>
      </c>
      <c r="B261" t="s">
        <v>79</v>
      </c>
      <c r="C261" t="s">
        <v>138</v>
      </c>
      <c r="D261" s="22" t="s">
        <v>146</v>
      </c>
      <c r="E261" t="s">
        <v>72</v>
      </c>
      <c r="F261" s="1">
        <v>9.6563657407407405E-4</v>
      </c>
      <c r="G261" s="37">
        <v>2.2000000000000002</v>
      </c>
      <c r="H261">
        <v>2.82</v>
      </c>
      <c r="I261" s="37">
        <v>1.0169999999999999</v>
      </c>
      <c r="J261">
        <f t="shared" si="4"/>
        <v>2.8679399999999995</v>
      </c>
    </row>
    <row r="262" spans="1:10" x14ac:dyDescent="0.3">
      <c r="A262" t="s">
        <v>3</v>
      </c>
      <c r="B262" t="s">
        <v>79</v>
      </c>
      <c r="C262" t="s">
        <v>138</v>
      </c>
      <c r="D262" s="22" t="s">
        <v>146</v>
      </c>
      <c r="E262" t="s">
        <v>59</v>
      </c>
      <c r="F262" s="1">
        <v>9.6390046296296306E-4</v>
      </c>
      <c r="G262" s="37">
        <v>2.21</v>
      </c>
      <c r="H262">
        <v>2.83</v>
      </c>
      <c r="I262" s="37">
        <v>1.0169999999999999</v>
      </c>
      <c r="J262">
        <f t="shared" si="4"/>
        <v>2.8781099999999999</v>
      </c>
    </row>
    <row r="263" spans="1:10" x14ac:dyDescent="0.3">
      <c r="A263" t="s">
        <v>3</v>
      </c>
      <c r="B263" t="s">
        <v>79</v>
      </c>
      <c r="C263" t="s">
        <v>138</v>
      </c>
      <c r="D263" s="22" t="s">
        <v>146</v>
      </c>
      <c r="E263" t="s">
        <v>60</v>
      </c>
      <c r="F263" s="1">
        <v>9.6770833333333333E-4</v>
      </c>
      <c r="G263" s="37">
        <v>2.23</v>
      </c>
      <c r="H263">
        <v>2.84</v>
      </c>
      <c r="I263" s="37">
        <v>1.0169999999999999</v>
      </c>
      <c r="J263">
        <f t="shared" si="4"/>
        <v>2.8882799999999995</v>
      </c>
    </row>
    <row r="264" spans="1:10" x14ac:dyDescent="0.3">
      <c r="A264" t="s">
        <v>3</v>
      </c>
      <c r="B264" t="s">
        <v>79</v>
      </c>
      <c r="C264" t="s">
        <v>138</v>
      </c>
      <c r="D264" s="22" t="s">
        <v>146</v>
      </c>
      <c r="E264" t="s">
        <v>61</v>
      </c>
      <c r="F264" s="1">
        <v>9.7003472222222228E-4</v>
      </c>
      <c r="G264" s="37">
        <v>2.19</v>
      </c>
      <c r="H264">
        <v>2.79</v>
      </c>
      <c r="I264" s="37">
        <v>1.0169999999999999</v>
      </c>
      <c r="J264">
        <f t="shared" si="4"/>
        <v>2.8374299999999999</v>
      </c>
    </row>
    <row r="265" spans="1:10" x14ac:dyDescent="0.3">
      <c r="A265" t="s">
        <v>3</v>
      </c>
      <c r="B265" t="s">
        <v>79</v>
      </c>
      <c r="C265" t="s">
        <v>138</v>
      </c>
      <c r="D265" s="22" t="s">
        <v>146</v>
      </c>
      <c r="E265" t="s">
        <v>62</v>
      </c>
      <c r="F265" s="1">
        <v>9.6986111111111101E-4</v>
      </c>
      <c r="G265" s="37">
        <v>2.2000000000000002</v>
      </c>
      <c r="H265">
        <v>2.8</v>
      </c>
      <c r="I265" s="37">
        <v>1.0169999999999999</v>
      </c>
      <c r="J265">
        <f t="shared" si="4"/>
        <v>2.8475999999999995</v>
      </c>
    </row>
    <row r="266" spans="1:10" x14ac:dyDescent="0.3">
      <c r="A266" t="s">
        <v>3</v>
      </c>
      <c r="B266" t="s">
        <v>79</v>
      </c>
      <c r="C266" t="s">
        <v>138</v>
      </c>
      <c r="D266" s="22" t="s">
        <v>146</v>
      </c>
      <c r="E266" t="s">
        <v>63</v>
      </c>
      <c r="F266" s="1">
        <v>9.6909722222222232E-4</v>
      </c>
      <c r="G266" s="37">
        <v>2.1800000000000002</v>
      </c>
      <c r="H266">
        <v>2.78</v>
      </c>
      <c r="I266" s="37">
        <v>1.0169999999999999</v>
      </c>
      <c r="J266">
        <f t="shared" si="4"/>
        <v>2.8272599999999994</v>
      </c>
    </row>
    <row r="267" spans="1:10" x14ac:dyDescent="0.3">
      <c r="A267" t="s">
        <v>3</v>
      </c>
      <c r="B267" t="s">
        <v>79</v>
      </c>
      <c r="C267" t="s">
        <v>138</v>
      </c>
      <c r="D267" s="22" t="s">
        <v>146</v>
      </c>
      <c r="E267" t="s">
        <v>64</v>
      </c>
      <c r="F267" s="1">
        <v>9.7072916666666662E-4</v>
      </c>
      <c r="G267" s="37">
        <v>2.19</v>
      </c>
      <c r="H267">
        <v>2.78</v>
      </c>
      <c r="I267" s="37">
        <v>1.0169999999999999</v>
      </c>
      <c r="J267">
        <f t="shared" si="4"/>
        <v>2.8272599999999994</v>
      </c>
    </row>
    <row r="268" spans="1:10" x14ac:dyDescent="0.3">
      <c r="A268" t="s">
        <v>3</v>
      </c>
      <c r="B268" t="s">
        <v>79</v>
      </c>
      <c r="C268" t="s">
        <v>138</v>
      </c>
      <c r="D268" s="22" t="s">
        <v>146</v>
      </c>
      <c r="E268" t="s">
        <v>65</v>
      </c>
      <c r="F268" s="1">
        <v>9.7438657407407402E-4</v>
      </c>
      <c r="G268" s="37">
        <v>2.15</v>
      </c>
      <c r="H268">
        <v>2.74</v>
      </c>
      <c r="I268" s="37">
        <v>1.0169999999999999</v>
      </c>
      <c r="J268">
        <f t="shared" si="4"/>
        <v>2.7865799999999998</v>
      </c>
    </row>
    <row r="269" spans="1:10" x14ac:dyDescent="0.3">
      <c r="A269" t="s">
        <v>3</v>
      </c>
      <c r="B269" t="s">
        <v>79</v>
      </c>
      <c r="C269" t="s">
        <v>138</v>
      </c>
      <c r="D269" s="22" t="s">
        <v>146</v>
      </c>
      <c r="E269" t="s">
        <v>66</v>
      </c>
      <c r="F269" s="1">
        <v>9.7302083333333333E-4</v>
      </c>
      <c r="G269" s="37">
        <v>2.13</v>
      </c>
      <c r="H269">
        <v>2.72</v>
      </c>
      <c r="I269" s="37">
        <v>1.0169999999999999</v>
      </c>
      <c r="J269">
        <f t="shared" si="4"/>
        <v>2.7662399999999998</v>
      </c>
    </row>
    <row r="270" spans="1:10" x14ac:dyDescent="0.3">
      <c r="A270" t="s">
        <v>3</v>
      </c>
      <c r="B270" t="s">
        <v>79</v>
      </c>
      <c r="C270" t="s">
        <v>138</v>
      </c>
      <c r="D270" s="22" t="s">
        <v>146</v>
      </c>
      <c r="E270" t="s">
        <v>67</v>
      </c>
      <c r="F270" s="1">
        <v>9.764583333333333E-4</v>
      </c>
      <c r="G270" s="37">
        <v>2.13</v>
      </c>
      <c r="H270">
        <v>2.74</v>
      </c>
      <c r="I270" s="37">
        <v>1.0169999999999999</v>
      </c>
      <c r="J270">
        <f t="shared" si="4"/>
        <v>2.7865799999999998</v>
      </c>
    </row>
    <row r="271" spans="1:10" x14ac:dyDescent="0.3">
      <c r="A271" t="s">
        <v>3</v>
      </c>
      <c r="B271" t="s">
        <v>79</v>
      </c>
      <c r="C271" t="s">
        <v>138</v>
      </c>
      <c r="D271" s="22" t="s">
        <v>146</v>
      </c>
      <c r="E271" t="s">
        <v>68</v>
      </c>
      <c r="F271" s="1">
        <v>9.7651620370370362E-4</v>
      </c>
      <c r="G271" s="37">
        <v>2.13</v>
      </c>
      <c r="H271">
        <v>2.72</v>
      </c>
      <c r="I271" s="37">
        <v>1.0169999999999999</v>
      </c>
      <c r="J271">
        <f t="shared" si="4"/>
        <v>2.7662399999999998</v>
      </c>
    </row>
    <row r="272" spans="1:10" x14ac:dyDescent="0.3">
      <c r="A272" t="s">
        <v>3</v>
      </c>
      <c r="B272" t="s">
        <v>79</v>
      </c>
      <c r="C272" t="s">
        <v>138</v>
      </c>
      <c r="D272" s="22" t="s">
        <v>146</v>
      </c>
      <c r="E272" t="s">
        <v>69</v>
      </c>
      <c r="F272" s="1">
        <v>9.7667824074074085E-4</v>
      </c>
      <c r="G272" s="37">
        <v>2.16</v>
      </c>
      <c r="H272">
        <v>2.76</v>
      </c>
      <c r="I272" s="37">
        <v>1.0169999999999999</v>
      </c>
      <c r="J272">
        <f t="shared" si="4"/>
        <v>2.8069199999999994</v>
      </c>
    </row>
    <row r="273" spans="1:10" x14ac:dyDescent="0.3">
      <c r="A273" t="s">
        <v>3</v>
      </c>
      <c r="B273" t="s">
        <v>79</v>
      </c>
      <c r="C273" t="s">
        <v>138</v>
      </c>
      <c r="D273" t="s">
        <v>146</v>
      </c>
      <c r="E273" t="s">
        <v>70</v>
      </c>
      <c r="F273" s="1">
        <v>9.7744212962962954E-4</v>
      </c>
      <c r="G273" s="37">
        <v>2.09</v>
      </c>
      <c r="H273">
        <v>2.68</v>
      </c>
      <c r="I273" s="37">
        <v>1.0169999999999999</v>
      </c>
      <c r="J273">
        <f t="shared" si="4"/>
        <v>2.7255599999999998</v>
      </c>
    </row>
    <row r="274" spans="1:10" x14ac:dyDescent="0.3">
      <c r="A274" t="s">
        <v>3</v>
      </c>
      <c r="B274" t="s">
        <v>79</v>
      </c>
      <c r="C274" t="s">
        <v>138</v>
      </c>
      <c r="D274" t="s">
        <v>146</v>
      </c>
      <c r="E274" t="s">
        <v>71</v>
      </c>
      <c r="F274" s="1">
        <v>9.7651620370370362E-4</v>
      </c>
      <c r="G274" s="37">
        <v>2.1</v>
      </c>
      <c r="H274">
        <v>2.69</v>
      </c>
      <c r="I274" s="37">
        <v>1.0169999999999999</v>
      </c>
      <c r="J274">
        <f t="shared" si="4"/>
        <v>2.7357299999999998</v>
      </c>
    </row>
    <row r="275" spans="1:10" x14ac:dyDescent="0.3">
      <c r="A275" t="s">
        <v>3</v>
      </c>
      <c r="B275" t="s">
        <v>77</v>
      </c>
      <c r="C275" t="s">
        <v>138</v>
      </c>
      <c r="D275" t="s">
        <v>147</v>
      </c>
      <c r="E275" t="s">
        <v>9</v>
      </c>
      <c r="F275" s="1">
        <v>9.8364583333333333E-4</v>
      </c>
      <c r="G275" s="37">
        <v>2.15</v>
      </c>
      <c r="H275">
        <v>2.76</v>
      </c>
      <c r="I275" s="37">
        <v>0.97499999999999998</v>
      </c>
      <c r="J275">
        <f t="shared" si="4"/>
        <v>2.6909999999999998</v>
      </c>
    </row>
    <row r="276" spans="1:10" x14ac:dyDescent="0.3">
      <c r="A276" t="s">
        <v>3</v>
      </c>
      <c r="B276" t="s">
        <v>77</v>
      </c>
      <c r="C276" t="s">
        <v>138</v>
      </c>
      <c r="D276" t="s">
        <v>147</v>
      </c>
      <c r="E276" t="s">
        <v>10</v>
      </c>
      <c r="F276" s="1">
        <v>9.7179398148148136E-4</v>
      </c>
      <c r="G276" s="37">
        <v>2.12</v>
      </c>
      <c r="H276">
        <v>2.72</v>
      </c>
      <c r="I276" s="37">
        <v>0.97499999999999998</v>
      </c>
      <c r="J276">
        <f t="shared" si="4"/>
        <v>2.6520000000000001</v>
      </c>
    </row>
    <row r="277" spans="1:10" x14ac:dyDescent="0.3">
      <c r="A277" t="s">
        <v>3</v>
      </c>
      <c r="B277" t="s">
        <v>77</v>
      </c>
      <c r="C277" t="s">
        <v>138</v>
      </c>
      <c r="D277" t="s">
        <v>147</v>
      </c>
      <c r="E277" t="s">
        <v>15</v>
      </c>
      <c r="F277" s="1">
        <v>9.7097222222222214E-4</v>
      </c>
      <c r="G277" s="37">
        <v>2.12</v>
      </c>
      <c r="H277">
        <v>2.72</v>
      </c>
      <c r="I277" s="37">
        <v>0.97499999999999998</v>
      </c>
      <c r="J277">
        <f t="shared" si="4"/>
        <v>2.6520000000000001</v>
      </c>
    </row>
    <row r="278" spans="1:10" x14ac:dyDescent="0.3">
      <c r="A278" t="s">
        <v>3</v>
      </c>
      <c r="B278" t="s">
        <v>77</v>
      </c>
      <c r="C278" t="s">
        <v>138</v>
      </c>
      <c r="D278" t="s">
        <v>147</v>
      </c>
      <c r="E278" t="s">
        <v>16</v>
      </c>
      <c r="F278" s="1">
        <v>9.7008101851851845E-4</v>
      </c>
      <c r="G278" s="37">
        <v>2.14</v>
      </c>
      <c r="H278">
        <v>2.75</v>
      </c>
      <c r="I278" s="37">
        <v>0.97499999999999998</v>
      </c>
      <c r="J278">
        <f t="shared" si="4"/>
        <v>2.6812499999999999</v>
      </c>
    </row>
    <row r="279" spans="1:10" x14ac:dyDescent="0.3">
      <c r="A279" t="s">
        <v>3</v>
      </c>
      <c r="B279" t="s">
        <v>77</v>
      </c>
      <c r="C279" t="s">
        <v>138</v>
      </c>
      <c r="D279" t="s">
        <v>147</v>
      </c>
      <c r="E279" t="s">
        <v>17</v>
      </c>
      <c r="F279" s="1">
        <v>9.7332175925925928E-4</v>
      </c>
      <c r="G279" s="37">
        <v>2.14</v>
      </c>
      <c r="H279">
        <v>2.74</v>
      </c>
      <c r="I279" s="37">
        <v>0.97499999999999998</v>
      </c>
      <c r="J279">
        <f t="shared" si="4"/>
        <v>2.6715</v>
      </c>
    </row>
    <row r="280" spans="1:10" x14ac:dyDescent="0.3">
      <c r="A280" t="s">
        <v>3</v>
      </c>
      <c r="B280" t="s">
        <v>77</v>
      </c>
      <c r="C280" t="s">
        <v>138</v>
      </c>
      <c r="D280" t="s">
        <v>147</v>
      </c>
      <c r="E280" t="s">
        <v>18</v>
      </c>
      <c r="F280" s="1">
        <v>9.7925925925925936E-4</v>
      </c>
      <c r="G280" s="37">
        <v>2.2200000000000002</v>
      </c>
      <c r="H280">
        <v>2.84</v>
      </c>
      <c r="I280" s="37">
        <v>0.97499999999999998</v>
      </c>
      <c r="J280">
        <f t="shared" si="4"/>
        <v>2.7689999999999997</v>
      </c>
    </row>
    <row r="281" spans="1:10" x14ac:dyDescent="0.3">
      <c r="A281" t="s">
        <v>3</v>
      </c>
      <c r="B281" t="s">
        <v>77</v>
      </c>
      <c r="C281" t="s">
        <v>138</v>
      </c>
      <c r="D281" t="s">
        <v>147</v>
      </c>
      <c r="E281" t="s">
        <v>19</v>
      </c>
      <c r="F281" s="1">
        <v>9.7438657407407402E-4</v>
      </c>
      <c r="G281" s="37">
        <v>2.21</v>
      </c>
      <c r="H281">
        <v>2.83</v>
      </c>
      <c r="I281" s="37">
        <v>0.97499999999999998</v>
      </c>
      <c r="J281">
        <f t="shared" si="4"/>
        <v>2.7592500000000002</v>
      </c>
    </row>
    <row r="282" spans="1:10" x14ac:dyDescent="0.3">
      <c r="A282" t="s">
        <v>3</v>
      </c>
      <c r="B282" t="s">
        <v>77</v>
      </c>
      <c r="C282" t="s">
        <v>138</v>
      </c>
      <c r="D282" t="s">
        <v>147</v>
      </c>
      <c r="E282" t="s">
        <v>45</v>
      </c>
      <c r="F282" s="1">
        <v>9.7688657407407403E-4</v>
      </c>
      <c r="G282" s="37">
        <v>2.23</v>
      </c>
      <c r="H282">
        <v>2.85</v>
      </c>
      <c r="I282" s="37">
        <v>0.97499999999999998</v>
      </c>
      <c r="J282">
        <f t="shared" si="4"/>
        <v>2.7787500000000001</v>
      </c>
    </row>
    <row r="283" spans="1:10" x14ac:dyDescent="0.3">
      <c r="A283" t="s">
        <v>3</v>
      </c>
      <c r="B283" t="s">
        <v>77</v>
      </c>
      <c r="C283" t="s">
        <v>138</v>
      </c>
      <c r="D283" t="s">
        <v>147</v>
      </c>
      <c r="E283" t="s">
        <v>46</v>
      </c>
      <c r="F283" s="1">
        <v>9.7467592592592593E-4</v>
      </c>
      <c r="G283" s="37">
        <v>2.21</v>
      </c>
      <c r="H283">
        <v>2.83</v>
      </c>
      <c r="I283" s="37">
        <v>0.97499999999999998</v>
      </c>
      <c r="J283">
        <f t="shared" si="4"/>
        <v>2.7592500000000002</v>
      </c>
    </row>
    <row r="284" spans="1:10" x14ac:dyDescent="0.3">
      <c r="A284" t="s">
        <v>3</v>
      </c>
      <c r="B284" t="s">
        <v>77</v>
      </c>
      <c r="C284" t="s">
        <v>138</v>
      </c>
      <c r="D284" t="s">
        <v>147</v>
      </c>
      <c r="E284" t="s">
        <v>48</v>
      </c>
      <c r="F284" s="1">
        <v>9.6153935185185188E-4</v>
      </c>
      <c r="G284" s="37">
        <v>2.2599999999999998</v>
      </c>
      <c r="H284">
        <v>2.88</v>
      </c>
      <c r="I284" s="37">
        <v>0.97499999999999998</v>
      </c>
      <c r="J284">
        <f t="shared" si="4"/>
        <v>2.8079999999999998</v>
      </c>
    </row>
    <row r="285" spans="1:10" x14ac:dyDescent="0.3">
      <c r="A285" t="s">
        <v>3</v>
      </c>
      <c r="B285" t="s">
        <v>77</v>
      </c>
      <c r="C285" t="s">
        <v>138</v>
      </c>
      <c r="D285" t="s">
        <v>147</v>
      </c>
      <c r="E285" t="s">
        <v>49</v>
      </c>
      <c r="F285" s="1">
        <v>9.6299768518518522E-4</v>
      </c>
      <c r="G285" s="37">
        <v>2.25</v>
      </c>
      <c r="H285">
        <v>2.86</v>
      </c>
      <c r="I285" s="37">
        <v>0.97499999999999998</v>
      </c>
      <c r="J285">
        <f t="shared" si="4"/>
        <v>2.7885</v>
      </c>
    </row>
    <row r="286" spans="1:10" x14ac:dyDescent="0.3">
      <c r="A286" t="s">
        <v>3</v>
      </c>
      <c r="B286" t="s">
        <v>77</v>
      </c>
      <c r="C286" t="s">
        <v>138</v>
      </c>
      <c r="D286" t="s">
        <v>147</v>
      </c>
      <c r="E286" t="s">
        <v>50</v>
      </c>
      <c r="F286" s="1">
        <v>9.6668981481481476E-4</v>
      </c>
      <c r="G286" s="37">
        <v>2.23</v>
      </c>
      <c r="H286">
        <v>2.85</v>
      </c>
      <c r="I286" s="37">
        <v>0.97499999999999998</v>
      </c>
      <c r="J286">
        <f t="shared" si="4"/>
        <v>2.7787500000000001</v>
      </c>
    </row>
    <row r="287" spans="1:10" x14ac:dyDescent="0.3">
      <c r="A287" t="s">
        <v>3</v>
      </c>
      <c r="B287" t="s">
        <v>77</v>
      </c>
      <c r="C287" t="s">
        <v>138</v>
      </c>
      <c r="D287" t="s">
        <v>147</v>
      </c>
      <c r="E287" t="s">
        <v>51</v>
      </c>
      <c r="F287" s="1">
        <v>9.6716435185185187E-4</v>
      </c>
      <c r="G287" s="37">
        <v>2.2400000000000002</v>
      </c>
      <c r="H287">
        <v>2.85</v>
      </c>
      <c r="I287" s="37">
        <v>0.97499999999999998</v>
      </c>
      <c r="J287">
        <f t="shared" si="4"/>
        <v>2.7787500000000001</v>
      </c>
    </row>
    <row r="288" spans="1:10" x14ac:dyDescent="0.3">
      <c r="A288" t="s">
        <v>3</v>
      </c>
      <c r="B288" t="s">
        <v>77</v>
      </c>
      <c r="C288" t="s">
        <v>138</v>
      </c>
      <c r="D288" t="s">
        <v>147</v>
      </c>
      <c r="E288" t="s">
        <v>52</v>
      </c>
      <c r="F288" s="1">
        <v>9.6813657407407395E-4</v>
      </c>
      <c r="G288" s="37">
        <v>2.2200000000000002</v>
      </c>
      <c r="H288">
        <v>2.83</v>
      </c>
      <c r="I288" s="37">
        <v>0.97499999999999998</v>
      </c>
      <c r="J288">
        <f t="shared" si="4"/>
        <v>2.7592500000000002</v>
      </c>
    </row>
    <row r="289" spans="1:10" x14ac:dyDescent="0.3">
      <c r="A289" t="s">
        <v>3</v>
      </c>
      <c r="B289" t="s">
        <v>77</v>
      </c>
      <c r="C289" t="s">
        <v>138</v>
      </c>
      <c r="D289" t="s">
        <v>147</v>
      </c>
      <c r="E289" t="s">
        <v>53</v>
      </c>
      <c r="F289" s="1">
        <v>9.7069444444444438E-4</v>
      </c>
      <c r="G289" s="37">
        <v>2.2000000000000002</v>
      </c>
      <c r="H289">
        <v>2.83</v>
      </c>
      <c r="I289" s="37">
        <v>0.97499999999999998</v>
      </c>
      <c r="J289">
        <f t="shared" si="4"/>
        <v>2.7592500000000002</v>
      </c>
    </row>
    <row r="290" spans="1:10" x14ac:dyDescent="0.3">
      <c r="A290" t="s">
        <v>3</v>
      </c>
      <c r="B290" t="s">
        <v>77</v>
      </c>
      <c r="C290" t="s">
        <v>138</v>
      </c>
      <c r="D290" t="s">
        <v>147</v>
      </c>
      <c r="E290" t="s">
        <v>54</v>
      </c>
      <c r="F290" s="1">
        <v>9.7386574074074075E-4</v>
      </c>
      <c r="G290" s="37">
        <v>2.1800000000000002</v>
      </c>
      <c r="H290">
        <v>2.8</v>
      </c>
      <c r="I290" s="37">
        <v>0.97499999999999998</v>
      </c>
      <c r="J290">
        <f t="shared" si="4"/>
        <v>2.73</v>
      </c>
    </row>
    <row r="291" spans="1:10" x14ac:dyDescent="0.3">
      <c r="A291" t="s">
        <v>3</v>
      </c>
      <c r="B291" t="s">
        <v>77</v>
      </c>
      <c r="C291" t="s">
        <v>138</v>
      </c>
      <c r="D291" t="s">
        <v>147</v>
      </c>
      <c r="E291" t="s">
        <v>55</v>
      </c>
      <c r="F291" s="1">
        <v>9.7243055555555559E-4</v>
      </c>
      <c r="G291" s="37">
        <v>2.17</v>
      </c>
      <c r="H291">
        <v>2.77</v>
      </c>
      <c r="I291" s="37">
        <v>0.97499999999999998</v>
      </c>
      <c r="J291">
        <f t="shared" si="4"/>
        <v>2.7007499999999998</v>
      </c>
    </row>
    <row r="292" spans="1:10" x14ac:dyDescent="0.3">
      <c r="A292" t="s">
        <v>3</v>
      </c>
      <c r="B292" t="s">
        <v>77</v>
      </c>
      <c r="C292" t="s">
        <v>138</v>
      </c>
      <c r="D292" t="s">
        <v>147</v>
      </c>
      <c r="E292" t="s">
        <v>56</v>
      </c>
      <c r="F292" s="1">
        <v>9.7642361111111107E-4</v>
      </c>
      <c r="G292" s="37">
        <v>2.15</v>
      </c>
      <c r="H292">
        <v>2.74</v>
      </c>
      <c r="I292" s="37">
        <v>0.97499999999999998</v>
      </c>
      <c r="J292">
        <f t="shared" si="4"/>
        <v>2.6715</v>
      </c>
    </row>
    <row r="293" spans="1:10" x14ac:dyDescent="0.3">
      <c r="A293" t="s">
        <v>3</v>
      </c>
      <c r="B293" t="s">
        <v>77</v>
      </c>
      <c r="C293" t="s">
        <v>138</v>
      </c>
      <c r="D293" t="s">
        <v>147</v>
      </c>
      <c r="E293" t="s">
        <v>57</v>
      </c>
      <c r="F293" s="1">
        <v>9.7693287037037041E-4</v>
      </c>
      <c r="G293" s="37">
        <v>2.11</v>
      </c>
      <c r="H293">
        <v>2.7</v>
      </c>
      <c r="I293" s="37">
        <v>0.97499999999999998</v>
      </c>
      <c r="J293">
        <f t="shared" si="4"/>
        <v>2.6325000000000003</v>
      </c>
    </row>
    <row r="294" spans="1:10" x14ac:dyDescent="0.3">
      <c r="A294" t="s">
        <v>3</v>
      </c>
      <c r="B294" t="s">
        <v>77</v>
      </c>
      <c r="C294" t="s">
        <v>138</v>
      </c>
      <c r="D294" t="s">
        <v>147</v>
      </c>
      <c r="E294" t="s">
        <v>58</v>
      </c>
      <c r="F294" s="1">
        <v>9.8410879629629629E-4</v>
      </c>
      <c r="G294" s="37">
        <v>2.12</v>
      </c>
      <c r="H294">
        <v>2.72</v>
      </c>
      <c r="I294" s="37">
        <v>0.97499999999999998</v>
      </c>
      <c r="J294">
        <f t="shared" si="4"/>
        <v>2.6520000000000001</v>
      </c>
    </row>
    <row r="295" spans="1:10" x14ac:dyDescent="0.3">
      <c r="A295" t="s">
        <v>3</v>
      </c>
      <c r="B295" t="s">
        <v>77</v>
      </c>
      <c r="C295" t="s">
        <v>138</v>
      </c>
      <c r="D295" t="s">
        <v>147</v>
      </c>
      <c r="E295" t="s">
        <v>72</v>
      </c>
      <c r="F295" s="1">
        <v>9.7706018518518519E-4</v>
      </c>
      <c r="G295" s="37">
        <v>2.12</v>
      </c>
      <c r="H295">
        <v>2.73</v>
      </c>
      <c r="I295" s="37">
        <v>0.97499999999999998</v>
      </c>
      <c r="J295">
        <f t="shared" si="4"/>
        <v>2.6617500000000001</v>
      </c>
    </row>
    <row r="296" spans="1:10" x14ac:dyDescent="0.3">
      <c r="A296" t="s">
        <v>3</v>
      </c>
      <c r="B296" t="s">
        <v>77</v>
      </c>
      <c r="C296" t="s">
        <v>138</v>
      </c>
      <c r="D296" t="s">
        <v>147</v>
      </c>
      <c r="E296" t="s">
        <v>59</v>
      </c>
      <c r="F296" s="1">
        <v>9.7629629629629629E-4</v>
      </c>
      <c r="G296" s="37">
        <v>2.13</v>
      </c>
      <c r="H296">
        <v>2.75</v>
      </c>
      <c r="I296" s="37">
        <v>0.97499999999999998</v>
      </c>
      <c r="J296">
        <f t="shared" si="4"/>
        <v>2.6812499999999999</v>
      </c>
    </row>
    <row r="297" spans="1:10" x14ac:dyDescent="0.3">
      <c r="A297" t="s">
        <v>3</v>
      </c>
      <c r="B297" t="s">
        <v>77</v>
      </c>
      <c r="C297" t="s">
        <v>138</v>
      </c>
      <c r="D297" t="s">
        <v>147</v>
      </c>
      <c r="E297" t="s">
        <v>60</v>
      </c>
      <c r="F297" s="1">
        <v>9.7729166666666667E-4</v>
      </c>
      <c r="G297" s="37">
        <v>2.14</v>
      </c>
      <c r="H297">
        <v>2.75</v>
      </c>
      <c r="I297" s="37">
        <v>0.97499999999999998</v>
      </c>
      <c r="J297">
        <f t="shared" si="4"/>
        <v>2.6812499999999999</v>
      </c>
    </row>
    <row r="298" spans="1:10" x14ac:dyDescent="0.3">
      <c r="A298" t="s">
        <v>3</v>
      </c>
      <c r="B298" t="s">
        <v>77</v>
      </c>
      <c r="C298" t="s">
        <v>138</v>
      </c>
      <c r="D298" t="s">
        <v>147</v>
      </c>
      <c r="E298" t="s">
        <v>61</v>
      </c>
      <c r="F298" s="1">
        <v>9.7942129629629638E-4</v>
      </c>
      <c r="G298" s="37">
        <v>2.13</v>
      </c>
      <c r="H298">
        <v>2.75</v>
      </c>
      <c r="I298" s="37">
        <v>0.97499999999999998</v>
      </c>
      <c r="J298">
        <f t="shared" si="4"/>
        <v>2.6812499999999999</v>
      </c>
    </row>
    <row r="299" spans="1:10" x14ac:dyDescent="0.3">
      <c r="A299" t="s">
        <v>3</v>
      </c>
      <c r="B299" t="s">
        <v>77</v>
      </c>
      <c r="C299" t="s">
        <v>138</v>
      </c>
      <c r="D299" t="s">
        <v>147</v>
      </c>
      <c r="E299" t="s">
        <v>62</v>
      </c>
      <c r="F299" s="1">
        <v>9.8885416666666674E-4</v>
      </c>
      <c r="G299" s="37">
        <v>2.12</v>
      </c>
      <c r="H299">
        <v>2.72</v>
      </c>
      <c r="I299" s="37">
        <v>0.97499999999999998</v>
      </c>
      <c r="J299">
        <f t="shared" si="4"/>
        <v>2.6520000000000001</v>
      </c>
    </row>
    <row r="300" spans="1:10" x14ac:dyDescent="0.3">
      <c r="A300" t="s">
        <v>3</v>
      </c>
      <c r="B300" t="s">
        <v>77</v>
      </c>
      <c r="C300" t="s">
        <v>138</v>
      </c>
      <c r="D300" t="s">
        <v>147</v>
      </c>
      <c r="E300" t="s">
        <v>63</v>
      </c>
      <c r="F300" s="1">
        <v>9.7798611111111111E-4</v>
      </c>
      <c r="G300" s="37">
        <v>2.15</v>
      </c>
      <c r="H300">
        <v>2.76</v>
      </c>
      <c r="I300" s="37">
        <v>0.97499999999999998</v>
      </c>
      <c r="J300">
        <f t="shared" si="4"/>
        <v>2.6909999999999998</v>
      </c>
    </row>
    <row r="301" spans="1:10" x14ac:dyDescent="0.3">
      <c r="A301" t="s">
        <v>3</v>
      </c>
      <c r="B301" t="s">
        <v>77</v>
      </c>
      <c r="C301" t="s">
        <v>138</v>
      </c>
      <c r="D301" t="s">
        <v>147</v>
      </c>
      <c r="E301" t="s">
        <v>64</v>
      </c>
      <c r="F301" s="1">
        <v>9.768750000000001E-4</v>
      </c>
      <c r="G301" s="37">
        <v>2.17</v>
      </c>
      <c r="H301">
        <v>2.79</v>
      </c>
      <c r="I301" s="37">
        <v>0.97499999999999998</v>
      </c>
      <c r="J301">
        <f t="shared" si="4"/>
        <v>2.7202500000000001</v>
      </c>
    </row>
    <row r="302" spans="1:10" x14ac:dyDescent="0.3">
      <c r="A302" t="s">
        <v>3</v>
      </c>
      <c r="B302" t="s">
        <v>77</v>
      </c>
      <c r="C302" t="s">
        <v>138</v>
      </c>
      <c r="D302" t="s">
        <v>147</v>
      </c>
      <c r="E302" t="s">
        <v>65</v>
      </c>
      <c r="F302" s="1">
        <v>9.7723379629629614E-4</v>
      </c>
      <c r="G302" s="37">
        <v>2.17</v>
      </c>
      <c r="H302">
        <v>2.79</v>
      </c>
      <c r="I302" s="37">
        <v>0.97499999999999998</v>
      </c>
      <c r="J302">
        <f t="shared" si="4"/>
        <v>2.7202500000000001</v>
      </c>
    </row>
    <row r="303" spans="1:10" x14ac:dyDescent="0.3">
      <c r="A303" t="s">
        <v>3</v>
      </c>
      <c r="B303" t="s">
        <v>77</v>
      </c>
      <c r="C303" t="s">
        <v>138</v>
      </c>
      <c r="D303" t="s">
        <v>147</v>
      </c>
      <c r="E303" t="s">
        <v>66</v>
      </c>
      <c r="F303" s="1">
        <v>9.7688657407407403E-4</v>
      </c>
      <c r="G303" s="37">
        <v>2.15</v>
      </c>
      <c r="H303">
        <v>2.77</v>
      </c>
      <c r="I303" s="37">
        <v>0.97499999999999998</v>
      </c>
      <c r="J303">
        <f t="shared" si="4"/>
        <v>2.7007499999999998</v>
      </c>
    </row>
    <row r="304" spans="1:10" x14ac:dyDescent="0.3">
      <c r="A304" t="s">
        <v>3</v>
      </c>
      <c r="B304" t="s">
        <v>77</v>
      </c>
      <c r="C304" t="s">
        <v>138</v>
      </c>
      <c r="D304" t="s">
        <v>147</v>
      </c>
      <c r="E304" t="s">
        <v>67</v>
      </c>
      <c r="F304" s="1">
        <v>9.816087962962964E-4</v>
      </c>
      <c r="G304" s="37">
        <v>2.2000000000000002</v>
      </c>
      <c r="H304">
        <v>2.81</v>
      </c>
      <c r="I304" s="37">
        <v>0.97499999999999998</v>
      </c>
      <c r="J304">
        <f t="shared" si="4"/>
        <v>2.7397499999999999</v>
      </c>
    </row>
    <row r="305" spans="1:10" x14ac:dyDescent="0.3">
      <c r="A305" t="s">
        <v>3</v>
      </c>
      <c r="B305" t="s">
        <v>77</v>
      </c>
      <c r="C305" t="s">
        <v>138</v>
      </c>
      <c r="D305" t="s">
        <v>147</v>
      </c>
      <c r="E305" t="s">
        <v>68</v>
      </c>
      <c r="F305" s="1">
        <v>9.7822916666666674E-4</v>
      </c>
      <c r="G305" s="37">
        <v>2.1800000000000002</v>
      </c>
      <c r="H305">
        <v>2.8</v>
      </c>
      <c r="I305" s="37">
        <v>0.97499999999999998</v>
      </c>
      <c r="J305">
        <f t="shared" si="4"/>
        <v>2.73</v>
      </c>
    </row>
    <row r="306" spans="1:10" x14ac:dyDescent="0.3">
      <c r="A306" t="s">
        <v>3</v>
      </c>
      <c r="B306" t="s">
        <v>77</v>
      </c>
      <c r="C306" t="s">
        <v>138</v>
      </c>
      <c r="D306" t="s">
        <v>147</v>
      </c>
      <c r="E306" t="s">
        <v>69</v>
      </c>
      <c r="F306" s="1">
        <v>9.7768518518518538E-4</v>
      </c>
      <c r="G306" s="37">
        <v>2.15</v>
      </c>
      <c r="H306">
        <v>2.75</v>
      </c>
      <c r="I306" s="37">
        <v>0.97499999999999998</v>
      </c>
      <c r="J306">
        <f t="shared" si="4"/>
        <v>2.6812499999999999</v>
      </c>
    </row>
    <row r="307" spans="1:10" x14ac:dyDescent="0.3">
      <c r="A307" t="s">
        <v>3</v>
      </c>
      <c r="B307" t="s">
        <v>77</v>
      </c>
      <c r="C307" t="s">
        <v>138</v>
      </c>
      <c r="D307" t="s">
        <v>147</v>
      </c>
      <c r="E307" t="s">
        <v>70</v>
      </c>
      <c r="F307" s="1">
        <v>9.7902777777777767E-4</v>
      </c>
      <c r="G307" s="37">
        <v>2.15</v>
      </c>
      <c r="H307">
        <v>2.76</v>
      </c>
      <c r="I307" s="37">
        <v>0.97499999999999998</v>
      </c>
      <c r="J307">
        <f t="shared" si="4"/>
        <v>2.6909999999999998</v>
      </c>
    </row>
    <row r="308" spans="1:10" x14ac:dyDescent="0.3">
      <c r="A308" t="s">
        <v>3</v>
      </c>
      <c r="B308" t="s">
        <v>77</v>
      </c>
      <c r="C308" t="s">
        <v>138</v>
      </c>
      <c r="D308" t="s">
        <v>147</v>
      </c>
      <c r="E308" t="s">
        <v>71</v>
      </c>
      <c r="F308" s="1">
        <v>9.8097222222222227E-4</v>
      </c>
      <c r="G308" s="37">
        <v>2.12</v>
      </c>
      <c r="H308">
        <v>2.73</v>
      </c>
      <c r="I308" s="37">
        <v>0.97499999999999998</v>
      </c>
      <c r="J308">
        <f t="shared" si="4"/>
        <v>2.6617500000000001</v>
      </c>
    </row>
    <row r="309" spans="1:10" x14ac:dyDescent="0.3">
      <c r="A309" t="s">
        <v>3</v>
      </c>
      <c r="B309" t="s">
        <v>95</v>
      </c>
      <c r="C309" t="s">
        <v>138</v>
      </c>
      <c r="D309" t="s">
        <v>148</v>
      </c>
      <c r="E309" t="s">
        <v>9</v>
      </c>
      <c r="F309" s="1">
        <v>9.8706018518518522E-4</v>
      </c>
      <c r="G309" s="37">
        <v>2.12</v>
      </c>
      <c r="H309">
        <v>2.77</v>
      </c>
      <c r="I309" s="37">
        <v>0.96</v>
      </c>
      <c r="J309">
        <f t="shared" si="4"/>
        <v>2.6591999999999998</v>
      </c>
    </row>
    <row r="310" spans="1:10" x14ac:dyDescent="0.3">
      <c r="A310" t="s">
        <v>3</v>
      </c>
      <c r="B310" t="s">
        <v>95</v>
      </c>
      <c r="C310" t="s">
        <v>138</v>
      </c>
      <c r="D310" t="s">
        <v>148</v>
      </c>
      <c r="E310" t="s">
        <v>10</v>
      </c>
      <c r="F310" s="1">
        <v>9.825347222222221E-4</v>
      </c>
      <c r="G310" s="37">
        <v>2.11</v>
      </c>
      <c r="H310">
        <v>2.75</v>
      </c>
      <c r="I310" s="37">
        <v>0.96</v>
      </c>
      <c r="J310">
        <f t="shared" si="4"/>
        <v>2.6399999999999997</v>
      </c>
    </row>
    <row r="311" spans="1:10" x14ac:dyDescent="0.3">
      <c r="A311" t="s">
        <v>3</v>
      </c>
      <c r="B311" t="s">
        <v>95</v>
      </c>
      <c r="C311" t="s">
        <v>138</v>
      </c>
      <c r="D311" t="s">
        <v>148</v>
      </c>
      <c r="E311" t="s">
        <v>15</v>
      </c>
      <c r="F311" s="1">
        <v>9.8704861111111129E-4</v>
      </c>
      <c r="G311" s="37">
        <v>2.2000000000000002</v>
      </c>
      <c r="H311">
        <v>2.87</v>
      </c>
      <c r="I311" s="37">
        <v>0.96</v>
      </c>
      <c r="J311">
        <f t="shared" si="4"/>
        <v>2.7551999999999999</v>
      </c>
    </row>
    <row r="312" spans="1:10" x14ac:dyDescent="0.3">
      <c r="A312" t="s">
        <v>3</v>
      </c>
      <c r="B312" t="s">
        <v>95</v>
      </c>
      <c r="C312" t="s">
        <v>138</v>
      </c>
      <c r="D312" t="s">
        <v>148</v>
      </c>
      <c r="E312" t="s">
        <v>16</v>
      </c>
      <c r="F312" s="1">
        <v>9.7553240740740738E-4</v>
      </c>
      <c r="G312" s="37">
        <v>2.2400000000000002</v>
      </c>
      <c r="H312">
        <v>2.92</v>
      </c>
      <c r="I312" s="37">
        <v>0.96</v>
      </c>
      <c r="J312">
        <f t="shared" si="4"/>
        <v>2.8031999999999999</v>
      </c>
    </row>
    <row r="313" spans="1:10" x14ac:dyDescent="0.3">
      <c r="A313" t="s">
        <v>3</v>
      </c>
      <c r="B313" t="s">
        <v>95</v>
      </c>
      <c r="C313" t="s">
        <v>138</v>
      </c>
      <c r="D313" t="s">
        <v>148</v>
      </c>
      <c r="E313" t="s">
        <v>17</v>
      </c>
      <c r="F313" s="1">
        <v>9.7568287037037046E-4</v>
      </c>
      <c r="G313" s="37">
        <v>2.23</v>
      </c>
      <c r="H313">
        <v>2.89</v>
      </c>
      <c r="I313" s="37">
        <v>0.96</v>
      </c>
      <c r="J313">
        <f t="shared" si="4"/>
        <v>2.7744</v>
      </c>
    </row>
    <row r="314" spans="1:10" x14ac:dyDescent="0.3">
      <c r="A314" t="s">
        <v>3</v>
      </c>
      <c r="B314" t="s">
        <v>95</v>
      </c>
      <c r="C314" t="s">
        <v>138</v>
      </c>
      <c r="D314" t="s">
        <v>148</v>
      </c>
      <c r="E314" t="s">
        <v>18</v>
      </c>
      <c r="F314" s="1">
        <v>9.7480324074074071E-4</v>
      </c>
      <c r="G314" s="37">
        <v>2.25</v>
      </c>
      <c r="H314">
        <v>2.92</v>
      </c>
      <c r="I314" s="37">
        <v>0.96</v>
      </c>
      <c r="J314">
        <f t="shared" si="4"/>
        <v>2.8031999999999999</v>
      </c>
    </row>
    <row r="315" spans="1:10" x14ac:dyDescent="0.3">
      <c r="A315" t="s">
        <v>3</v>
      </c>
      <c r="B315" t="s">
        <v>95</v>
      </c>
      <c r="C315" t="s">
        <v>138</v>
      </c>
      <c r="D315" t="s">
        <v>148</v>
      </c>
      <c r="E315" t="s">
        <v>19</v>
      </c>
      <c r="F315" s="1">
        <v>9.7668981481481478E-4</v>
      </c>
      <c r="G315" s="37">
        <v>2.25</v>
      </c>
      <c r="H315">
        <v>2.93</v>
      </c>
      <c r="I315" s="37">
        <v>0.96</v>
      </c>
      <c r="J315">
        <f t="shared" si="4"/>
        <v>2.8128000000000002</v>
      </c>
    </row>
    <row r="316" spans="1:10" x14ac:dyDescent="0.3">
      <c r="A316" t="s">
        <v>3</v>
      </c>
      <c r="B316" t="s">
        <v>95</v>
      </c>
      <c r="C316" t="s">
        <v>138</v>
      </c>
      <c r="D316" t="s">
        <v>148</v>
      </c>
      <c r="E316" t="s">
        <v>45</v>
      </c>
      <c r="F316" s="1">
        <v>9.7809027777777781E-4</v>
      </c>
      <c r="G316" s="37">
        <v>2.2599999999999998</v>
      </c>
      <c r="H316">
        <v>2.94</v>
      </c>
      <c r="I316" s="37">
        <v>0.96</v>
      </c>
      <c r="J316">
        <f t="shared" si="4"/>
        <v>2.8224</v>
      </c>
    </row>
    <row r="317" spans="1:10" x14ac:dyDescent="0.3">
      <c r="A317" t="s">
        <v>3</v>
      </c>
      <c r="B317" t="s">
        <v>95</v>
      </c>
      <c r="C317" t="s">
        <v>138</v>
      </c>
      <c r="D317" t="s">
        <v>148</v>
      </c>
      <c r="E317" t="s">
        <v>46</v>
      </c>
      <c r="F317" s="1">
        <v>9.7437500000000009E-4</v>
      </c>
      <c r="G317" s="37">
        <v>2.2599999999999998</v>
      </c>
      <c r="H317">
        <v>2.93</v>
      </c>
      <c r="I317" s="37">
        <v>0.96</v>
      </c>
      <c r="J317">
        <f t="shared" si="4"/>
        <v>2.8128000000000002</v>
      </c>
    </row>
    <row r="318" spans="1:10" x14ac:dyDescent="0.3">
      <c r="A318" t="s">
        <v>3</v>
      </c>
      <c r="B318" t="s">
        <v>95</v>
      </c>
      <c r="C318" t="s">
        <v>138</v>
      </c>
      <c r="D318" t="s">
        <v>148</v>
      </c>
      <c r="E318" t="s">
        <v>47</v>
      </c>
      <c r="F318" s="1">
        <v>9.7755787037037039E-4</v>
      </c>
      <c r="G318" s="37">
        <v>2.23</v>
      </c>
      <c r="H318">
        <v>2.9</v>
      </c>
      <c r="I318" s="37">
        <v>0.96</v>
      </c>
      <c r="J318">
        <f t="shared" si="4"/>
        <v>2.7839999999999998</v>
      </c>
    </row>
    <row r="319" spans="1:10" x14ac:dyDescent="0.3">
      <c r="A319" t="s">
        <v>3</v>
      </c>
      <c r="B319" t="s">
        <v>95</v>
      </c>
      <c r="C319" t="s">
        <v>138</v>
      </c>
      <c r="D319" t="s">
        <v>148</v>
      </c>
      <c r="E319" t="s">
        <v>48</v>
      </c>
      <c r="F319" s="1">
        <v>9.8392361111111098E-4</v>
      </c>
      <c r="G319" s="37">
        <v>2.19</v>
      </c>
      <c r="H319">
        <v>2.86</v>
      </c>
      <c r="I319" s="37">
        <v>0.96</v>
      </c>
      <c r="J319">
        <f t="shared" si="4"/>
        <v>2.7455999999999996</v>
      </c>
    </row>
    <row r="320" spans="1:10" x14ac:dyDescent="0.3">
      <c r="A320" t="s">
        <v>3</v>
      </c>
      <c r="B320" t="s">
        <v>95</v>
      </c>
      <c r="C320" t="s">
        <v>138</v>
      </c>
      <c r="D320" t="s">
        <v>148</v>
      </c>
      <c r="E320" t="s">
        <v>49</v>
      </c>
      <c r="F320" s="1">
        <v>9.7871527777777779E-4</v>
      </c>
      <c r="G320" s="37">
        <v>2.2400000000000002</v>
      </c>
      <c r="H320">
        <v>2.92</v>
      </c>
      <c r="I320" s="37">
        <v>0.96</v>
      </c>
      <c r="J320">
        <f t="shared" si="4"/>
        <v>2.8031999999999999</v>
      </c>
    </row>
    <row r="321" spans="1:10" x14ac:dyDescent="0.3">
      <c r="A321" t="s">
        <v>3</v>
      </c>
      <c r="B321" t="s">
        <v>95</v>
      </c>
      <c r="C321" t="s">
        <v>138</v>
      </c>
      <c r="D321" t="s">
        <v>148</v>
      </c>
      <c r="E321" t="s">
        <v>50</v>
      </c>
      <c r="F321" s="1">
        <v>9.7819444444444429E-4</v>
      </c>
      <c r="G321" s="37">
        <v>2.2200000000000002</v>
      </c>
      <c r="H321">
        <v>2.88</v>
      </c>
      <c r="I321" s="37">
        <v>0.96</v>
      </c>
      <c r="J321">
        <f t="shared" si="4"/>
        <v>2.7647999999999997</v>
      </c>
    </row>
    <row r="322" spans="1:10" x14ac:dyDescent="0.3">
      <c r="A322" t="s">
        <v>3</v>
      </c>
      <c r="B322" t="s">
        <v>95</v>
      </c>
      <c r="C322" t="s">
        <v>138</v>
      </c>
      <c r="D322" t="s">
        <v>148</v>
      </c>
      <c r="E322" t="s">
        <v>51</v>
      </c>
      <c r="F322" s="1">
        <v>9.7987268518518519E-4</v>
      </c>
      <c r="G322" s="37">
        <v>2.21</v>
      </c>
      <c r="H322">
        <v>2.88</v>
      </c>
      <c r="I322" s="37">
        <v>0.96</v>
      </c>
      <c r="J322">
        <f t="shared" si="4"/>
        <v>2.7647999999999997</v>
      </c>
    </row>
    <row r="323" spans="1:10" x14ac:dyDescent="0.3">
      <c r="A323" t="s">
        <v>3</v>
      </c>
      <c r="B323" t="s">
        <v>95</v>
      </c>
      <c r="C323" t="s">
        <v>138</v>
      </c>
      <c r="D323" t="s">
        <v>148</v>
      </c>
      <c r="E323" t="s">
        <v>52</v>
      </c>
      <c r="F323" s="1">
        <v>9.8173611111111118E-4</v>
      </c>
      <c r="G323" s="37">
        <v>2.2000000000000002</v>
      </c>
      <c r="H323">
        <v>2.86</v>
      </c>
      <c r="I323" s="37">
        <v>0.96</v>
      </c>
      <c r="J323">
        <f t="shared" si="4"/>
        <v>2.7455999999999996</v>
      </c>
    </row>
    <row r="324" spans="1:10" x14ac:dyDescent="0.3">
      <c r="A324" t="s">
        <v>3</v>
      </c>
      <c r="B324" t="s">
        <v>95</v>
      </c>
      <c r="C324" t="s">
        <v>138</v>
      </c>
      <c r="D324" t="s">
        <v>148</v>
      </c>
      <c r="E324" t="s">
        <v>53</v>
      </c>
      <c r="F324" s="1">
        <v>9.8085648148148142E-4</v>
      </c>
      <c r="G324" s="37">
        <v>2.23</v>
      </c>
      <c r="H324">
        <v>2.91</v>
      </c>
      <c r="I324" s="37">
        <v>0.96</v>
      </c>
      <c r="J324">
        <f t="shared" ref="J324:J387" si="5">H324*I324</f>
        <v>2.7936000000000001</v>
      </c>
    </row>
    <row r="325" spans="1:10" x14ac:dyDescent="0.3">
      <c r="A325" t="s">
        <v>3</v>
      </c>
      <c r="B325" t="s">
        <v>95</v>
      </c>
      <c r="C325" t="s">
        <v>138</v>
      </c>
      <c r="D325" t="s">
        <v>148</v>
      </c>
      <c r="E325" t="s">
        <v>54</v>
      </c>
      <c r="F325" s="1">
        <v>9.8149305555555555E-4</v>
      </c>
      <c r="G325" s="37">
        <v>2.23</v>
      </c>
      <c r="H325">
        <v>2.9</v>
      </c>
      <c r="I325" s="37">
        <v>0.96</v>
      </c>
      <c r="J325">
        <f t="shared" si="5"/>
        <v>2.7839999999999998</v>
      </c>
    </row>
    <row r="326" spans="1:10" x14ac:dyDescent="0.3">
      <c r="A326" t="s">
        <v>3</v>
      </c>
      <c r="B326" t="s">
        <v>95</v>
      </c>
      <c r="C326" t="s">
        <v>138</v>
      </c>
      <c r="D326" t="s">
        <v>148</v>
      </c>
      <c r="E326" t="s">
        <v>55</v>
      </c>
      <c r="F326" s="1">
        <v>9.8021990740740752E-4</v>
      </c>
      <c r="G326" s="37">
        <v>2.2200000000000002</v>
      </c>
      <c r="H326">
        <v>2.88</v>
      </c>
      <c r="I326" s="37">
        <v>0.96</v>
      </c>
      <c r="J326">
        <f t="shared" si="5"/>
        <v>2.7647999999999997</v>
      </c>
    </row>
    <row r="327" spans="1:10" x14ac:dyDescent="0.3">
      <c r="A327" t="s">
        <v>3</v>
      </c>
      <c r="B327" t="s">
        <v>95</v>
      </c>
      <c r="C327" t="s">
        <v>138</v>
      </c>
      <c r="D327" t="s">
        <v>148</v>
      </c>
      <c r="E327" t="s">
        <v>56</v>
      </c>
      <c r="F327" s="1">
        <v>9.8079861111111111E-4</v>
      </c>
      <c r="G327" s="37">
        <v>2.19</v>
      </c>
      <c r="H327">
        <v>2.9</v>
      </c>
      <c r="I327" s="37">
        <v>0.96</v>
      </c>
      <c r="J327">
        <f t="shared" si="5"/>
        <v>2.7839999999999998</v>
      </c>
    </row>
    <row r="328" spans="1:10" x14ac:dyDescent="0.3">
      <c r="A328" t="s">
        <v>3</v>
      </c>
      <c r="B328" t="s">
        <v>95</v>
      </c>
      <c r="C328" t="s">
        <v>138</v>
      </c>
      <c r="D328" t="s">
        <v>148</v>
      </c>
      <c r="E328" t="s">
        <v>57</v>
      </c>
      <c r="F328" s="1">
        <v>9.8241898148148147E-4</v>
      </c>
      <c r="G328" s="37">
        <v>2.23</v>
      </c>
      <c r="H328">
        <v>2.91</v>
      </c>
      <c r="I328" s="37">
        <v>0.96</v>
      </c>
      <c r="J328">
        <f t="shared" si="5"/>
        <v>2.7936000000000001</v>
      </c>
    </row>
    <row r="329" spans="1:10" x14ac:dyDescent="0.3">
      <c r="A329" t="s">
        <v>3</v>
      </c>
      <c r="B329" t="s">
        <v>95</v>
      </c>
      <c r="C329" t="s">
        <v>138</v>
      </c>
      <c r="D329" t="s">
        <v>148</v>
      </c>
      <c r="E329" t="s">
        <v>58</v>
      </c>
      <c r="F329" s="1">
        <v>9.801620370370372E-4</v>
      </c>
      <c r="G329" s="37">
        <v>2.19</v>
      </c>
      <c r="H329">
        <v>2.89</v>
      </c>
      <c r="I329" s="37">
        <v>0.96</v>
      </c>
      <c r="J329">
        <f t="shared" si="5"/>
        <v>2.7744</v>
      </c>
    </row>
    <row r="330" spans="1:10" x14ac:dyDescent="0.3">
      <c r="A330" t="s">
        <v>3</v>
      </c>
      <c r="B330" t="s">
        <v>95</v>
      </c>
      <c r="C330" t="s">
        <v>138</v>
      </c>
      <c r="D330" t="s">
        <v>148</v>
      </c>
      <c r="E330" t="s">
        <v>59</v>
      </c>
      <c r="F330" s="1">
        <v>9.7148148148148159E-4</v>
      </c>
      <c r="G330" s="37">
        <v>2.2400000000000002</v>
      </c>
      <c r="H330">
        <v>2.92</v>
      </c>
      <c r="I330" s="37">
        <v>0.96</v>
      </c>
      <c r="J330">
        <f t="shared" si="5"/>
        <v>2.8031999999999999</v>
      </c>
    </row>
    <row r="331" spans="1:10" x14ac:dyDescent="0.3">
      <c r="A331" t="s">
        <v>3</v>
      </c>
      <c r="B331" t="s">
        <v>95</v>
      </c>
      <c r="C331" t="s">
        <v>138</v>
      </c>
      <c r="D331" t="s">
        <v>148</v>
      </c>
      <c r="E331" t="s">
        <v>60</v>
      </c>
      <c r="F331" s="1">
        <v>9.8114583333333344E-4</v>
      </c>
      <c r="G331" s="37">
        <v>2.2000000000000002</v>
      </c>
      <c r="H331">
        <v>2.92</v>
      </c>
      <c r="I331" s="37">
        <v>0.96</v>
      </c>
      <c r="J331">
        <f t="shared" si="5"/>
        <v>2.8031999999999999</v>
      </c>
    </row>
    <row r="332" spans="1:10" x14ac:dyDescent="0.3">
      <c r="A332" t="s">
        <v>3</v>
      </c>
      <c r="B332" t="s">
        <v>95</v>
      </c>
      <c r="C332" t="s">
        <v>138</v>
      </c>
      <c r="D332" t="s">
        <v>148</v>
      </c>
      <c r="E332" t="s">
        <v>61</v>
      </c>
      <c r="F332" s="1">
        <v>9.755902777777777E-4</v>
      </c>
      <c r="G332" s="37">
        <v>2.2000000000000002</v>
      </c>
      <c r="H332">
        <v>2.86</v>
      </c>
      <c r="I332" s="37">
        <v>0.96</v>
      </c>
      <c r="J332">
        <f t="shared" si="5"/>
        <v>2.7455999999999996</v>
      </c>
    </row>
    <row r="333" spans="1:10" x14ac:dyDescent="0.3">
      <c r="A333" t="s">
        <v>3</v>
      </c>
      <c r="B333" t="s">
        <v>95</v>
      </c>
      <c r="C333" t="s">
        <v>138</v>
      </c>
      <c r="D333" t="s">
        <v>148</v>
      </c>
      <c r="E333" t="s">
        <v>62</v>
      </c>
      <c r="F333" s="1">
        <v>9.7045138888888897E-4</v>
      </c>
      <c r="G333" s="37">
        <v>2.2200000000000002</v>
      </c>
      <c r="H333">
        <v>2.9</v>
      </c>
      <c r="I333" s="37">
        <v>0.96</v>
      </c>
      <c r="J333">
        <f t="shared" si="5"/>
        <v>2.7839999999999998</v>
      </c>
    </row>
    <row r="334" spans="1:10" x14ac:dyDescent="0.3">
      <c r="A334" t="s">
        <v>3</v>
      </c>
      <c r="B334" t="s">
        <v>95</v>
      </c>
      <c r="C334" t="s">
        <v>138</v>
      </c>
      <c r="D334" t="s">
        <v>148</v>
      </c>
      <c r="E334" t="s">
        <v>63</v>
      </c>
      <c r="F334" s="1">
        <v>9.6884259259259254E-4</v>
      </c>
      <c r="G334" s="37">
        <v>2.2400000000000002</v>
      </c>
      <c r="H334">
        <v>2.93</v>
      </c>
      <c r="I334" s="37">
        <v>0.96</v>
      </c>
      <c r="J334">
        <f t="shared" si="5"/>
        <v>2.8128000000000002</v>
      </c>
    </row>
    <row r="335" spans="1:10" x14ac:dyDescent="0.3">
      <c r="A335" t="s">
        <v>3</v>
      </c>
      <c r="B335" t="s">
        <v>95</v>
      </c>
      <c r="C335" t="s">
        <v>138</v>
      </c>
      <c r="D335" t="s">
        <v>148</v>
      </c>
      <c r="E335" t="s">
        <v>64</v>
      </c>
      <c r="F335" s="1">
        <v>9.7168981481481488E-4</v>
      </c>
      <c r="G335" s="37">
        <v>2.2200000000000002</v>
      </c>
      <c r="H335">
        <v>2.93</v>
      </c>
      <c r="I335" s="37">
        <v>0.96</v>
      </c>
      <c r="J335">
        <f t="shared" si="5"/>
        <v>2.8128000000000002</v>
      </c>
    </row>
    <row r="336" spans="1:10" x14ac:dyDescent="0.3">
      <c r="A336" t="s">
        <v>3</v>
      </c>
      <c r="B336" t="s">
        <v>95</v>
      </c>
      <c r="C336" t="s">
        <v>138</v>
      </c>
      <c r="D336" t="s">
        <v>148</v>
      </c>
      <c r="E336" t="s">
        <v>65</v>
      </c>
      <c r="F336" s="1">
        <v>9.7518518518518516E-4</v>
      </c>
      <c r="G336" s="37">
        <v>2.1800000000000002</v>
      </c>
      <c r="H336">
        <v>2.85</v>
      </c>
      <c r="I336" s="37">
        <v>0.96</v>
      </c>
      <c r="J336">
        <f t="shared" si="5"/>
        <v>2.7359999999999998</v>
      </c>
    </row>
    <row r="337" spans="1:10" x14ac:dyDescent="0.3">
      <c r="A337" t="s">
        <v>3</v>
      </c>
      <c r="B337" t="s">
        <v>95</v>
      </c>
      <c r="C337" t="s">
        <v>138</v>
      </c>
      <c r="D337" t="s">
        <v>148</v>
      </c>
      <c r="E337" t="s">
        <v>66</v>
      </c>
      <c r="F337" s="1">
        <v>9.9266203703703691E-4</v>
      </c>
      <c r="G337" s="37">
        <v>2.15</v>
      </c>
      <c r="H337">
        <v>2.83</v>
      </c>
      <c r="I337" s="37">
        <v>0.96</v>
      </c>
      <c r="J337">
        <f t="shared" si="5"/>
        <v>2.7168000000000001</v>
      </c>
    </row>
    <row r="338" spans="1:10" x14ac:dyDescent="0.3">
      <c r="A338" t="s">
        <v>3</v>
      </c>
      <c r="B338" t="s">
        <v>95</v>
      </c>
      <c r="C338" t="s">
        <v>138</v>
      </c>
      <c r="D338" t="s">
        <v>148</v>
      </c>
      <c r="E338" t="s">
        <v>67</v>
      </c>
      <c r="F338" s="1">
        <v>9.9503472222222224E-4</v>
      </c>
      <c r="G338" s="37">
        <v>2.15</v>
      </c>
      <c r="H338">
        <v>2.82</v>
      </c>
      <c r="I338" s="37">
        <v>0.96</v>
      </c>
      <c r="J338">
        <f t="shared" si="5"/>
        <v>2.7071999999999998</v>
      </c>
    </row>
    <row r="339" spans="1:10" x14ac:dyDescent="0.3">
      <c r="A339" t="s">
        <v>3</v>
      </c>
      <c r="B339" t="s">
        <v>95</v>
      </c>
      <c r="C339" t="s">
        <v>138</v>
      </c>
      <c r="D339" t="s">
        <v>148</v>
      </c>
      <c r="E339" t="s">
        <v>69</v>
      </c>
      <c r="F339" s="1">
        <v>9.7890046296296288E-4</v>
      </c>
      <c r="G339" s="37">
        <v>2.2200000000000002</v>
      </c>
      <c r="H339">
        <v>2.92</v>
      </c>
      <c r="I339" s="37">
        <v>0.96</v>
      </c>
      <c r="J339">
        <f t="shared" si="5"/>
        <v>2.8031999999999999</v>
      </c>
    </row>
    <row r="340" spans="1:10" x14ac:dyDescent="0.3">
      <c r="A340" t="s">
        <v>3</v>
      </c>
      <c r="B340" t="s">
        <v>95</v>
      </c>
      <c r="C340" t="s">
        <v>138</v>
      </c>
      <c r="D340" t="s">
        <v>148</v>
      </c>
      <c r="E340" t="s">
        <v>70</v>
      </c>
      <c r="F340" s="1">
        <v>9.7587962962962971E-4</v>
      </c>
      <c r="G340" s="37">
        <v>2.2200000000000002</v>
      </c>
      <c r="H340">
        <v>2.92</v>
      </c>
      <c r="I340" s="37">
        <v>0.96</v>
      </c>
      <c r="J340">
        <f t="shared" si="5"/>
        <v>2.8031999999999999</v>
      </c>
    </row>
    <row r="341" spans="1:10" x14ac:dyDescent="0.3">
      <c r="A341" t="s">
        <v>3</v>
      </c>
      <c r="B341" t="s">
        <v>95</v>
      </c>
      <c r="C341" t="s">
        <v>138</v>
      </c>
      <c r="D341" t="s">
        <v>148</v>
      </c>
      <c r="E341" t="s">
        <v>71</v>
      </c>
      <c r="F341" s="1">
        <v>9.7535879629629633E-4</v>
      </c>
      <c r="G341" s="37">
        <v>2.21</v>
      </c>
      <c r="H341">
        <v>2.92</v>
      </c>
      <c r="I341" s="37">
        <v>0.96</v>
      </c>
      <c r="J341">
        <f t="shared" si="5"/>
        <v>2.8031999999999999</v>
      </c>
    </row>
    <row r="342" spans="1:10" x14ac:dyDescent="0.3">
      <c r="A342" t="s">
        <v>3</v>
      </c>
      <c r="B342" t="s">
        <v>87</v>
      </c>
      <c r="C342" t="s">
        <v>138</v>
      </c>
      <c r="D342" t="s">
        <v>149</v>
      </c>
      <c r="E342" t="s">
        <v>9</v>
      </c>
      <c r="F342" s="1">
        <v>9.9603009259259263E-4</v>
      </c>
      <c r="G342" s="37">
        <v>2.04</v>
      </c>
      <c r="H342">
        <v>2.62</v>
      </c>
      <c r="I342" s="37">
        <v>1.006</v>
      </c>
      <c r="J342">
        <f t="shared" si="5"/>
        <v>2.6357200000000001</v>
      </c>
    </row>
    <row r="343" spans="1:10" x14ac:dyDescent="0.3">
      <c r="A343" t="s">
        <v>3</v>
      </c>
      <c r="B343" t="s">
        <v>87</v>
      </c>
      <c r="C343" t="s">
        <v>138</v>
      </c>
      <c r="D343" t="s">
        <v>149</v>
      </c>
      <c r="E343" t="s">
        <v>10</v>
      </c>
      <c r="F343" s="1">
        <v>9.7843750000000014E-4</v>
      </c>
      <c r="G343" s="37">
        <v>2.08</v>
      </c>
      <c r="H343">
        <v>2.67</v>
      </c>
      <c r="I343" s="37">
        <v>1.006</v>
      </c>
      <c r="J343">
        <f t="shared" si="5"/>
        <v>2.6860200000000001</v>
      </c>
    </row>
    <row r="344" spans="1:10" x14ac:dyDescent="0.3">
      <c r="A344" t="s">
        <v>3</v>
      </c>
      <c r="B344" t="s">
        <v>87</v>
      </c>
      <c r="C344" t="s">
        <v>138</v>
      </c>
      <c r="D344" t="s">
        <v>149</v>
      </c>
      <c r="E344" t="s">
        <v>15</v>
      </c>
      <c r="F344" s="1">
        <v>9.9525462962962957E-4</v>
      </c>
      <c r="G344" s="37">
        <v>2.08</v>
      </c>
      <c r="H344">
        <v>2.68</v>
      </c>
      <c r="I344" s="37">
        <v>1.006</v>
      </c>
      <c r="J344">
        <f t="shared" si="5"/>
        <v>2.6960800000000003</v>
      </c>
    </row>
    <row r="345" spans="1:10" x14ac:dyDescent="0.3">
      <c r="A345" t="s">
        <v>3</v>
      </c>
      <c r="B345" t="s">
        <v>87</v>
      </c>
      <c r="C345" t="s">
        <v>138</v>
      </c>
      <c r="D345" t="s">
        <v>149</v>
      </c>
      <c r="E345" t="s">
        <v>16</v>
      </c>
      <c r="F345" s="1">
        <v>9.7936342592592606E-4</v>
      </c>
      <c r="G345" s="37">
        <v>2.0699999999999998</v>
      </c>
      <c r="H345">
        <v>2.67</v>
      </c>
      <c r="I345" s="37">
        <v>1.006</v>
      </c>
      <c r="J345">
        <f t="shared" si="5"/>
        <v>2.6860200000000001</v>
      </c>
    </row>
    <row r="346" spans="1:10" x14ac:dyDescent="0.3">
      <c r="A346" t="s">
        <v>3</v>
      </c>
      <c r="B346" t="s">
        <v>87</v>
      </c>
      <c r="C346" t="s">
        <v>138</v>
      </c>
      <c r="D346" t="s">
        <v>149</v>
      </c>
      <c r="E346" t="s">
        <v>17</v>
      </c>
      <c r="F346" s="1">
        <v>9.8244212962962955E-4</v>
      </c>
      <c r="G346" s="37">
        <v>2.0499999999999998</v>
      </c>
      <c r="H346">
        <v>2.65</v>
      </c>
      <c r="I346" s="37">
        <v>1.006</v>
      </c>
      <c r="J346">
        <f t="shared" si="5"/>
        <v>2.6658999999999997</v>
      </c>
    </row>
    <row r="347" spans="1:10" x14ac:dyDescent="0.3">
      <c r="A347" t="s">
        <v>3</v>
      </c>
      <c r="B347" t="s">
        <v>87</v>
      </c>
      <c r="C347" t="s">
        <v>138</v>
      </c>
      <c r="D347" t="s">
        <v>149</v>
      </c>
      <c r="E347" t="s">
        <v>18</v>
      </c>
      <c r="F347" s="1">
        <v>9.811921296296296E-4</v>
      </c>
      <c r="G347" s="37">
        <v>2.06</v>
      </c>
      <c r="H347">
        <v>2.67</v>
      </c>
      <c r="I347" s="37">
        <v>1.006</v>
      </c>
      <c r="J347">
        <f t="shared" si="5"/>
        <v>2.6860200000000001</v>
      </c>
    </row>
    <row r="348" spans="1:10" x14ac:dyDescent="0.3">
      <c r="A348" t="s">
        <v>3</v>
      </c>
      <c r="B348" t="s">
        <v>87</v>
      </c>
      <c r="C348" t="s">
        <v>138</v>
      </c>
      <c r="D348" t="s">
        <v>149</v>
      </c>
      <c r="E348" t="s">
        <v>19</v>
      </c>
      <c r="F348" s="1">
        <v>9.8444444444444447E-4</v>
      </c>
      <c r="G348" s="37">
        <v>2.09</v>
      </c>
      <c r="H348">
        <v>2.7</v>
      </c>
      <c r="I348" s="37">
        <v>1.006</v>
      </c>
      <c r="J348">
        <f t="shared" si="5"/>
        <v>2.7162000000000002</v>
      </c>
    </row>
    <row r="349" spans="1:10" x14ac:dyDescent="0.3">
      <c r="A349" t="s">
        <v>3</v>
      </c>
      <c r="B349" t="s">
        <v>87</v>
      </c>
      <c r="C349" t="s">
        <v>138</v>
      </c>
      <c r="D349" t="s">
        <v>149</v>
      </c>
      <c r="E349" t="s">
        <v>45</v>
      </c>
      <c r="F349" s="1">
        <v>9.8436342592592607E-4</v>
      </c>
      <c r="G349" s="37">
        <v>2.14</v>
      </c>
      <c r="H349">
        <v>2.77</v>
      </c>
      <c r="I349" s="37">
        <v>1.006</v>
      </c>
      <c r="J349">
        <f t="shared" si="5"/>
        <v>2.7866200000000001</v>
      </c>
    </row>
    <row r="350" spans="1:10" x14ac:dyDescent="0.3">
      <c r="A350" t="s">
        <v>3</v>
      </c>
      <c r="B350" t="s">
        <v>87</v>
      </c>
      <c r="C350" t="s">
        <v>138</v>
      </c>
      <c r="D350" t="s">
        <v>149</v>
      </c>
      <c r="E350" t="s">
        <v>46</v>
      </c>
      <c r="F350" s="1">
        <v>9.8864583333333335E-4</v>
      </c>
      <c r="G350" s="37">
        <v>2.11</v>
      </c>
      <c r="H350">
        <v>2.72</v>
      </c>
      <c r="I350" s="37">
        <v>1.006</v>
      </c>
      <c r="J350">
        <f t="shared" si="5"/>
        <v>2.7363200000000001</v>
      </c>
    </row>
    <row r="351" spans="1:10" x14ac:dyDescent="0.3">
      <c r="A351" t="s">
        <v>3</v>
      </c>
      <c r="B351" t="s">
        <v>87</v>
      </c>
      <c r="C351" t="s">
        <v>138</v>
      </c>
      <c r="D351" t="s">
        <v>149</v>
      </c>
      <c r="E351" t="s">
        <v>47</v>
      </c>
      <c r="F351" s="1">
        <v>9.8994212962962968E-4</v>
      </c>
      <c r="G351" s="37">
        <v>2.13</v>
      </c>
      <c r="H351">
        <v>2.74</v>
      </c>
      <c r="I351" s="37">
        <v>1.006</v>
      </c>
      <c r="J351">
        <f t="shared" si="5"/>
        <v>2.7564400000000004</v>
      </c>
    </row>
    <row r="352" spans="1:10" x14ac:dyDescent="0.3">
      <c r="A352" t="s">
        <v>3</v>
      </c>
      <c r="B352" t="s">
        <v>87</v>
      </c>
      <c r="C352" t="s">
        <v>138</v>
      </c>
      <c r="D352" t="s">
        <v>149</v>
      </c>
      <c r="E352" t="s">
        <v>48</v>
      </c>
      <c r="F352" s="1">
        <v>9.8868055555555558E-4</v>
      </c>
      <c r="G352" s="37">
        <v>2.13</v>
      </c>
      <c r="H352">
        <v>2.74</v>
      </c>
      <c r="I352" s="37">
        <v>1.006</v>
      </c>
      <c r="J352">
        <f t="shared" si="5"/>
        <v>2.7564400000000004</v>
      </c>
    </row>
    <row r="353" spans="1:10" x14ac:dyDescent="0.3">
      <c r="A353" t="s">
        <v>3</v>
      </c>
      <c r="B353" t="s">
        <v>87</v>
      </c>
      <c r="C353" t="s">
        <v>138</v>
      </c>
      <c r="D353" t="s">
        <v>149</v>
      </c>
      <c r="E353" t="s">
        <v>49</v>
      </c>
      <c r="F353" s="1">
        <v>9.8572916666666665E-4</v>
      </c>
      <c r="G353" s="37">
        <v>2.15</v>
      </c>
      <c r="H353">
        <v>2.76</v>
      </c>
      <c r="I353" s="37">
        <v>1.006</v>
      </c>
      <c r="J353">
        <f t="shared" si="5"/>
        <v>2.7765599999999999</v>
      </c>
    </row>
    <row r="354" spans="1:10" x14ac:dyDescent="0.3">
      <c r="A354" t="s">
        <v>3</v>
      </c>
      <c r="B354" t="s">
        <v>87</v>
      </c>
      <c r="C354" t="s">
        <v>138</v>
      </c>
      <c r="D354" t="s">
        <v>149</v>
      </c>
      <c r="E354" t="s">
        <v>50</v>
      </c>
      <c r="F354" s="1">
        <v>9.8473379629629627E-4</v>
      </c>
      <c r="G354" s="37">
        <v>2.16</v>
      </c>
      <c r="H354">
        <v>2.79</v>
      </c>
      <c r="I354" s="37">
        <v>1.006</v>
      </c>
      <c r="J354">
        <f t="shared" si="5"/>
        <v>2.80674</v>
      </c>
    </row>
    <row r="355" spans="1:10" x14ac:dyDescent="0.3">
      <c r="A355" t="s">
        <v>3</v>
      </c>
      <c r="B355" t="s">
        <v>87</v>
      </c>
      <c r="C355" t="s">
        <v>138</v>
      </c>
      <c r="D355" t="s">
        <v>149</v>
      </c>
      <c r="E355" t="s">
        <v>51</v>
      </c>
      <c r="F355" s="1">
        <v>9.8490740740740743E-4</v>
      </c>
      <c r="G355" s="37">
        <v>2.17</v>
      </c>
      <c r="H355">
        <v>2.79</v>
      </c>
      <c r="I355" s="37">
        <v>1.006</v>
      </c>
      <c r="J355">
        <f t="shared" si="5"/>
        <v>2.80674</v>
      </c>
    </row>
    <row r="356" spans="1:10" x14ac:dyDescent="0.3">
      <c r="A356" t="s">
        <v>3</v>
      </c>
      <c r="B356" t="s">
        <v>87</v>
      </c>
      <c r="C356" t="s">
        <v>138</v>
      </c>
      <c r="D356" t="s">
        <v>149</v>
      </c>
      <c r="E356" t="s">
        <v>52</v>
      </c>
      <c r="F356" s="1">
        <v>9.8422453703703714E-4</v>
      </c>
      <c r="G356" s="37">
        <v>2.13</v>
      </c>
      <c r="H356">
        <v>2.74</v>
      </c>
      <c r="I356" s="37">
        <v>1.006</v>
      </c>
      <c r="J356">
        <f t="shared" si="5"/>
        <v>2.7564400000000004</v>
      </c>
    </row>
    <row r="357" spans="1:10" x14ac:dyDescent="0.3">
      <c r="A357" t="s">
        <v>3</v>
      </c>
      <c r="B357" t="s">
        <v>87</v>
      </c>
      <c r="C357" t="s">
        <v>138</v>
      </c>
      <c r="D357" t="s">
        <v>149</v>
      </c>
      <c r="E357" t="s">
        <v>53</v>
      </c>
      <c r="F357" s="1">
        <v>9.9200231481481492E-4</v>
      </c>
      <c r="G357" s="37">
        <v>2.11</v>
      </c>
      <c r="H357">
        <v>2.72</v>
      </c>
      <c r="I357" s="37">
        <v>1.006</v>
      </c>
      <c r="J357">
        <f t="shared" si="5"/>
        <v>2.7363200000000001</v>
      </c>
    </row>
    <row r="358" spans="1:10" x14ac:dyDescent="0.3">
      <c r="A358" t="s">
        <v>3</v>
      </c>
      <c r="B358" t="s">
        <v>87</v>
      </c>
      <c r="C358" t="s">
        <v>138</v>
      </c>
      <c r="D358" t="s">
        <v>149</v>
      </c>
      <c r="E358" t="s">
        <v>54</v>
      </c>
      <c r="F358" s="1">
        <v>9.9042824074074072E-4</v>
      </c>
      <c r="G358" s="37">
        <v>2.14</v>
      </c>
      <c r="H358">
        <v>2.76</v>
      </c>
      <c r="I358" s="37">
        <v>1.006</v>
      </c>
      <c r="J358">
        <f t="shared" si="5"/>
        <v>2.7765599999999999</v>
      </c>
    </row>
    <row r="359" spans="1:10" x14ac:dyDescent="0.3">
      <c r="A359" t="s">
        <v>3</v>
      </c>
      <c r="B359" t="s">
        <v>87</v>
      </c>
      <c r="C359" t="s">
        <v>138</v>
      </c>
      <c r="D359" t="s">
        <v>149</v>
      </c>
      <c r="E359" t="s">
        <v>55</v>
      </c>
      <c r="F359" s="1">
        <v>1.009224537037037E-3</v>
      </c>
      <c r="G359" s="37">
        <v>2.12</v>
      </c>
      <c r="H359">
        <v>2.74</v>
      </c>
      <c r="I359" s="37">
        <v>1.006</v>
      </c>
      <c r="J359">
        <f t="shared" si="5"/>
        <v>2.7564400000000004</v>
      </c>
    </row>
    <row r="360" spans="1:10" x14ac:dyDescent="0.3">
      <c r="A360" t="s">
        <v>3</v>
      </c>
      <c r="B360" t="s">
        <v>87</v>
      </c>
      <c r="C360" t="s">
        <v>138</v>
      </c>
      <c r="D360" t="s">
        <v>149</v>
      </c>
      <c r="E360" t="s">
        <v>57</v>
      </c>
      <c r="F360" s="1">
        <v>9.7686342592592595E-4</v>
      </c>
      <c r="G360" s="37">
        <v>2.16</v>
      </c>
      <c r="H360">
        <v>2.78</v>
      </c>
      <c r="I360" s="37">
        <v>1.006</v>
      </c>
      <c r="J360">
        <f t="shared" si="5"/>
        <v>2.7966799999999998</v>
      </c>
    </row>
    <row r="361" spans="1:10" x14ac:dyDescent="0.3">
      <c r="A361" t="s">
        <v>3</v>
      </c>
      <c r="B361" t="s">
        <v>87</v>
      </c>
      <c r="C361" t="s">
        <v>138</v>
      </c>
      <c r="D361" t="s">
        <v>149</v>
      </c>
      <c r="E361" t="s">
        <v>58</v>
      </c>
      <c r="F361" s="1">
        <v>9.7716435185185167E-4</v>
      </c>
      <c r="G361" s="37">
        <v>2.17</v>
      </c>
      <c r="H361">
        <v>2.79</v>
      </c>
      <c r="I361" s="37">
        <v>1.006</v>
      </c>
      <c r="J361">
        <f t="shared" si="5"/>
        <v>2.80674</v>
      </c>
    </row>
    <row r="362" spans="1:10" x14ac:dyDescent="0.3">
      <c r="A362" t="s">
        <v>3</v>
      </c>
      <c r="B362" t="s">
        <v>87</v>
      </c>
      <c r="C362" t="s">
        <v>138</v>
      </c>
      <c r="D362" t="s">
        <v>149</v>
      </c>
      <c r="E362" t="s">
        <v>72</v>
      </c>
      <c r="F362" s="1">
        <v>9.7732638888888891E-4</v>
      </c>
      <c r="G362" s="37">
        <v>2.14</v>
      </c>
      <c r="H362">
        <v>2.75</v>
      </c>
      <c r="I362" s="37">
        <v>1.006</v>
      </c>
      <c r="J362">
        <f t="shared" si="5"/>
        <v>2.7665000000000002</v>
      </c>
    </row>
    <row r="363" spans="1:10" x14ac:dyDescent="0.3">
      <c r="A363" t="s">
        <v>3</v>
      </c>
      <c r="B363" t="s">
        <v>87</v>
      </c>
      <c r="C363" t="s">
        <v>138</v>
      </c>
      <c r="D363" t="s">
        <v>149</v>
      </c>
      <c r="E363" t="s">
        <v>59</v>
      </c>
      <c r="F363" s="1">
        <v>9.7011574074074068E-4</v>
      </c>
      <c r="G363" s="37">
        <v>2.19</v>
      </c>
      <c r="H363">
        <v>2.82</v>
      </c>
      <c r="I363" s="37">
        <v>1.006</v>
      </c>
      <c r="J363">
        <f t="shared" si="5"/>
        <v>2.8369199999999997</v>
      </c>
    </row>
    <row r="364" spans="1:10" x14ac:dyDescent="0.3">
      <c r="A364" t="s">
        <v>3</v>
      </c>
      <c r="B364" t="s">
        <v>87</v>
      </c>
      <c r="C364" t="s">
        <v>138</v>
      </c>
      <c r="D364" t="s">
        <v>149</v>
      </c>
      <c r="E364" t="s">
        <v>60</v>
      </c>
      <c r="F364" s="1">
        <v>9.7789351851851856E-4</v>
      </c>
      <c r="G364" s="37">
        <v>2.13</v>
      </c>
      <c r="H364">
        <v>2.74</v>
      </c>
      <c r="I364" s="37">
        <v>1.006</v>
      </c>
      <c r="J364">
        <f t="shared" si="5"/>
        <v>2.7564400000000004</v>
      </c>
    </row>
    <row r="365" spans="1:10" x14ac:dyDescent="0.3">
      <c r="A365" t="s">
        <v>3</v>
      </c>
      <c r="B365" t="s">
        <v>87</v>
      </c>
      <c r="C365" t="s">
        <v>138</v>
      </c>
      <c r="D365" t="s">
        <v>149</v>
      </c>
      <c r="E365" t="s">
        <v>61</v>
      </c>
      <c r="F365" s="1">
        <v>9.7872685185185172E-4</v>
      </c>
      <c r="G365" s="37">
        <v>2.12</v>
      </c>
      <c r="H365">
        <v>2.73</v>
      </c>
      <c r="I365" s="37">
        <v>1.006</v>
      </c>
      <c r="J365">
        <f t="shared" si="5"/>
        <v>2.7463799999999998</v>
      </c>
    </row>
    <row r="366" spans="1:10" x14ac:dyDescent="0.3">
      <c r="A366" t="s">
        <v>3</v>
      </c>
      <c r="B366" t="s">
        <v>87</v>
      </c>
      <c r="C366" t="s">
        <v>138</v>
      </c>
      <c r="D366" t="s">
        <v>149</v>
      </c>
      <c r="E366" t="s">
        <v>62</v>
      </c>
      <c r="F366" s="1">
        <v>9.8168981481481479E-4</v>
      </c>
      <c r="G366" s="37">
        <v>2.13</v>
      </c>
      <c r="H366">
        <v>2.76</v>
      </c>
      <c r="I366" s="37">
        <v>1.006</v>
      </c>
      <c r="J366">
        <f t="shared" si="5"/>
        <v>2.7765599999999999</v>
      </c>
    </row>
    <row r="367" spans="1:10" x14ac:dyDescent="0.3">
      <c r="A367" t="s">
        <v>3</v>
      </c>
      <c r="B367" t="s">
        <v>87</v>
      </c>
      <c r="C367" t="s">
        <v>138</v>
      </c>
      <c r="D367" t="s">
        <v>149</v>
      </c>
      <c r="E367" t="s">
        <v>63</v>
      </c>
      <c r="F367" s="1">
        <v>9.8123842592592598E-4</v>
      </c>
      <c r="G367" s="37">
        <v>2.12</v>
      </c>
      <c r="H367">
        <v>2.74</v>
      </c>
      <c r="I367" s="37">
        <v>1.006</v>
      </c>
      <c r="J367">
        <f t="shared" si="5"/>
        <v>2.7564400000000004</v>
      </c>
    </row>
    <row r="368" spans="1:10" x14ac:dyDescent="0.3">
      <c r="A368" t="s">
        <v>3</v>
      </c>
      <c r="B368" t="s">
        <v>87</v>
      </c>
      <c r="C368" t="s">
        <v>138</v>
      </c>
      <c r="D368" t="s">
        <v>149</v>
      </c>
      <c r="E368" t="s">
        <v>64</v>
      </c>
      <c r="F368" s="1">
        <v>9.8040509259259261E-4</v>
      </c>
      <c r="G368" s="37">
        <v>2.15</v>
      </c>
      <c r="H368">
        <v>2.76</v>
      </c>
      <c r="I368" s="37">
        <v>1.006</v>
      </c>
      <c r="J368">
        <f t="shared" si="5"/>
        <v>2.7765599999999999</v>
      </c>
    </row>
    <row r="369" spans="1:10" x14ac:dyDescent="0.3">
      <c r="A369" t="s">
        <v>3</v>
      </c>
      <c r="B369" t="s">
        <v>87</v>
      </c>
      <c r="C369" t="s">
        <v>138</v>
      </c>
      <c r="D369" t="s">
        <v>149</v>
      </c>
      <c r="E369" t="s">
        <v>65</v>
      </c>
      <c r="F369" s="1">
        <v>9.8751157407407403E-4</v>
      </c>
      <c r="G369" s="37">
        <v>2.0499999999999998</v>
      </c>
      <c r="H369">
        <v>2.63</v>
      </c>
      <c r="I369" s="37">
        <v>1.006</v>
      </c>
      <c r="J369">
        <f t="shared" si="5"/>
        <v>2.6457799999999998</v>
      </c>
    </row>
    <row r="370" spans="1:10" x14ac:dyDescent="0.3">
      <c r="A370" t="s">
        <v>3</v>
      </c>
      <c r="B370" t="s">
        <v>87</v>
      </c>
      <c r="C370" t="s">
        <v>138</v>
      </c>
      <c r="D370" t="s">
        <v>149</v>
      </c>
      <c r="E370" t="s">
        <v>66</v>
      </c>
      <c r="F370" s="1">
        <v>9.875810185185185E-4</v>
      </c>
      <c r="G370" s="37">
        <v>2.06</v>
      </c>
      <c r="H370">
        <v>2.67</v>
      </c>
      <c r="I370" s="37">
        <v>1.006</v>
      </c>
      <c r="J370">
        <f t="shared" si="5"/>
        <v>2.6860200000000001</v>
      </c>
    </row>
    <row r="371" spans="1:10" x14ac:dyDescent="0.3">
      <c r="A371" t="s">
        <v>3</v>
      </c>
      <c r="B371" t="s">
        <v>87</v>
      </c>
      <c r="C371" t="s">
        <v>138</v>
      </c>
      <c r="D371" t="s">
        <v>149</v>
      </c>
      <c r="E371" t="s">
        <v>67</v>
      </c>
      <c r="F371" s="1">
        <v>9.8346064814814824E-4</v>
      </c>
      <c r="G371" s="37">
        <v>2.08</v>
      </c>
      <c r="H371">
        <v>2.68</v>
      </c>
      <c r="I371" s="37">
        <v>1.006</v>
      </c>
      <c r="J371">
        <f t="shared" si="5"/>
        <v>2.6960800000000003</v>
      </c>
    </row>
    <row r="372" spans="1:10" x14ac:dyDescent="0.3">
      <c r="A372" t="s">
        <v>3</v>
      </c>
      <c r="B372" t="s">
        <v>87</v>
      </c>
      <c r="C372" t="s">
        <v>138</v>
      </c>
      <c r="D372" t="s">
        <v>149</v>
      </c>
      <c r="E372" t="s">
        <v>68</v>
      </c>
      <c r="F372" s="1">
        <v>9.8509259259259253E-4</v>
      </c>
      <c r="G372" s="37">
        <v>2.13</v>
      </c>
      <c r="H372">
        <v>2.75</v>
      </c>
      <c r="I372" s="37">
        <v>1.006</v>
      </c>
      <c r="J372">
        <f t="shared" si="5"/>
        <v>2.7665000000000002</v>
      </c>
    </row>
    <row r="373" spans="1:10" x14ac:dyDescent="0.3">
      <c r="A373" t="s">
        <v>3</v>
      </c>
      <c r="B373" t="s">
        <v>87</v>
      </c>
      <c r="C373" t="s">
        <v>138</v>
      </c>
      <c r="D373" t="s">
        <v>149</v>
      </c>
      <c r="E373" t="s">
        <v>69</v>
      </c>
      <c r="F373" s="1">
        <v>9.9112268518518516E-4</v>
      </c>
      <c r="G373" s="37">
        <v>2.11</v>
      </c>
      <c r="H373">
        <v>2.71</v>
      </c>
      <c r="I373" s="37">
        <v>1.006</v>
      </c>
      <c r="J373">
        <f t="shared" si="5"/>
        <v>2.7262599999999999</v>
      </c>
    </row>
    <row r="374" spans="1:10" x14ac:dyDescent="0.3">
      <c r="A374" t="s">
        <v>3</v>
      </c>
      <c r="B374" t="s">
        <v>87</v>
      </c>
      <c r="C374" t="s">
        <v>138</v>
      </c>
      <c r="D374" t="s">
        <v>149</v>
      </c>
      <c r="E374" t="s">
        <v>70</v>
      </c>
      <c r="F374" s="1">
        <v>9.9311342592592593E-4</v>
      </c>
      <c r="G374" s="37">
        <v>2.1</v>
      </c>
      <c r="H374">
        <v>2.72</v>
      </c>
      <c r="I374" s="37">
        <v>1.006</v>
      </c>
      <c r="J374">
        <f t="shared" si="5"/>
        <v>2.7363200000000001</v>
      </c>
    </row>
    <row r="375" spans="1:10" x14ac:dyDescent="0.3">
      <c r="A375" t="s">
        <v>3</v>
      </c>
      <c r="B375" t="s">
        <v>87</v>
      </c>
      <c r="C375" t="s">
        <v>138</v>
      </c>
      <c r="D375" t="s">
        <v>149</v>
      </c>
      <c r="E375" t="s">
        <v>71</v>
      </c>
      <c r="F375" s="1">
        <v>9.9873842592592592E-4</v>
      </c>
      <c r="G375" s="37">
        <v>1.93</v>
      </c>
      <c r="H375">
        <v>2.52</v>
      </c>
      <c r="I375" s="37">
        <v>1.006</v>
      </c>
      <c r="J375">
        <f t="shared" si="5"/>
        <v>2.53512</v>
      </c>
    </row>
    <row r="376" spans="1:10" x14ac:dyDescent="0.3">
      <c r="A376" t="s">
        <v>3</v>
      </c>
      <c r="B376" t="s">
        <v>89</v>
      </c>
      <c r="C376" t="s">
        <v>138</v>
      </c>
      <c r="D376" t="s">
        <v>150</v>
      </c>
      <c r="E376" t="s">
        <v>9</v>
      </c>
      <c r="F376" s="1">
        <v>9.8587962962962974E-4</v>
      </c>
      <c r="G376" s="37">
        <v>2.08</v>
      </c>
      <c r="H376">
        <v>3.29</v>
      </c>
      <c r="I376" s="37">
        <v>0.83199999999999996</v>
      </c>
      <c r="J376">
        <f t="shared" si="5"/>
        <v>2.7372799999999997</v>
      </c>
    </row>
    <row r="377" spans="1:10" x14ac:dyDescent="0.3">
      <c r="A377" t="s">
        <v>3</v>
      </c>
      <c r="B377" t="s">
        <v>89</v>
      </c>
      <c r="C377" t="s">
        <v>138</v>
      </c>
      <c r="D377" t="s">
        <v>150</v>
      </c>
      <c r="E377" t="s">
        <v>10</v>
      </c>
      <c r="F377" s="1">
        <v>9.8056712962962963E-4</v>
      </c>
      <c r="G377" s="37">
        <v>2.09</v>
      </c>
      <c r="H377">
        <v>3.33</v>
      </c>
      <c r="I377" s="37">
        <v>0.83199999999999996</v>
      </c>
      <c r="J377">
        <f t="shared" si="5"/>
        <v>2.7705600000000001</v>
      </c>
    </row>
    <row r="378" spans="1:10" x14ac:dyDescent="0.3">
      <c r="A378" t="s">
        <v>3</v>
      </c>
      <c r="B378" t="s">
        <v>89</v>
      </c>
      <c r="C378" t="s">
        <v>138</v>
      </c>
      <c r="D378" t="s">
        <v>150</v>
      </c>
      <c r="E378" t="s">
        <v>15</v>
      </c>
      <c r="F378" s="1">
        <v>9.7340277777777779E-4</v>
      </c>
      <c r="G378" s="37">
        <v>2.12</v>
      </c>
      <c r="H378">
        <v>3.37</v>
      </c>
      <c r="I378" s="37">
        <v>0.83199999999999996</v>
      </c>
      <c r="J378">
        <f t="shared" si="5"/>
        <v>2.8038400000000001</v>
      </c>
    </row>
    <row r="379" spans="1:10" x14ac:dyDescent="0.3">
      <c r="A379" t="s">
        <v>3</v>
      </c>
      <c r="B379" t="s">
        <v>89</v>
      </c>
      <c r="C379" t="s">
        <v>138</v>
      </c>
      <c r="D379" t="s">
        <v>150</v>
      </c>
      <c r="E379" t="s">
        <v>16</v>
      </c>
      <c r="F379" s="1">
        <v>9.7304398148148142E-4</v>
      </c>
      <c r="G379" s="37">
        <v>2.14</v>
      </c>
      <c r="H379">
        <v>3.37</v>
      </c>
      <c r="I379" s="37">
        <v>0.83199999999999996</v>
      </c>
      <c r="J379">
        <f t="shared" si="5"/>
        <v>2.8038400000000001</v>
      </c>
    </row>
    <row r="380" spans="1:10" x14ac:dyDescent="0.3">
      <c r="A380" t="s">
        <v>3</v>
      </c>
      <c r="B380" t="s">
        <v>89</v>
      </c>
      <c r="C380" t="s">
        <v>138</v>
      </c>
      <c r="D380" t="s">
        <v>150</v>
      </c>
      <c r="E380" t="s">
        <v>17</v>
      </c>
      <c r="F380" s="1">
        <v>9.7353009259259257E-4</v>
      </c>
      <c r="G380" s="37">
        <v>2.17</v>
      </c>
      <c r="H380">
        <v>3.42</v>
      </c>
      <c r="I380" s="37">
        <v>0.83199999999999996</v>
      </c>
      <c r="J380">
        <f t="shared" si="5"/>
        <v>2.84544</v>
      </c>
    </row>
    <row r="381" spans="1:10" x14ac:dyDescent="0.3">
      <c r="A381" t="s">
        <v>3</v>
      </c>
      <c r="B381" t="s">
        <v>89</v>
      </c>
      <c r="C381" t="s">
        <v>138</v>
      </c>
      <c r="D381" t="s">
        <v>150</v>
      </c>
      <c r="E381" t="s">
        <v>18</v>
      </c>
      <c r="F381" s="1">
        <v>9.7565972222222216E-4</v>
      </c>
      <c r="G381" s="37">
        <v>2.14</v>
      </c>
      <c r="H381">
        <v>3.39</v>
      </c>
      <c r="I381" s="37">
        <v>0.83199999999999996</v>
      </c>
      <c r="J381">
        <f t="shared" si="5"/>
        <v>2.8204799999999999</v>
      </c>
    </row>
    <row r="382" spans="1:10" x14ac:dyDescent="0.3">
      <c r="A382" t="s">
        <v>3</v>
      </c>
      <c r="B382" t="s">
        <v>89</v>
      </c>
      <c r="C382" t="s">
        <v>138</v>
      </c>
      <c r="D382" t="s">
        <v>150</v>
      </c>
      <c r="E382" t="s">
        <v>19</v>
      </c>
      <c r="F382" s="1">
        <v>9.7498842592592602E-4</v>
      </c>
      <c r="G382" s="37">
        <v>2.16</v>
      </c>
      <c r="H382">
        <v>3.43</v>
      </c>
      <c r="I382" s="37">
        <v>0.83199999999999996</v>
      </c>
      <c r="J382">
        <f t="shared" si="5"/>
        <v>2.8537599999999999</v>
      </c>
    </row>
    <row r="383" spans="1:10" x14ac:dyDescent="0.3">
      <c r="A383" t="s">
        <v>3</v>
      </c>
      <c r="B383" t="s">
        <v>89</v>
      </c>
      <c r="C383" t="s">
        <v>138</v>
      </c>
      <c r="D383" t="s">
        <v>150</v>
      </c>
      <c r="E383" t="s">
        <v>45</v>
      </c>
      <c r="F383" s="1">
        <v>9.8038194444444453E-4</v>
      </c>
      <c r="G383" s="37">
        <v>2.14</v>
      </c>
      <c r="H383">
        <v>3.39</v>
      </c>
      <c r="I383" s="37">
        <v>0.83199999999999996</v>
      </c>
      <c r="J383">
        <f t="shared" si="5"/>
        <v>2.8204799999999999</v>
      </c>
    </row>
    <row r="384" spans="1:10" x14ac:dyDescent="0.3">
      <c r="A384" t="s">
        <v>3</v>
      </c>
      <c r="B384" t="s">
        <v>89</v>
      </c>
      <c r="C384" t="s">
        <v>138</v>
      </c>
      <c r="D384" t="s">
        <v>150</v>
      </c>
      <c r="E384" t="s">
        <v>46</v>
      </c>
      <c r="F384" s="1">
        <v>9.8258101851851848E-4</v>
      </c>
      <c r="G384" s="37">
        <v>2.13</v>
      </c>
      <c r="H384">
        <v>3.38</v>
      </c>
      <c r="I384" s="37">
        <v>0.83199999999999996</v>
      </c>
      <c r="J384">
        <f t="shared" si="5"/>
        <v>2.81216</v>
      </c>
    </row>
    <row r="385" spans="1:10" x14ac:dyDescent="0.3">
      <c r="A385" t="s">
        <v>3</v>
      </c>
      <c r="B385" t="s">
        <v>89</v>
      </c>
      <c r="C385" t="s">
        <v>138</v>
      </c>
      <c r="D385" t="s">
        <v>150</v>
      </c>
      <c r="E385" t="s">
        <v>47</v>
      </c>
      <c r="F385" s="1">
        <v>9.8396990740740736E-4</v>
      </c>
      <c r="G385" s="37">
        <v>2.14</v>
      </c>
      <c r="H385">
        <v>3.4</v>
      </c>
      <c r="I385" s="37">
        <v>0.83199999999999996</v>
      </c>
      <c r="J385">
        <f t="shared" si="5"/>
        <v>2.8287999999999998</v>
      </c>
    </row>
    <row r="386" spans="1:10" x14ac:dyDescent="0.3">
      <c r="A386" t="s">
        <v>3</v>
      </c>
      <c r="B386" t="s">
        <v>89</v>
      </c>
      <c r="C386" t="s">
        <v>138</v>
      </c>
      <c r="D386" t="s">
        <v>150</v>
      </c>
      <c r="E386" t="s">
        <v>48</v>
      </c>
      <c r="F386" s="1">
        <v>9.8310185185185176E-4</v>
      </c>
      <c r="G386" s="37">
        <v>2.17</v>
      </c>
      <c r="H386">
        <v>3.44</v>
      </c>
      <c r="I386" s="37">
        <v>0.83199999999999996</v>
      </c>
      <c r="J386">
        <f t="shared" si="5"/>
        <v>2.8620799999999997</v>
      </c>
    </row>
    <row r="387" spans="1:10" x14ac:dyDescent="0.3">
      <c r="A387" t="s">
        <v>3</v>
      </c>
      <c r="B387" t="s">
        <v>89</v>
      </c>
      <c r="C387" t="s">
        <v>138</v>
      </c>
      <c r="D387" t="s">
        <v>150</v>
      </c>
      <c r="E387" t="s">
        <v>49</v>
      </c>
      <c r="F387" s="1">
        <v>9.8045138888888878E-4</v>
      </c>
      <c r="G387" s="37">
        <v>2.17</v>
      </c>
      <c r="H387">
        <v>3.45</v>
      </c>
      <c r="I387" s="37">
        <v>0.83199999999999996</v>
      </c>
      <c r="J387">
        <f t="shared" si="5"/>
        <v>2.8704000000000001</v>
      </c>
    </row>
    <row r="388" spans="1:10" x14ac:dyDescent="0.3">
      <c r="A388" t="s">
        <v>3</v>
      </c>
      <c r="B388" t="s">
        <v>89</v>
      </c>
      <c r="C388" t="s">
        <v>138</v>
      </c>
      <c r="D388" t="s">
        <v>150</v>
      </c>
      <c r="E388" t="s">
        <v>50</v>
      </c>
      <c r="F388" s="1">
        <v>9.8194444444444457E-4</v>
      </c>
      <c r="G388" s="37">
        <v>2.1800000000000002</v>
      </c>
      <c r="H388">
        <v>3.46</v>
      </c>
      <c r="I388" s="37">
        <v>0.83199999999999996</v>
      </c>
      <c r="J388">
        <f t="shared" ref="J388:J451" si="6">H388*I388</f>
        <v>2.8787199999999999</v>
      </c>
    </row>
    <row r="389" spans="1:10" x14ac:dyDescent="0.3">
      <c r="A389" t="s">
        <v>3</v>
      </c>
      <c r="B389" t="s">
        <v>89</v>
      </c>
      <c r="C389" t="s">
        <v>138</v>
      </c>
      <c r="D389" t="s">
        <v>150</v>
      </c>
      <c r="E389" t="s">
        <v>51</v>
      </c>
      <c r="F389" s="1">
        <v>9.8460648148148149E-4</v>
      </c>
      <c r="G389" s="37">
        <v>2.1800000000000002</v>
      </c>
      <c r="H389">
        <v>3.44</v>
      </c>
      <c r="I389" s="37">
        <v>0.83199999999999996</v>
      </c>
      <c r="J389">
        <f t="shared" si="6"/>
        <v>2.8620799999999997</v>
      </c>
    </row>
    <row r="390" spans="1:10" x14ac:dyDescent="0.3">
      <c r="A390" t="s">
        <v>3</v>
      </c>
      <c r="B390" t="s">
        <v>89</v>
      </c>
      <c r="C390" t="s">
        <v>138</v>
      </c>
      <c r="D390" t="s">
        <v>150</v>
      </c>
      <c r="E390" t="s">
        <v>53</v>
      </c>
      <c r="F390" s="1">
        <v>9.643055555555556E-4</v>
      </c>
      <c r="G390" s="37">
        <v>2.21</v>
      </c>
      <c r="H390">
        <v>3.52</v>
      </c>
      <c r="I390" s="37">
        <v>0.83199999999999996</v>
      </c>
      <c r="J390">
        <f t="shared" si="6"/>
        <v>2.9286399999999997</v>
      </c>
    </row>
    <row r="391" spans="1:10" x14ac:dyDescent="0.3">
      <c r="A391" t="s">
        <v>3</v>
      </c>
      <c r="B391" t="s">
        <v>89</v>
      </c>
      <c r="C391" t="s">
        <v>138</v>
      </c>
      <c r="D391" t="s">
        <v>150</v>
      </c>
      <c r="E391" t="s">
        <v>54</v>
      </c>
      <c r="F391" s="1">
        <v>9.6562500000000012E-4</v>
      </c>
      <c r="G391" s="37">
        <v>2.2200000000000002</v>
      </c>
      <c r="H391">
        <v>3.52</v>
      </c>
      <c r="I391" s="37">
        <v>0.83199999999999996</v>
      </c>
      <c r="J391">
        <f t="shared" si="6"/>
        <v>2.9286399999999997</v>
      </c>
    </row>
    <row r="392" spans="1:10" x14ac:dyDescent="0.3">
      <c r="A392" t="s">
        <v>3</v>
      </c>
      <c r="B392" t="s">
        <v>89</v>
      </c>
      <c r="C392" t="s">
        <v>138</v>
      </c>
      <c r="D392" t="s">
        <v>150</v>
      </c>
      <c r="E392" t="s">
        <v>55</v>
      </c>
      <c r="F392" s="1">
        <v>9.7013888888888877E-4</v>
      </c>
      <c r="G392" s="37">
        <v>2.21</v>
      </c>
      <c r="H392">
        <v>3.49</v>
      </c>
      <c r="I392" s="37">
        <v>0.83199999999999996</v>
      </c>
      <c r="J392">
        <f t="shared" si="6"/>
        <v>2.90368</v>
      </c>
    </row>
    <row r="393" spans="1:10" x14ac:dyDescent="0.3">
      <c r="A393" t="s">
        <v>3</v>
      </c>
      <c r="B393" t="s">
        <v>89</v>
      </c>
      <c r="C393" t="s">
        <v>138</v>
      </c>
      <c r="D393" t="s">
        <v>150</v>
      </c>
      <c r="E393" t="s">
        <v>56</v>
      </c>
      <c r="F393" s="1">
        <v>9.7188657407407412E-4</v>
      </c>
      <c r="G393" s="37">
        <v>2.19</v>
      </c>
      <c r="H393">
        <v>3.47</v>
      </c>
      <c r="I393" s="37">
        <v>0.83199999999999996</v>
      </c>
      <c r="J393">
        <f t="shared" si="6"/>
        <v>2.8870399999999998</v>
      </c>
    </row>
    <row r="394" spans="1:10" x14ac:dyDescent="0.3">
      <c r="A394" t="s">
        <v>3</v>
      </c>
      <c r="B394" t="s">
        <v>89</v>
      </c>
      <c r="C394" t="s">
        <v>138</v>
      </c>
      <c r="D394" t="s">
        <v>150</v>
      </c>
      <c r="E394" t="s">
        <v>57</v>
      </c>
      <c r="F394" s="1">
        <v>9.7408564814814818E-4</v>
      </c>
      <c r="G394" s="37">
        <v>2.2000000000000002</v>
      </c>
      <c r="H394">
        <v>3.46</v>
      </c>
      <c r="I394" s="37">
        <v>0.83199999999999996</v>
      </c>
      <c r="J394">
        <f t="shared" si="6"/>
        <v>2.8787199999999999</v>
      </c>
    </row>
    <row r="395" spans="1:10" x14ac:dyDescent="0.3">
      <c r="A395" t="s">
        <v>3</v>
      </c>
      <c r="B395" t="s">
        <v>89</v>
      </c>
      <c r="C395" t="s">
        <v>138</v>
      </c>
      <c r="D395" t="s">
        <v>150</v>
      </c>
      <c r="E395" t="s">
        <v>58</v>
      </c>
      <c r="F395" s="1">
        <v>9.7221064814814804E-4</v>
      </c>
      <c r="G395" s="37">
        <v>2.16</v>
      </c>
      <c r="H395">
        <v>3.43</v>
      </c>
      <c r="I395" s="37">
        <v>0.83199999999999996</v>
      </c>
      <c r="J395">
        <f t="shared" si="6"/>
        <v>2.8537599999999999</v>
      </c>
    </row>
    <row r="396" spans="1:10" x14ac:dyDescent="0.3">
      <c r="A396" t="s">
        <v>3</v>
      </c>
      <c r="B396" t="s">
        <v>89</v>
      </c>
      <c r="C396" t="s">
        <v>138</v>
      </c>
      <c r="D396" t="s">
        <v>150</v>
      </c>
      <c r="E396" t="s">
        <v>72</v>
      </c>
      <c r="F396" s="1">
        <v>9.7081018518518523E-4</v>
      </c>
      <c r="G396" s="37">
        <v>2.19</v>
      </c>
      <c r="H396">
        <v>3.46</v>
      </c>
      <c r="I396" s="37">
        <v>0.83199999999999996</v>
      </c>
      <c r="J396">
        <f t="shared" si="6"/>
        <v>2.8787199999999999</v>
      </c>
    </row>
    <row r="397" spans="1:10" x14ac:dyDescent="0.3">
      <c r="A397" t="s">
        <v>3</v>
      </c>
      <c r="B397" t="s">
        <v>89</v>
      </c>
      <c r="C397" t="s">
        <v>138</v>
      </c>
      <c r="D397" t="s">
        <v>150</v>
      </c>
      <c r="E397" t="s">
        <v>59</v>
      </c>
      <c r="F397" s="1">
        <v>9.7248842592592591E-4</v>
      </c>
      <c r="G397" s="37">
        <v>2.1800000000000002</v>
      </c>
      <c r="H397">
        <v>3.44</v>
      </c>
      <c r="I397" s="37">
        <v>0.83199999999999996</v>
      </c>
      <c r="J397">
        <f t="shared" si="6"/>
        <v>2.8620799999999997</v>
      </c>
    </row>
    <row r="398" spans="1:10" x14ac:dyDescent="0.3">
      <c r="A398" t="s">
        <v>3</v>
      </c>
      <c r="B398" t="s">
        <v>89</v>
      </c>
      <c r="C398" t="s">
        <v>138</v>
      </c>
      <c r="D398" t="s">
        <v>150</v>
      </c>
      <c r="E398" t="s">
        <v>60</v>
      </c>
      <c r="F398" s="1">
        <v>9.7581018518518524E-4</v>
      </c>
      <c r="G398" s="37">
        <v>2.16</v>
      </c>
      <c r="H398">
        <v>3.42</v>
      </c>
      <c r="I398" s="37">
        <v>0.83199999999999996</v>
      </c>
      <c r="J398">
        <f t="shared" si="6"/>
        <v>2.84544</v>
      </c>
    </row>
    <row r="399" spans="1:10" x14ac:dyDescent="0.3">
      <c r="A399" t="s">
        <v>3</v>
      </c>
      <c r="B399" t="s">
        <v>89</v>
      </c>
      <c r="C399" t="s">
        <v>138</v>
      </c>
      <c r="D399" t="s">
        <v>150</v>
      </c>
      <c r="E399" t="s">
        <v>61</v>
      </c>
      <c r="F399" s="1">
        <v>9.767476851851851E-4</v>
      </c>
      <c r="G399" s="37">
        <v>2.15</v>
      </c>
      <c r="H399">
        <v>3.42</v>
      </c>
      <c r="I399" s="37">
        <v>0.83199999999999996</v>
      </c>
      <c r="J399">
        <f t="shared" si="6"/>
        <v>2.84544</v>
      </c>
    </row>
    <row r="400" spans="1:10" x14ac:dyDescent="0.3">
      <c r="A400" t="s">
        <v>3</v>
      </c>
      <c r="B400" t="s">
        <v>89</v>
      </c>
      <c r="C400" t="s">
        <v>138</v>
      </c>
      <c r="D400" t="s">
        <v>150</v>
      </c>
      <c r="E400" t="s">
        <v>62</v>
      </c>
      <c r="F400" s="1">
        <v>9.7847222222222216E-4</v>
      </c>
      <c r="G400" s="37">
        <v>2.14</v>
      </c>
      <c r="H400">
        <v>3.39</v>
      </c>
      <c r="I400" s="37">
        <v>0.83199999999999996</v>
      </c>
      <c r="J400">
        <f t="shared" si="6"/>
        <v>2.8204799999999999</v>
      </c>
    </row>
    <row r="401" spans="1:10" x14ac:dyDescent="0.3">
      <c r="A401" t="s">
        <v>3</v>
      </c>
      <c r="B401" t="s">
        <v>89</v>
      </c>
      <c r="C401" t="s">
        <v>138</v>
      </c>
      <c r="D401" t="s">
        <v>150</v>
      </c>
      <c r="E401" t="s">
        <v>63</v>
      </c>
      <c r="F401" s="1">
        <v>9.7906250000000011E-4</v>
      </c>
      <c r="G401" s="37">
        <v>2.12</v>
      </c>
      <c r="H401">
        <v>3.37</v>
      </c>
      <c r="I401" s="37">
        <v>0.83199999999999996</v>
      </c>
      <c r="J401">
        <f t="shared" si="6"/>
        <v>2.8038400000000001</v>
      </c>
    </row>
    <row r="402" spans="1:10" x14ac:dyDescent="0.3">
      <c r="A402" t="s">
        <v>3</v>
      </c>
      <c r="B402" t="s">
        <v>89</v>
      </c>
      <c r="C402" t="s">
        <v>138</v>
      </c>
      <c r="D402" t="s">
        <v>150</v>
      </c>
      <c r="E402" t="s">
        <v>64</v>
      </c>
      <c r="F402" s="1">
        <v>9.8576388888888889E-4</v>
      </c>
      <c r="G402" s="37">
        <v>2.1</v>
      </c>
      <c r="H402">
        <v>3.33</v>
      </c>
      <c r="I402" s="37">
        <v>0.83199999999999996</v>
      </c>
      <c r="J402">
        <f t="shared" si="6"/>
        <v>2.7705600000000001</v>
      </c>
    </row>
    <row r="403" spans="1:10" x14ac:dyDescent="0.3">
      <c r="A403" t="s">
        <v>3</v>
      </c>
      <c r="B403" t="s">
        <v>89</v>
      </c>
      <c r="C403" t="s">
        <v>138</v>
      </c>
      <c r="D403" t="s">
        <v>150</v>
      </c>
      <c r="E403" t="s">
        <v>65</v>
      </c>
      <c r="F403" s="1">
        <v>9.8327546296296292E-4</v>
      </c>
      <c r="G403" s="37">
        <v>2.09</v>
      </c>
      <c r="H403">
        <v>3.32</v>
      </c>
      <c r="I403" s="37">
        <v>0.83199999999999996</v>
      </c>
      <c r="J403">
        <f t="shared" si="6"/>
        <v>2.7622399999999998</v>
      </c>
    </row>
    <row r="404" spans="1:10" x14ac:dyDescent="0.3">
      <c r="A404" t="s">
        <v>3</v>
      </c>
      <c r="B404" t="s">
        <v>89</v>
      </c>
      <c r="C404" t="s">
        <v>138</v>
      </c>
      <c r="D404" t="s">
        <v>150</v>
      </c>
      <c r="E404" t="s">
        <v>66</v>
      </c>
      <c r="F404" s="1">
        <v>9.9230324074074065E-4</v>
      </c>
      <c r="G404" s="37">
        <v>2.13</v>
      </c>
      <c r="H404">
        <v>3.37</v>
      </c>
      <c r="I404" s="37">
        <v>0.83199999999999996</v>
      </c>
      <c r="J404">
        <f t="shared" si="6"/>
        <v>2.8038400000000001</v>
      </c>
    </row>
    <row r="405" spans="1:10" x14ac:dyDescent="0.3">
      <c r="A405" t="s">
        <v>3</v>
      </c>
      <c r="B405" t="s">
        <v>89</v>
      </c>
      <c r="C405" t="s">
        <v>138</v>
      </c>
      <c r="D405" t="s">
        <v>150</v>
      </c>
      <c r="E405" t="s">
        <v>67</v>
      </c>
      <c r="F405" s="1">
        <v>9.9244212962962958E-4</v>
      </c>
      <c r="G405" s="37">
        <v>2.14</v>
      </c>
      <c r="H405">
        <v>3.38</v>
      </c>
      <c r="I405" s="37">
        <v>0.83199999999999996</v>
      </c>
      <c r="J405">
        <f t="shared" si="6"/>
        <v>2.81216</v>
      </c>
    </row>
    <row r="406" spans="1:10" x14ac:dyDescent="0.3">
      <c r="A406" t="s">
        <v>3</v>
      </c>
      <c r="B406" t="s">
        <v>89</v>
      </c>
      <c r="C406" t="s">
        <v>138</v>
      </c>
      <c r="D406" t="s">
        <v>150</v>
      </c>
      <c r="E406" t="s">
        <v>69</v>
      </c>
      <c r="F406" s="1">
        <v>9.8454861111111117E-4</v>
      </c>
      <c r="G406" s="37">
        <v>2.14</v>
      </c>
      <c r="H406">
        <v>3.39</v>
      </c>
      <c r="I406" s="37">
        <v>0.83199999999999996</v>
      </c>
      <c r="J406">
        <f t="shared" si="6"/>
        <v>2.8204799999999999</v>
      </c>
    </row>
    <row r="407" spans="1:10" x14ac:dyDescent="0.3">
      <c r="A407" t="s">
        <v>3</v>
      </c>
      <c r="B407" t="s">
        <v>89</v>
      </c>
      <c r="C407" t="s">
        <v>138</v>
      </c>
      <c r="D407" t="s">
        <v>150</v>
      </c>
      <c r="E407" t="s">
        <v>70</v>
      </c>
      <c r="F407" s="1">
        <v>9.8356481481481494E-4</v>
      </c>
      <c r="G407" s="37">
        <v>2.16</v>
      </c>
      <c r="H407">
        <v>3.43</v>
      </c>
      <c r="I407" s="37">
        <v>0.83199999999999996</v>
      </c>
      <c r="J407">
        <f t="shared" si="6"/>
        <v>2.8537599999999999</v>
      </c>
    </row>
    <row r="408" spans="1:10" x14ac:dyDescent="0.3">
      <c r="A408" t="s">
        <v>3</v>
      </c>
      <c r="B408" t="s">
        <v>89</v>
      </c>
      <c r="C408" t="s">
        <v>138</v>
      </c>
      <c r="D408" t="s">
        <v>150</v>
      </c>
      <c r="E408" t="s">
        <v>71</v>
      </c>
      <c r="F408" s="1">
        <v>9.8502314814814806E-4</v>
      </c>
      <c r="G408" s="37">
        <v>2.13</v>
      </c>
      <c r="H408">
        <v>3.37</v>
      </c>
      <c r="I408" s="37">
        <v>0.83199999999999996</v>
      </c>
      <c r="J408">
        <f t="shared" si="6"/>
        <v>2.8038400000000001</v>
      </c>
    </row>
    <row r="409" spans="1:10" x14ac:dyDescent="0.3">
      <c r="A409" t="s">
        <v>3</v>
      </c>
      <c r="B409" t="s">
        <v>91</v>
      </c>
      <c r="C409" t="s">
        <v>151</v>
      </c>
      <c r="D409" t="s">
        <v>152</v>
      </c>
      <c r="E409" t="s">
        <v>9</v>
      </c>
      <c r="F409" s="1">
        <v>9.8240740740740732E-4</v>
      </c>
      <c r="G409" s="37">
        <v>2.11</v>
      </c>
      <c r="H409">
        <v>2.65</v>
      </c>
      <c r="I409" s="37">
        <v>1.032</v>
      </c>
      <c r="J409">
        <f t="shared" si="6"/>
        <v>2.7347999999999999</v>
      </c>
    </row>
    <row r="410" spans="1:10" x14ac:dyDescent="0.3">
      <c r="A410" t="s">
        <v>3</v>
      </c>
      <c r="B410" t="s">
        <v>91</v>
      </c>
      <c r="C410" t="s">
        <v>151</v>
      </c>
      <c r="D410" s="22" t="s">
        <v>152</v>
      </c>
      <c r="E410" t="s">
        <v>10</v>
      </c>
      <c r="F410" s="1">
        <v>9.7239583333333336E-4</v>
      </c>
      <c r="G410" s="37">
        <v>2.16</v>
      </c>
      <c r="H410">
        <v>2.71</v>
      </c>
      <c r="I410" s="37">
        <v>1.032</v>
      </c>
      <c r="J410">
        <f t="shared" si="6"/>
        <v>2.7967200000000001</v>
      </c>
    </row>
    <row r="411" spans="1:10" x14ac:dyDescent="0.3">
      <c r="A411" t="s">
        <v>3</v>
      </c>
      <c r="B411" t="s">
        <v>91</v>
      </c>
      <c r="C411" t="s">
        <v>151</v>
      </c>
      <c r="D411" s="22" t="s">
        <v>152</v>
      </c>
      <c r="E411" t="s">
        <v>15</v>
      </c>
      <c r="F411" s="1">
        <v>9.7152777777777775E-4</v>
      </c>
      <c r="G411" s="37">
        <v>2.16</v>
      </c>
      <c r="H411">
        <v>2.7</v>
      </c>
      <c r="I411" s="37">
        <v>1.032</v>
      </c>
      <c r="J411">
        <f t="shared" si="6"/>
        <v>2.7864000000000004</v>
      </c>
    </row>
    <row r="412" spans="1:10" x14ac:dyDescent="0.3">
      <c r="A412" t="s">
        <v>3</v>
      </c>
      <c r="B412" t="s">
        <v>91</v>
      </c>
      <c r="C412" t="s">
        <v>151</v>
      </c>
      <c r="D412" s="22" t="s">
        <v>152</v>
      </c>
      <c r="E412" t="s">
        <v>16</v>
      </c>
      <c r="F412" s="1">
        <v>9.7094907407407405E-4</v>
      </c>
      <c r="G412" s="37">
        <v>2.19</v>
      </c>
      <c r="H412">
        <v>2.75</v>
      </c>
      <c r="I412" s="37">
        <v>1.032</v>
      </c>
      <c r="J412">
        <f t="shared" si="6"/>
        <v>2.8380000000000001</v>
      </c>
    </row>
    <row r="413" spans="1:10" x14ac:dyDescent="0.3">
      <c r="A413" t="s">
        <v>3</v>
      </c>
      <c r="B413" t="s">
        <v>91</v>
      </c>
      <c r="C413" t="s">
        <v>151</v>
      </c>
      <c r="D413" s="22" t="s">
        <v>152</v>
      </c>
      <c r="E413" t="s">
        <v>17</v>
      </c>
      <c r="F413" s="1">
        <v>9.7146990740740744E-4</v>
      </c>
      <c r="G413" s="37">
        <v>2.21</v>
      </c>
      <c r="H413">
        <v>2.78</v>
      </c>
      <c r="I413" s="37">
        <v>1.032</v>
      </c>
      <c r="J413">
        <f t="shared" si="6"/>
        <v>2.86896</v>
      </c>
    </row>
    <row r="414" spans="1:10" x14ac:dyDescent="0.3">
      <c r="A414" t="s">
        <v>3</v>
      </c>
      <c r="B414" t="s">
        <v>91</v>
      </c>
      <c r="C414" t="s">
        <v>151</v>
      </c>
      <c r="D414" s="22" t="s">
        <v>152</v>
      </c>
      <c r="E414" t="s">
        <v>18</v>
      </c>
      <c r="F414" s="1">
        <v>9.7210648148148145E-4</v>
      </c>
      <c r="G414" s="37">
        <v>2.2200000000000002</v>
      </c>
      <c r="H414">
        <v>2.77</v>
      </c>
      <c r="I414" s="37">
        <v>1.032</v>
      </c>
      <c r="J414">
        <f t="shared" si="6"/>
        <v>2.8586400000000003</v>
      </c>
    </row>
    <row r="415" spans="1:10" x14ac:dyDescent="0.3">
      <c r="A415" t="s">
        <v>3</v>
      </c>
      <c r="B415" t="s">
        <v>91</v>
      </c>
      <c r="C415" t="s">
        <v>151</v>
      </c>
      <c r="D415" s="22" t="s">
        <v>152</v>
      </c>
      <c r="E415" t="s">
        <v>19</v>
      </c>
      <c r="F415" s="1">
        <v>9.7025462962962961E-4</v>
      </c>
      <c r="G415" s="37">
        <v>2.2000000000000002</v>
      </c>
      <c r="H415">
        <v>2.75</v>
      </c>
      <c r="I415" s="37">
        <v>1.032</v>
      </c>
      <c r="J415">
        <f t="shared" si="6"/>
        <v>2.8380000000000001</v>
      </c>
    </row>
    <row r="416" spans="1:10" x14ac:dyDescent="0.3">
      <c r="A416" t="s">
        <v>3</v>
      </c>
      <c r="B416" t="s">
        <v>91</v>
      </c>
      <c r="C416" t="s">
        <v>151</v>
      </c>
      <c r="D416" s="22" t="s">
        <v>152</v>
      </c>
      <c r="E416" t="s">
        <v>45</v>
      </c>
      <c r="F416" s="1">
        <v>9.7489583333333326E-4</v>
      </c>
      <c r="G416" s="37">
        <v>2.2000000000000002</v>
      </c>
      <c r="H416">
        <v>2.74</v>
      </c>
      <c r="I416" s="37">
        <v>1.032</v>
      </c>
      <c r="J416">
        <f t="shared" si="6"/>
        <v>2.8276800000000004</v>
      </c>
    </row>
    <row r="417" spans="1:10" x14ac:dyDescent="0.3">
      <c r="A417" t="s">
        <v>3</v>
      </c>
      <c r="B417" t="s">
        <v>91</v>
      </c>
      <c r="C417" t="s">
        <v>151</v>
      </c>
      <c r="D417" s="22" t="s">
        <v>152</v>
      </c>
      <c r="E417" t="s">
        <v>46</v>
      </c>
      <c r="F417" s="1">
        <v>9.7545138888888887E-4</v>
      </c>
      <c r="G417" s="37">
        <v>2.2000000000000002</v>
      </c>
      <c r="H417">
        <v>2.75</v>
      </c>
      <c r="I417" s="37">
        <v>1.032</v>
      </c>
      <c r="J417">
        <f t="shared" si="6"/>
        <v>2.8380000000000001</v>
      </c>
    </row>
    <row r="418" spans="1:10" x14ac:dyDescent="0.3">
      <c r="A418" t="s">
        <v>3</v>
      </c>
      <c r="B418" t="s">
        <v>91</v>
      </c>
      <c r="C418" t="s">
        <v>151</v>
      </c>
      <c r="D418" s="22" t="s">
        <v>152</v>
      </c>
      <c r="E418" t="s">
        <v>47</v>
      </c>
      <c r="F418" s="1">
        <v>9.7859953703703715E-4</v>
      </c>
      <c r="G418" s="37">
        <v>2.19</v>
      </c>
      <c r="H418">
        <v>2.74</v>
      </c>
      <c r="I418" s="37">
        <v>1.032</v>
      </c>
      <c r="J418">
        <f t="shared" si="6"/>
        <v>2.8276800000000004</v>
      </c>
    </row>
    <row r="419" spans="1:10" x14ac:dyDescent="0.3">
      <c r="A419" t="s">
        <v>3</v>
      </c>
      <c r="B419" t="s">
        <v>91</v>
      </c>
      <c r="C419" t="s">
        <v>151</v>
      </c>
      <c r="D419" s="22" t="s">
        <v>152</v>
      </c>
      <c r="E419" t="s">
        <v>48</v>
      </c>
      <c r="F419" s="1">
        <v>9.76087962962963E-4</v>
      </c>
      <c r="G419" s="37">
        <v>2.2000000000000002</v>
      </c>
      <c r="H419">
        <v>2.76</v>
      </c>
      <c r="I419" s="37">
        <v>1.032</v>
      </c>
      <c r="J419">
        <f t="shared" si="6"/>
        <v>2.8483199999999997</v>
      </c>
    </row>
    <row r="420" spans="1:10" x14ac:dyDescent="0.3">
      <c r="A420" t="s">
        <v>3</v>
      </c>
      <c r="B420" t="s">
        <v>91</v>
      </c>
      <c r="C420" t="s">
        <v>151</v>
      </c>
      <c r="D420" s="22" t="s">
        <v>152</v>
      </c>
      <c r="E420" t="s">
        <v>49</v>
      </c>
      <c r="F420" s="1">
        <v>9.7841435185185184E-4</v>
      </c>
      <c r="G420" s="37">
        <v>2.19</v>
      </c>
      <c r="H420">
        <v>2.74</v>
      </c>
      <c r="I420" s="37">
        <v>1.032</v>
      </c>
      <c r="J420">
        <f t="shared" si="6"/>
        <v>2.8276800000000004</v>
      </c>
    </row>
    <row r="421" spans="1:10" x14ac:dyDescent="0.3">
      <c r="A421" t="s">
        <v>3</v>
      </c>
      <c r="B421" t="s">
        <v>91</v>
      </c>
      <c r="C421" t="s">
        <v>151</v>
      </c>
      <c r="D421" s="22" t="s">
        <v>152</v>
      </c>
      <c r="E421" t="s">
        <v>50</v>
      </c>
      <c r="F421" s="1">
        <v>9.7819444444444429E-4</v>
      </c>
      <c r="G421" s="37">
        <v>2.17</v>
      </c>
      <c r="H421">
        <v>2.71</v>
      </c>
      <c r="I421" s="37">
        <v>1.032</v>
      </c>
      <c r="J421">
        <f t="shared" si="6"/>
        <v>2.7967200000000001</v>
      </c>
    </row>
    <row r="422" spans="1:10" x14ac:dyDescent="0.3">
      <c r="A422" t="s">
        <v>3</v>
      </c>
      <c r="B422" t="s">
        <v>91</v>
      </c>
      <c r="C422" t="s">
        <v>151</v>
      </c>
      <c r="D422" s="22" t="s">
        <v>152</v>
      </c>
      <c r="E422" t="s">
        <v>51</v>
      </c>
      <c r="F422" s="1">
        <v>9.7870370370370364E-4</v>
      </c>
      <c r="G422" s="37">
        <v>2.1800000000000002</v>
      </c>
      <c r="H422">
        <v>2.73</v>
      </c>
      <c r="I422" s="37">
        <v>1.032</v>
      </c>
      <c r="J422">
        <f t="shared" si="6"/>
        <v>2.8173599999999999</v>
      </c>
    </row>
    <row r="423" spans="1:10" x14ac:dyDescent="0.3">
      <c r="A423" t="s">
        <v>3</v>
      </c>
      <c r="B423" t="s">
        <v>91</v>
      </c>
      <c r="C423" t="s">
        <v>151</v>
      </c>
      <c r="D423" s="22" t="s">
        <v>152</v>
      </c>
      <c r="E423" t="s">
        <v>52</v>
      </c>
      <c r="F423" s="1">
        <v>9.7806712962962951E-4</v>
      </c>
      <c r="G423" s="37">
        <v>2.19</v>
      </c>
      <c r="H423">
        <v>2.74</v>
      </c>
      <c r="I423" s="37">
        <v>1.032</v>
      </c>
      <c r="J423">
        <f t="shared" si="6"/>
        <v>2.8276800000000004</v>
      </c>
    </row>
    <row r="424" spans="1:10" x14ac:dyDescent="0.3">
      <c r="A424" t="s">
        <v>3</v>
      </c>
      <c r="B424" t="s">
        <v>91</v>
      </c>
      <c r="C424" t="s">
        <v>151</v>
      </c>
      <c r="D424" s="22" t="s">
        <v>152</v>
      </c>
      <c r="E424" t="s">
        <v>53</v>
      </c>
      <c r="F424" s="1">
        <v>9.810069444444445E-4</v>
      </c>
      <c r="G424" s="37">
        <v>2.1800000000000002</v>
      </c>
      <c r="H424">
        <v>2.73</v>
      </c>
      <c r="I424" s="37">
        <v>1.032</v>
      </c>
      <c r="J424">
        <f t="shared" si="6"/>
        <v>2.8173599999999999</v>
      </c>
    </row>
    <row r="425" spans="1:10" x14ac:dyDescent="0.3">
      <c r="A425" t="s">
        <v>3</v>
      </c>
      <c r="B425" t="s">
        <v>91</v>
      </c>
      <c r="C425" t="s">
        <v>151</v>
      </c>
      <c r="D425" s="22" t="s">
        <v>152</v>
      </c>
      <c r="E425" t="s">
        <v>54</v>
      </c>
      <c r="F425" s="1">
        <v>9.8269675925925933E-4</v>
      </c>
      <c r="G425" s="37">
        <v>2.17</v>
      </c>
      <c r="H425">
        <v>2.72</v>
      </c>
      <c r="I425" s="37">
        <v>1.032</v>
      </c>
      <c r="J425">
        <f t="shared" si="6"/>
        <v>2.8070400000000002</v>
      </c>
    </row>
    <row r="426" spans="1:10" x14ac:dyDescent="0.3">
      <c r="A426" t="s">
        <v>3</v>
      </c>
      <c r="B426" t="s">
        <v>91</v>
      </c>
      <c r="C426" t="s">
        <v>151</v>
      </c>
      <c r="D426" s="22" t="s">
        <v>152</v>
      </c>
      <c r="E426" t="s">
        <v>55</v>
      </c>
      <c r="F426" s="1">
        <v>9.7974537037037041E-4</v>
      </c>
      <c r="G426" s="37">
        <v>2.15</v>
      </c>
      <c r="H426">
        <v>2.69</v>
      </c>
      <c r="I426" s="37">
        <v>1.032</v>
      </c>
      <c r="J426">
        <f t="shared" si="6"/>
        <v>2.7760799999999999</v>
      </c>
    </row>
    <row r="427" spans="1:10" x14ac:dyDescent="0.3">
      <c r="A427" t="s">
        <v>3</v>
      </c>
      <c r="B427" t="s">
        <v>91</v>
      </c>
      <c r="C427" t="s">
        <v>151</v>
      </c>
      <c r="D427" s="22" t="s">
        <v>152</v>
      </c>
      <c r="E427" t="s">
        <v>57</v>
      </c>
      <c r="F427" s="1">
        <v>9.6608796296296297E-4</v>
      </c>
      <c r="G427" s="37">
        <v>2.16</v>
      </c>
      <c r="H427">
        <v>2.7</v>
      </c>
      <c r="I427" s="37">
        <v>1.032</v>
      </c>
      <c r="J427">
        <f t="shared" si="6"/>
        <v>2.7864000000000004</v>
      </c>
    </row>
    <row r="428" spans="1:10" x14ac:dyDescent="0.3">
      <c r="A428" t="s">
        <v>3</v>
      </c>
      <c r="B428" t="s">
        <v>91</v>
      </c>
      <c r="C428" t="s">
        <v>151</v>
      </c>
      <c r="D428" s="22" t="s">
        <v>152</v>
      </c>
      <c r="E428" t="s">
        <v>58</v>
      </c>
      <c r="F428" s="1">
        <v>9.6701388888888889E-4</v>
      </c>
      <c r="G428" s="37">
        <v>2.16</v>
      </c>
      <c r="H428">
        <v>2.71</v>
      </c>
      <c r="I428" s="37">
        <v>1.032</v>
      </c>
      <c r="J428">
        <f t="shared" si="6"/>
        <v>2.7967200000000001</v>
      </c>
    </row>
    <row r="429" spans="1:10" x14ac:dyDescent="0.3">
      <c r="A429" t="s">
        <v>3</v>
      </c>
      <c r="B429" t="s">
        <v>91</v>
      </c>
      <c r="C429" t="s">
        <v>151</v>
      </c>
      <c r="D429" s="22" t="s">
        <v>152</v>
      </c>
      <c r="E429" t="s">
        <v>72</v>
      </c>
      <c r="F429" s="1">
        <v>9.6501157407407397E-4</v>
      </c>
      <c r="G429" s="37">
        <v>2.16</v>
      </c>
      <c r="H429">
        <v>2.71</v>
      </c>
      <c r="I429" s="37">
        <v>1.032</v>
      </c>
      <c r="J429">
        <f t="shared" si="6"/>
        <v>2.7967200000000001</v>
      </c>
    </row>
    <row r="430" spans="1:10" x14ac:dyDescent="0.3">
      <c r="A430" t="s">
        <v>3</v>
      </c>
      <c r="B430" t="s">
        <v>91</v>
      </c>
      <c r="C430" t="s">
        <v>151</v>
      </c>
      <c r="D430" s="22" t="s">
        <v>152</v>
      </c>
      <c r="E430" t="s">
        <v>59</v>
      </c>
      <c r="F430" s="1">
        <v>9.6548611111111119E-4</v>
      </c>
      <c r="G430" s="37">
        <v>2.15</v>
      </c>
      <c r="H430">
        <v>2.71</v>
      </c>
      <c r="I430" s="37">
        <v>1.032</v>
      </c>
      <c r="J430">
        <f t="shared" si="6"/>
        <v>2.7967200000000001</v>
      </c>
    </row>
    <row r="431" spans="1:10" x14ac:dyDescent="0.3">
      <c r="A431" t="s">
        <v>3</v>
      </c>
      <c r="B431" t="s">
        <v>91</v>
      </c>
      <c r="C431" t="s">
        <v>151</v>
      </c>
      <c r="D431" s="22" t="s">
        <v>152</v>
      </c>
      <c r="E431" t="s">
        <v>60</v>
      </c>
      <c r="F431" s="1">
        <v>9.7285879629629643E-4</v>
      </c>
      <c r="G431" s="37">
        <v>2.13</v>
      </c>
      <c r="H431">
        <v>2.68</v>
      </c>
      <c r="I431" s="37">
        <v>1.032</v>
      </c>
      <c r="J431">
        <f t="shared" si="6"/>
        <v>2.7657600000000002</v>
      </c>
    </row>
    <row r="432" spans="1:10" x14ac:dyDescent="0.3">
      <c r="A432" t="s">
        <v>3</v>
      </c>
      <c r="B432" t="s">
        <v>91</v>
      </c>
      <c r="C432" t="s">
        <v>151</v>
      </c>
      <c r="D432" s="22" t="s">
        <v>152</v>
      </c>
      <c r="E432" t="s">
        <v>61</v>
      </c>
      <c r="F432" s="1">
        <v>9.9127314814814824E-4</v>
      </c>
      <c r="G432" s="37">
        <v>2.11</v>
      </c>
      <c r="H432">
        <v>2.65</v>
      </c>
      <c r="I432" s="37">
        <v>1.032</v>
      </c>
      <c r="J432">
        <f t="shared" si="6"/>
        <v>2.7347999999999999</v>
      </c>
    </row>
    <row r="433" spans="1:10" x14ac:dyDescent="0.3">
      <c r="A433" t="s">
        <v>3</v>
      </c>
      <c r="B433" t="s">
        <v>91</v>
      </c>
      <c r="C433" t="s">
        <v>151</v>
      </c>
      <c r="D433" s="22" t="s">
        <v>152</v>
      </c>
      <c r="E433" t="s">
        <v>62</v>
      </c>
      <c r="F433" s="1">
        <v>9.8936342592592587E-4</v>
      </c>
      <c r="G433" s="37">
        <v>2.1</v>
      </c>
      <c r="H433">
        <v>2.64</v>
      </c>
      <c r="I433" s="37">
        <v>1.032</v>
      </c>
      <c r="J433">
        <f t="shared" si="6"/>
        <v>2.7244800000000002</v>
      </c>
    </row>
    <row r="434" spans="1:10" x14ac:dyDescent="0.3">
      <c r="A434" t="s">
        <v>3</v>
      </c>
      <c r="B434" t="s">
        <v>91</v>
      </c>
      <c r="C434" t="s">
        <v>151</v>
      </c>
      <c r="D434" s="22" t="s">
        <v>152</v>
      </c>
      <c r="E434" t="s">
        <v>63</v>
      </c>
      <c r="F434" s="1">
        <v>9.7636574074074075E-4</v>
      </c>
      <c r="G434" s="37">
        <v>2.16</v>
      </c>
      <c r="H434">
        <v>2.7</v>
      </c>
      <c r="I434" s="37">
        <v>1.032</v>
      </c>
      <c r="J434">
        <f t="shared" si="6"/>
        <v>2.7864000000000004</v>
      </c>
    </row>
    <row r="435" spans="1:10" x14ac:dyDescent="0.3">
      <c r="A435" t="s">
        <v>3</v>
      </c>
      <c r="B435" t="s">
        <v>91</v>
      </c>
      <c r="C435" t="s">
        <v>151</v>
      </c>
      <c r="D435" s="22" t="s">
        <v>152</v>
      </c>
      <c r="E435" t="s">
        <v>64</v>
      </c>
      <c r="F435" s="1">
        <v>9.7262731481481473E-4</v>
      </c>
      <c r="G435" s="37">
        <v>2.16</v>
      </c>
      <c r="H435">
        <v>2.73</v>
      </c>
      <c r="I435" s="37">
        <v>1.032</v>
      </c>
      <c r="J435">
        <f t="shared" si="6"/>
        <v>2.8173599999999999</v>
      </c>
    </row>
    <row r="436" spans="1:10" x14ac:dyDescent="0.3">
      <c r="A436" t="s">
        <v>3</v>
      </c>
      <c r="B436" t="s">
        <v>91</v>
      </c>
      <c r="C436" t="s">
        <v>151</v>
      </c>
      <c r="D436" s="22" t="s">
        <v>152</v>
      </c>
      <c r="E436" t="s">
        <v>65</v>
      </c>
      <c r="F436" s="1">
        <v>9.7436342592592594E-4</v>
      </c>
      <c r="G436" s="37">
        <v>2.16</v>
      </c>
      <c r="H436">
        <v>2.72</v>
      </c>
      <c r="I436" s="37">
        <v>1.032</v>
      </c>
      <c r="J436">
        <f t="shared" si="6"/>
        <v>2.8070400000000002</v>
      </c>
    </row>
    <row r="437" spans="1:10" x14ac:dyDescent="0.3">
      <c r="A437" t="s">
        <v>3</v>
      </c>
      <c r="B437" t="s">
        <v>91</v>
      </c>
      <c r="C437" t="s">
        <v>151</v>
      </c>
      <c r="D437" s="22" t="s">
        <v>152</v>
      </c>
      <c r="E437" t="s">
        <v>66</v>
      </c>
      <c r="F437" s="1">
        <v>9.7447916666666657E-4</v>
      </c>
      <c r="G437" s="37">
        <v>2.1800000000000002</v>
      </c>
      <c r="H437">
        <v>2.74</v>
      </c>
      <c r="I437" s="37">
        <v>1.032</v>
      </c>
      <c r="J437">
        <f t="shared" si="6"/>
        <v>2.8276800000000004</v>
      </c>
    </row>
    <row r="438" spans="1:10" x14ac:dyDescent="0.3">
      <c r="A438" t="s">
        <v>3</v>
      </c>
      <c r="B438" t="s">
        <v>91</v>
      </c>
      <c r="C438" t="s">
        <v>151</v>
      </c>
      <c r="D438" s="22" t="s">
        <v>152</v>
      </c>
      <c r="E438" t="s">
        <v>67</v>
      </c>
      <c r="F438" s="1">
        <v>9.7667824074074085E-4</v>
      </c>
      <c r="G438" s="37">
        <v>2.17</v>
      </c>
      <c r="H438">
        <v>2.73</v>
      </c>
      <c r="I438" s="37">
        <v>1.032</v>
      </c>
      <c r="J438">
        <f t="shared" si="6"/>
        <v>2.8173599999999999</v>
      </c>
    </row>
    <row r="439" spans="1:10" x14ac:dyDescent="0.3">
      <c r="A439" t="s">
        <v>3</v>
      </c>
      <c r="B439" t="s">
        <v>91</v>
      </c>
      <c r="C439" t="s">
        <v>151</v>
      </c>
      <c r="D439" s="22" t="s">
        <v>152</v>
      </c>
      <c r="E439" t="s">
        <v>68</v>
      </c>
      <c r="F439" s="1">
        <v>9.7721064814814806E-4</v>
      </c>
      <c r="G439" s="37">
        <v>2.16</v>
      </c>
      <c r="H439">
        <v>2.7</v>
      </c>
      <c r="I439" s="37">
        <v>1.032</v>
      </c>
      <c r="J439">
        <f t="shared" si="6"/>
        <v>2.7864000000000004</v>
      </c>
    </row>
    <row r="440" spans="1:10" x14ac:dyDescent="0.3">
      <c r="A440" t="s">
        <v>3</v>
      </c>
      <c r="B440" t="s">
        <v>91</v>
      </c>
      <c r="C440" t="s">
        <v>151</v>
      </c>
      <c r="D440" s="22" t="s">
        <v>152</v>
      </c>
      <c r="E440" t="s">
        <v>69</v>
      </c>
      <c r="F440" s="1">
        <v>9.7956018518518509E-4</v>
      </c>
      <c r="G440" s="37">
        <v>2.12</v>
      </c>
      <c r="H440">
        <v>2.68</v>
      </c>
      <c r="I440" s="37">
        <v>1.032</v>
      </c>
      <c r="J440">
        <f t="shared" si="6"/>
        <v>2.7657600000000002</v>
      </c>
    </row>
    <row r="441" spans="1:10" x14ac:dyDescent="0.3">
      <c r="A441" t="s">
        <v>3</v>
      </c>
      <c r="B441" t="s">
        <v>91</v>
      </c>
      <c r="C441" t="s">
        <v>151</v>
      </c>
      <c r="D441" s="22" t="s">
        <v>152</v>
      </c>
      <c r="E441" t="s">
        <v>70</v>
      </c>
      <c r="F441" s="1">
        <v>9.8096064814814812E-4</v>
      </c>
      <c r="G441" s="37">
        <v>2.14</v>
      </c>
      <c r="H441">
        <v>2.69</v>
      </c>
      <c r="I441" s="37">
        <v>1.032</v>
      </c>
      <c r="J441">
        <f t="shared" si="6"/>
        <v>2.7760799999999999</v>
      </c>
    </row>
    <row r="442" spans="1:10" x14ac:dyDescent="0.3">
      <c r="A442" t="s">
        <v>3</v>
      </c>
      <c r="B442" t="s">
        <v>91</v>
      </c>
      <c r="C442" t="s">
        <v>151</v>
      </c>
      <c r="D442" s="22" t="s">
        <v>152</v>
      </c>
      <c r="E442" t="s">
        <v>71</v>
      </c>
      <c r="F442" s="1">
        <v>9.8124999999999992E-4</v>
      </c>
      <c r="G442" s="37">
        <v>2.12</v>
      </c>
      <c r="H442">
        <v>2.68</v>
      </c>
      <c r="I442" s="37">
        <v>1.032</v>
      </c>
      <c r="J442">
        <f t="shared" si="6"/>
        <v>2.7657600000000002</v>
      </c>
    </row>
    <row r="443" spans="1:10" x14ac:dyDescent="0.3">
      <c r="A443" t="s">
        <v>3</v>
      </c>
      <c r="B443" t="s">
        <v>85</v>
      </c>
      <c r="C443" t="s">
        <v>151</v>
      </c>
      <c r="D443" t="s">
        <v>153</v>
      </c>
      <c r="E443" t="s">
        <v>9</v>
      </c>
      <c r="F443" s="1">
        <v>9.8085648148148142E-4</v>
      </c>
      <c r="G443" s="37">
        <v>2.09</v>
      </c>
      <c r="H443">
        <v>2.6</v>
      </c>
      <c r="I443" s="37">
        <v>1.04</v>
      </c>
      <c r="J443">
        <f t="shared" si="6"/>
        <v>2.7040000000000002</v>
      </c>
    </row>
    <row r="444" spans="1:10" x14ac:dyDescent="0.3">
      <c r="A444" t="s">
        <v>3</v>
      </c>
      <c r="B444" t="s">
        <v>85</v>
      </c>
      <c r="C444" t="s">
        <v>151</v>
      </c>
      <c r="D444" t="s">
        <v>153</v>
      </c>
      <c r="E444" t="s">
        <v>10</v>
      </c>
      <c r="F444" s="1">
        <v>9.741435185185185E-4</v>
      </c>
      <c r="G444" s="37">
        <v>2.13</v>
      </c>
      <c r="H444">
        <v>2.64</v>
      </c>
      <c r="I444" s="37">
        <v>1.04</v>
      </c>
      <c r="J444">
        <f t="shared" si="6"/>
        <v>2.7456</v>
      </c>
    </row>
    <row r="445" spans="1:10" x14ac:dyDescent="0.3">
      <c r="A445" t="s">
        <v>3</v>
      </c>
      <c r="B445" t="s">
        <v>85</v>
      </c>
      <c r="C445" t="s">
        <v>151</v>
      </c>
      <c r="D445" t="s">
        <v>153</v>
      </c>
      <c r="E445" t="s">
        <v>15</v>
      </c>
      <c r="F445" s="1">
        <v>9.7258101851851856E-4</v>
      </c>
      <c r="G445" s="37">
        <v>2.13</v>
      </c>
      <c r="H445">
        <v>2.65</v>
      </c>
      <c r="I445" s="37">
        <v>1.04</v>
      </c>
      <c r="J445">
        <f t="shared" si="6"/>
        <v>2.7559999999999998</v>
      </c>
    </row>
    <row r="446" spans="1:10" x14ac:dyDescent="0.3">
      <c r="A446" t="s">
        <v>3</v>
      </c>
      <c r="B446" t="s">
        <v>85</v>
      </c>
      <c r="C446" t="s">
        <v>151</v>
      </c>
      <c r="D446" t="s">
        <v>153</v>
      </c>
      <c r="E446" t="s">
        <v>16</v>
      </c>
      <c r="F446" s="1">
        <v>9.7353009259259257E-4</v>
      </c>
      <c r="G446" s="37">
        <v>2.13</v>
      </c>
      <c r="H446">
        <v>2.65</v>
      </c>
      <c r="I446" s="37">
        <v>1.04</v>
      </c>
      <c r="J446">
        <f t="shared" si="6"/>
        <v>2.7559999999999998</v>
      </c>
    </row>
    <row r="447" spans="1:10" x14ac:dyDescent="0.3">
      <c r="A447" t="s">
        <v>3</v>
      </c>
      <c r="B447" t="s">
        <v>85</v>
      </c>
      <c r="C447" t="s">
        <v>151</v>
      </c>
      <c r="D447" t="s">
        <v>153</v>
      </c>
      <c r="E447" t="s">
        <v>17</v>
      </c>
      <c r="F447" s="1">
        <v>9.7498842592592602E-4</v>
      </c>
      <c r="G447" s="37">
        <v>2.1800000000000002</v>
      </c>
      <c r="H447">
        <v>2.71</v>
      </c>
      <c r="I447" s="37">
        <v>1.04</v>
      </c>
      <c r="J447">
        <f t="shared" si="6"/>
        <v>2.8184</v>
      </c>
    </row>
    <row r="448" spans="1:10" x14ac:dyDescent="0.3">
      <c r="A448" t="s">
        <v>3</v>
      </c>
      <c r="B448" t="s">
        <v>85</v>
      </c>
      <c r="C448" t="s">
        <v>151</v>
      </c>
      <c r="D448" t="s">
        <v>153</v>
      </c>
      <c r="E448" t="s">
        <v>18</v>
      </c>
      <c r="F448" s="1">
        <v>9.8703703703703714E-4</v>
      </c>
      <c r="G448" s="37">
        <v>2.15</v>
      </c>
      <c r="H448">
        <v>2.67</v>
      </c>
      <c r="I448" s="37">
        <v>1.04</v>
      </c>
      <c r="J448">
        <f t="shared" si="6"/>
        <v>2.7768000000000002</v>
      </c>
    </row>
    <row r="449" spans="1:10" x14ac:dyDescent="0.3">
      <c r="A449" t="s">
        <v>3</v>
      </c>
      <c r="B449" t="s">
        <v>85</v>
      </c>
      <c r="C449" t="s">
        <v>151</v>
      </c>
      <c r="D449" t="s">
        <v>153</v>
      </c>
      <c r="E449" t="s">
        <v>19</v>
      </c>
      <c r="F449" s="1">
        <v>9.7600694444444438E-4</v>
      </c>
      <c r="G449" s="37">
        <v>2.13</v>
      </c>
      <c r="H449">
        <v>2.66</v>
      </c>
      <c r="I449" s="37">
        <v>1.04</v>
      </c>
      <c r="J449">
        <f t="shared" si="6"/>
        <v>2.7664000000000004</v>
      </c>
    </row>
    <row r="450" spans="1:10" x14ac:dyDescent="0.3">
      <c r="A450" t="s">
        <v>3</v>
      </c>
      <c r="B450" t="s">
        <v>85</v>
      </c>
      <c r="C450" t="s">
        <v>151</v>
      </c>
      <c r="D450" t="s">
        <v>153</v>
      </c>
      <c r="E450" t="s">
        <v>45</v>
      </c>
      <c r="F450" s="1">
        <v>9.7725694444444444E-4</v>
      </c>
      <c r="G450" s="37">
        <v>2.15</v>
      </c>
      <c r="H450">
        <v>2.67</v>
      </c>
      <c r="I450" s="37">
        <v>1.04</v>
      </c>
      <c r="J450">
        <f t="shared" si="6"/>
        <v>2.7768000000000002</v>
      </c>
    </row>
    <row r="451" spans="1:10" x14ac:dyDescent="0.3">
      <c r="A451" t="s">
        <v>3</v>
      </c>
      <c r="B451" t="s">
        <v>85</v>
      </c>
      <c r="C451" t="s">
        <v>151</v>
      </c>
      <c r="D451" t="s">
        <v>153</v>
      </c>
      <c r="E451" t="s">
        <v>46</v>
      </c>
      <c r="F451" s="1">
        <v>9.7657407407407415E-4</v>
      </c>
      <c r="G451" s="37">
        <v>2.16</v>
      </c>
      <c r="H451">
        <v>2.69</v>
      </c>
      <c r="I451" s="37">
        <v>1.04</v>
      </c>
      <c r="J451">
        <f t="shared" si="6"/>
        <v>2.7976000000000001</v>
      </c>
    </row>
    <row r="452" spans="1:10" x14ac:dyDescent="0.3">
      <c r="A452" t="s">
        <v>3</v>
      </c>
      <c r="B452" t="s">
        <v>85</v>
      </c>
      <c r="C452" t="s">
        <v>151</v>
      </c>
      <c r="D452" t="s">
        <v>153</v>
      </c>
      <c r="E452" t="s">
        <v>47</v>
      </c>
      <c r="F452" s="1">
        <v>9.768750000000001E-4</v>
      </c>
      <c r="G452" s="37">
        <v>2.2000000000000002</v>
      </c>
      <c r="H452">
        <v>2.73</v>
      </c>
      <c r="I452" s="37">
        <v>1.04</v>
      </c>
      <c r="J452">
        <f t="shared" ref="J452:J515" si="7">H452*I452</f>
        <v>2.8391999999999999</v>
      </c>
    </row>
    <row r="453" spans="1:10" x14ac:dyDescent="0.3">
      <c r="A453" t="s">
        <v>3</v>
      </c>
      <c r="B453" t="s">
        <v>85</v>
      </c>
      <c r="C453" t="s">
        <v>151</v>
      </c>
      <c r="D453" t="s">
        <v>153</v>
      </c>
      <c r="E453" t="s">
        <v>48</v>
      </c>
      <c r="F453" s="1">
        <v>9.8061342592592579E-4</v>
      </c>
      <c r="G453" s="37">
        <v>2.1800000000000002</v>
      </c>
      <c r="H453">
        <v>2.72</v>
      </c>
      <c r="I453" s="37">
        <v>1.04</v>
      </c>
      <c r="J453">
        <f t="shared" si="7"/>
        <v>2.8288000000000002</v>
      </c>
    </row>
    <row r="454" spans="1:10" x14ac:dyDescent="0.3">
      <c r="A454" t="s">
        <v>3</v>
      </c>
      <c r="B454" t="s">
        <v>85</v>
      </c>
      <c r="C454" t="s">
        <v>151</v>
      </c>
      <c r="D454" t="s">
        <v>153</v>
      </c>
      <c r="E454" t="s">
        <v>49</v>
      </c>
      <c r="F454" s="1">
        <v>9.7541666666666664E-4</v>
      </c>
      <c r="G454" s="37">
        <v>2.2200000000000002</v>
      </c>
      <c r="H454">
        <v>2.76</v>
      </c>
      <c r="I454" s="37">
        <v>1.04</v>
      </c>
      <c r="J454">
        <f t="shared" si="7"/>
        <v>2.8704000000000001</v>
      </c>
    </row>
    <row r="455" spans="1:10" x14ac:dyDescent="0.3">
      <c r="A455" t="s">
        <v>3</v>
      </c>
      <c r="B455" t="s">
        <v>85</v>
      </c>
      <c r="C455" t="s">
        <v>151</v>
      </c>
      <c r="D455" t="s">
        <v>153</v>
      </c>
      <c r="E455" t="s">
        <v>50</v>
      </c>
      <c r="F455" s="1">
        <v>9.7784722222222218E-4</v>
      </c>
      <c r="G455" s="37">
        <v>2.2200000000000002</v>
      </c>
      <c r="H455">
        <v>2.76</v>
      </c>
      <c r="I455" s="37">
        <v>1.04</v>
      </c>
      <c r="J455">
        <f t="shared" si="7"/>
        <v>2.8704000000000001</v>
      </c>
    </row>
    <row r="456" spans="1:10" x14ac:dyDescent="0.3">
      <c r="A456" t="s">
        <v>3</v>
      </c>
      <c r="B456" t="s">
        <v>85</v>
      </c>
      <c r="C456" t="s">
        <v>151</v>
      </c>
      <c r="D456" t="s">
        <v>153</v>
      </c>
      <c r="E456" t="s">
        <v>51</v>
      </c>
      <c r="F456" s="1">
        <v>9.7640046296296299E-4</v>
      </c>
      <c r="G456" s="37">
        <v>2.2000000000000002</v>
      </c>
      <c r="H456">
        <v>2.74</v>
      </c>
      <c r="I456" s="37">
        <v>1.04</v>
      </c>
      <c r="J456">
        <f t="shared" si="7"/>
        <v>2.8496000000000001</v>
      </c>
    </row>
    <row r="457" spans="1:10" x14ac:dyDescent="0.3">
      <c r="A457" t="s">
        <v>3</v>
      </c>
      <c r="B457" t="s">
        <v>85</v>
      </c>
      <c r="C457" t="s">
        <v>151</v>
      </c>
      <c r="D457" t="s">
        <v>153</v>
      </c>
      <c r="E457" t="s">
        <v>52</v>
      </c>
      <c r="F457" s="1">
        <v>9.7768518518518538E-4</v>
      </c>
      <c r="G457" s="37">
        <v>2.2000000000000002</v>
      </c>
      <c r="H457">
        <v>2.74</v>
      </c>
      <c r="I457" s="37">
        <v>1.04</v>
      </c>
      <c r="J457">
        <f t="shared" si="7"/>
        <v>2.8496000000000001</v>
      </c>
    </row>
    <row r="458" spans="1:10" x14ac:dyDescent="0.3">
      <c r="A458" t="s">
        <v>3</v>
      </c>
      <c r="B458" t="s">
        <v>85</v>
      </c>
      <c r="C458" t="s">
        <v>151</v>
      </c>
      <c r="D458" t="s">
        <v>153</v>
      </c>
      <c r="E458" t="s">
        <v>53</v>
      </c>
      <c r="F458" s="1">
        <v>9.7685185185185201E-4</v>
      </c>
      <c r="G458" s="37">
        <v>2.21</v>
      </c>
      <c r="H458">
        <v>2.74</v>
      </c>
      <c r="I458" s="37">
        <v>1.04</v>
      </c>
      <c r="J458">
        <f t="shared" si="7"/>
        <v>2.8496000000000001</v>
      </c>
    </row>
    <row r="459" spans="1:10" x14ac:dyDescent="0.3">
      <c r="A459" t="s">
        <v>3</v>
      </c>
      <c r="B459" t="s">
        <v>85</v>
      </c>
      <c r="C459" t="s">
        <v>151</v>
      </c>
      <c r="D459" t="s">
        <v>153</v>
      </c>
      <c r="E459" t="s">
        <v>54</v>
      </c>
      <c r="F459" s="1">
        <v>9.825347222222221E-4</v>
      </c>
      <c r="G459" s="37">
        <v>2.2000000000000002</v>
      </c>
      <c r="H459">
        <v>2.73</v>
      </c>
      <c r="I459" s="37">
        <v>1.04</v>
      </c>
      <c r="J459">
        <f t="shared" si="7"/>
        <v>2.8391999999999999</v>
      </c>
    </row>
    <row r="460" spans="1:10" x14ac:dyDescent="0.3">
      <c r="A460" t="s">
        <v>3</v>
      </c>
      <c r="B460" t="s">
        <v>85</v>
      </c>
      <c r="C460" t="s">
        <v>151</v>
      </c>
      <c r="D460" t="s">
        <v>153</v>
      </c>
      <c r="E460" t="s">
        <v>56</v>
      </c>
      <c r="F460" s="1">
        <v>9.691203703703704E-4</v>
      </c>
      <c r="G460" s="37">
        <v>2.23</v>
      </c>
      <c r="H460">
        <v>2.78</v>
      </c>
      <c r="I460" s="37">
        <v>1.04</v>
      </c>
      <c r="J460">
        <f t="shared" si="7"/>
        <v>2.8912</v>
      </c>
    </row>
    <row r="461" spans="1:10" x14ac:dyDescent="0.3">
      <c r="A461" t="s">
        <v>3</v>
      </c>
      <c r="B461" t="s">
        <v>85</v>
      </c>
      <c r="C461" t="s">
        <v>151</v>
      </c>
      <c r="D461" t="s">
        <v>153</v>
      </c>
      <c r="E461" t="s">
        <v>57</v>
      </c>
      <c r="F461" s="1">
        <v>9.7060185185185183E-4</v>
      </c>
      <c r="G461" s="37">
        <v>2.25</v>
      </c>
      <c r="H461">
        <v>2.81</v>
      </c>
      <c r="I461" s="37">
        <v>1.04</v>
      </c>
      <c r="J461">
        <f t="shared" si="7"/>
        <v>2.9224000000000001</v>
      </c>
    </row>
    <row r="462" spans="1:10" x14ac:dyDescent="0.3">
      <c r="A462" t="s">
        <v>3</v>
      </c>
      <c r="B462" t="s">
        <v>85</v>
      </c>
      <c r="C462" t="s">
        <v>151</v>
      </c>
      <c r="D462" t="s">
        <v>153</v>
      </c>
      <c r="E462" t="s">
        <v>58</v>
      </c>
      <c r="F462" s="1">
        <v>9.6815972222222225E-4</v>
      </c>
      <c r="G462" s="37">
        <v>2.25</v>
      </c>
      <c r="H462">
        <v>2.8</v>
      </c>
      <c r="I462" s="37">
        <v>1.04</v>
      </c>
      <c r="J462">
        <f t="shared" si="7"/>
        <v>2.9119999999999999</v>
      </c>
    </row>
    <row r="463" spans="1:10" x14ac:dyDescent="0.3">
      <c r="A463" t="s">
        <v>3</v>
      </c>
      <c r="B463" t="s">
        <v>85</v>
      </c>
      <c r="C463" t="s">
        <v>151</v>
      </c>
      <c r="D463" t="s">
        <v>153</v>
      </c>
      <c r="E463" t="s">
        <v>72</v>
      </c>
      <c r="F463" s="1">
        <v>9.6990740740740739E-4</v>
      </c>
      <c r="G463" s="37">
        <v>2.2599999999999998</v>
      </c>
      <c r="H463">
        <v>2.82</v>
      </c>
      <c r="I463" s="37">
        <v>1.04</v>
      </c>
      <c r="J463">
        <f t="shared" si="7"/>
        <v>2.9327999999999999</v>
      </c>
    </row>
    <row r="464" spans="1:10" x14ac:dyDescent="0.3">
      <c r="A464" t="s">
        <v>3</v>
      </c>
      <c r="B464" t="s">
        <v>85</v>
      </c>
      <c r="C464" t="s">
        <v>151</v>
      </c>
      <c r="D464" t="s">
        <v>153</v>
      </c>
      <c r="E464" t="s">
        <v>59</v>
      </c>
      <c r="F464" s="1">
        <v>9.7324074074074066E-4</v>
      </c>
      <c r="G464" s="37">
        <v>2.25</v>
      </c>
      <c r="H464">
        <v>2.8</v>
      </c>
      <c r="I464" s="37">
        <v>1.04</v>
      </c>
      <c r="J464">
        <f t="shared" si="7"/>
        <v>2.9119999999999999</v>
      </c>
    </row>
    <row r="465" spans="1:10" x14ac:dyDescent="0.3">
      <c r="A465" t="s">
        <v>3</v>
      </c>
      <c r="B465" t="s">
        <v>85</v>
      </c>
      <c r="C465" t="s">
        <v>151</v>
      </c>
      <c r="D465" t="s">
        <v>153</v>
      </c>
      <c r="E465" t="s">
        <v>60</v>
      </c>
      <c r="F465" s="1">
        <v>9.7101851851851852E-4</v>
      </c>
      <c r="G465" s="37">
        <v>2.2000000000000002</v>
      </c>
      <c r="H465">
        <v>2.75</v>
      </c>
      <c r="I465" s="37">
        <v>1.04</v>
      </c>
      <c r="J465">
        <f t="shared" si="7"/>
        <v>2.8600000000000003</v>
      </c>
    </row>
    <row r="466" spans="1:10" x14ac:dyDescent="0.3">
      <c r="A466" t="s">
        <v>3</v>
      </c>
      <c r="B466" t="s">
        <v>85</v>
      </c>
      <c r="C466" t="s">
        <v>151</v>
      </c>
      <c r="D466" t="s">
        <v>153</v>
      </c>
      <c r="E466" t="s">
        <v>61</v>
      </c>
      <c r="F466" s="1">
        <v>9.7287037037037036E-4</v>
      </c>
      <c r="G466" s="37">
        <v>2.19</v>
      </c>
      <c r="H466">
        <v>2.73</v>
      </c>
      <c r="I466" s="37">
        <v>1.04</v>
      </c>
      <c r="J466">
        <f t="shared" si="7"/>
        <v>2.8391999999999999</v>
      </c>
    </row>
    <row r="467" spans="1:10" x14ac:dyDescent="0.3">
      <c r="A467" t="s">
        <v>3</v>
      </c>
      <c r="B467" t="s">
        <v>85</v>
      </c>
      <c r="C467" t="s">
        <v>151</v>
      </c>
      <c r="D467" t="s">
        <v>153</v>
      </c>
      <c r="E467" t="s">
        <v>62</v>
      </c>
      <c r="F467" s="1">
        <v>9.7767361111111123E-4</v>
      </c>
      <c r="G467" s="37">
        <v>2.17</v>
      </c>
      <c r="H467">
        <v>2.71</v>
      </c>
      <c r="I467" s="37">
        <v>1.04</v>
      </c>
      <c r="J467">
        <f t="shared" si="7"/>
        <v>2.8184</v>
      </c>
    </row>
    <row r="468" spans="1:10" x14ac:dyDescent="0.3">
      <c r="A468" t="s">
        <v>3</v>
      </c>
      <c r="B468" t="s">
        <v>85</v>
      </c>
      <c r="C468" t="s">
        <v>151</v>
      </c>
      <c r="D468" t="s">
        <v>153</v>
      </c>
      <c r="E468" t="s">
        <v>63</v>
      </c>
      <c r="F468" s="1">
        <v>9.8403935185185183E-4</v>
      </c>
      <c r="G468" s="37">
        <v>2.1800000000000002</v>
      </c>
      <c r="H468">
        <v>2.73</v>
      </c>
      <c r="I468" s="37">
        <v>1.04</v>
      </c>
      <c r="J468">
        <f t="shared" si="7"/>
        <v>2.8391999999999999</v>
      </c>
    </row>
    <row r="469" spans="1:10" x14ac:dyDescent="0.3">
      <c r="A469" t="s">
        <v>3</v>
      </c>
      <c r="B469" t="s">
        <v>85</v>
      </c>
      <c r="C469" t="s">
        <v>151</v>
      </c>
      <c r="D469" t="s">
        <v>153</v>
      </c>
      <c r="E469" t="s">
        <v>64</v>
      </c>
      <c r="F469" s="1">
        <v>9.7907407407407405E-4</v>
      </c>
      <c r="G469" s="37">
        <v>2.12</v>
      </c>
      <c r="H469">
        <v>2.66</v>
      </c>
      <c r="I469" s="37">
        <v>1.04</v>
      </c>
      <c r="J469">
        <f t="shared" si="7"/>
        <v>2.7664000000000004</v>
      </c>
    </row>
    <row r="470" spans="1:10" x14ac:dyDescent="0.3">
      <c r="A470" t="s">
        <v>3</v>
      </c>
      <c r="B470" t="s">
        <v>85</v>
      </c>
      <c r="C470" t="s">
        <v>151</v>
      </c>
      <c r="D470" t="s">
        <v>153</v>
      </c>
      <c r="E470" t="s">
        <v>65</v>
      </c>
      <c r="F470" s="1">
        <v>9.7806712962962951E-4</v>
      </c>
      <c r="G470" s="37">
        <v>2.13</v>
      </c>
      <c r="H470">
        <v>2.67</v>
      </c>
      <c r="I470" s="37">
        <v>1.04</v>
      </c>
      <c r="J470">
        <f t="shared" si="7"/>
        <v>2.7768000000000002</v>
      </c>
    </row>
    <row r="471" spans="1:10" x14ac:dyDescent="0.3">
      <c r="A471" t="s">
        <v>3</v>
      </c>
      <c r="B471" t="s">
        <v>85</v>
      </c>
      <c r="C471" t="s">
        <v>151</v>
      </c>
      <c r="D471" t="s">
        <v>153</v>
      </c>
      <c r="E471" t="s">
        <v>66</v>
      </c>
      <c r="F471" s="1">
        <v>9.7634259259259256E-4</v>
      </c>
      <c r="G471" s="37">
        <v>2.16</v>
      </c>
      <c r="H471">
        <v>2.71</v>
      </c>
      <c r="I471" s="37">
        <v>1.04</v>
      </c>
      <c r="J471">
        <f t="shared" si="7"/>
        <v>2.8184</v>
      </c>
    </row>
    <row r="472" spans="1:10" x14ac:dyDescent="0.3">
      <c r="A472" t="s">
        <v>3</v>
      </c>
      <c r="B472" t="s">
        <v>85</v>
      </c>
      <c r="C472" t="s">
        <v>151</v>
      </c>
      <c r="D472" t="s">
        <v>153</v>
      </c>
      <c r="E472" t="s">
        <v>67</v>
      </c>
      <c r="F472" s="1">
        <v>9.8027777777777783E-4</v>
      </c>
      <c r="G472" s="37">
        <v>2.1800000000000002</v>
      </c>
      <c r="H472">
        <v>2.74</v>
      </c>
      <c r="I472" s="37">
        <v>1.04</v>
      </c>
      <c r="J472">
        <f t="shared" si="7"/>
        <v>2.8496000000000001</v>
      </c>
    </row>
    <row r="473" spans="1:10" x14ac:dyDescent="0.3">
      <c r="A473" t="s">
        <v>3</v>
      </c>
      <c r="B473" t="s">
        <v>85</v>
      </c>
      <c r="C473" t="s">
        <v>151</v>
      </c>
      <c r="D473" t="s">
        <v>153</v>
      </c>
      <c r="E473" t="s">
        <v>68</v>
      </c>
      <c r="F473" s="1">
        <v>9.837962962962962E-4</v>
      </c>
      <c r="G473" s="37">
        <v>2.17</v>
      </c>
      <c r="H473">
        <v>2.72</v>
      </c>
      <c r="I473" s="37">
        <v>1.04</v>
      </c>
      <c r="J473">
        <f t="shared" si="7"/>
        <v>2.8288000000000002</v>
      </c>
    </row>
    <row r="474" spans="1:10" x14ac:dyDescent="0.3">
      <c r="A474" t="s">
        <v>3</v>
      </c>
      <c r="B474" t="s">
        <v>85</v>
      </c>
      <c r="C474" t="s">
        <v>151</v>
      </c>
      <c r="D474" t="s">
        <v>153</v>
      </c>
      <c r="E474" t="s">
        <v>69</v>
      </c>
      <c r="F474" s="1">
        <v>9.7923611111111106E-4</v>
      </c>
      <c r="G474" s="37">
        <v>2.15</v>
      </c>
      <c r="H474">
        <v>2.7</v>
      </c>
      <c r="I474" s="37">
        <v>1.04</v>
      </c>
      <c r="J474">
        <f t="shared" si="7"/>
        <v>2.8080000000000003</v>
      </c>
    </row>
    <row r="475" spans="1:10" x14ac:dyDescent="0.3">
      <c r="A475" t="s">
        <v>3</v>
      </c>
      <c r="B475" t="s">
        <v>85</v>
      </c>
      <c r="C475" t="s">
        <v>151</v>
      </c>
      <c r="D475" t="s">
        <v>153</v>
      </c>
      <c r="E475" t="s">
        <v>70</v>
      </c>
      <c r="F475" s="1">
        <v>9.8075231481481472E-4</v>
      </c>
      <c r="G475" s="37">
        <v>2.16</v>
      </c>
      <c r="H475">
        <v>2.69</v>
      </c>
      <c r="I475" s="37">
        <v>1.04</v>
      </c>
      <c r="J475">
        <f t="shared" si="7"/>
        <v>2.7976000000000001</v>
      </c>
    </row>
    <row r="476" spans="1:10" x14ac:dyDescent="0.3">
      <c r="A476" t="s">
        <v>3</v>
      </c>
      <c r="B476" t="s">
        <v>85</v>
      </c>
      <c r="C476" t="s">
        <v>151</v>
      </c>
      <c r="D476" s="22" t="s">
        <v>153</v>
      </c>
      <c r="E476" t="s">
        <v>71</v>
      </c>
      <c r="F476" s="1">
        <v>9.7910879629629628E-4</v>
      </c>
      <c r="G476" s="37">
        <v>2.12</v>
      </c>
      <c r="H476">
        <v>2.65</v>
      </c>
      <c r="I476" s="37">
        <v>1.04</v>
      </c>
      <c r="J476">
        <f t="shared" si="7"/>
        <v>2.7559999999999998</v>
      </c>
    </row>
    <row r="477" spans="1:10" x14ac:dyDescent="0.3">
      <c r="A477" t="s">
        <v>3</v>
      </c>
      <c r="B477" t="s">
        <v>83</v>
      </c>
      <c r="C477" t="s">
        <v>138</v>
      </c>
      <c r="D477" s="22" t="s">
        <v>154</v>
      </c>
      <c r="E477" t="s">
        <v>9</v>
      </c>
      <c r="F477" s="1">
        <v>9.7831018518518514E-4</v>
      </c>
      <c r="G477" s="37">
        <v>2.11</v>
      </c>
      <c r="H477">
        <v>2.72</v>
      </c>
      <c r="I477" s="37">
        <v>1.0069999999999999</v>
      </c>
      <c r="J477">
        <f t="shared" si="7"/>
        <v>2.7390399999999997</v>
      </c>
    </row>
    <row r="478" spans="1:10" x14ac:dyDescent="0.3">
      <c r="A478" t="s">
        <v>3</v>
      </c>
      <c r="B478" t="s">
        <v>83</v>
      </c>
      <c r="C478" t="s">
        <v>138</v>
      </c>
      <c r="D478" s="22" t="s">
        <v>154</v>
      </c>
      <c r="E478" t="s">
        <v>10</v>
      </c>
      <c r="F478" s="1">
        <v>9.6737268518518526E-4</v>
      </c>
      <c r="G478" s="37">
        <v>2.13</v>
      </c>
      <c r="H478">
        <v>2.73</v>
      </c>
      <c r="I478" s="37">
        <v>1.0069999999999999</v>
      </c>
      <c r="J478">
        <f t="shared" si="7"/>
        <v>2.7491099999999995</v>
      </c>
    </row>
    <row r="479" spans="1:10" x14ac:dyDescent="0.3">
      <c r="A479" t="s">
        <v>3</v>
      </c>
      <c r="B479" t="s">
        <v>83</v>
      </c>
      <c r="C479" t="s">
        <v>138</v>
      </c>
      <c r="D479" s="22" t="s">
        <v>154</v>
      </c>
      <c r="E479" t="s">
        <v>15</v>
      </c>
      <c r="F479" s="1">
        <v>9.7037037037037046E-4</v>
      </c>
      <c r="G479" s="37">
        <v>2.12</v>
      </c>
      <c r="H479">
        <v>2.72</v>
      </c>
      <c r="I479" s="37">
        <v>1.0069999999999999</v>
      </c>
      <c r="J479">
        <f t="shared" si="7"/>
        <v>2.7390399999999997</v>
      </c>
    </row>
    <row r="480" spans="1:10" x14ac:dyDescent="0.3">
      <c r="A480" t="s">
        <v>3</v>
      </c>
      <c r="B480" t="s">
        <v>83</v>
      </c>
      <c r="C480" t="s">
        <v>138</v>
      </c>
      <c r="D480" s="22" t="s">
        <v>154</v>
      </c>
      <c r="E480" t="s">
        <v>16</v>
      </c>
      <c r="F480" s="1">
        <v>9.6761574074074078E-4</v>
      </c>
      <c r="G480" s="37">
        <v>2.15</v>
      </c>
      <c r="H480">
        <v>2.76</v>
      </c>
      <c r="I480" s="37">
        <v>1.0069999999999999</v>
      </c>
      <c r="J480">
        <f t="shared" si="7"/>
        <v>2.7793199999999993</v>
      </c>
    </row>
    <row r="481" spans="1:10" x14ac:dyDescent="0.3">
      <c r="A481" t="s">
        <v>3</v>
      </c>
      <c r="B481" t="s">
        <v>83</v>
      </c>
      <c r="C481" t="s">
        <v>138</v>
      </c>
      <c r="D481" s="22" t="s">
        <v>154</v>
      </c>
      <c r="E481" t="s">
        <v>17</v>
      </c>
      <c r="F481" s="1">
        <v>9.6888888888888892E-4</v>
      </c>
      <c r="G481" s="37">
        <v>2.1800000000000002</v>
      </c>
      <c r="H481">
        <v>2.81</v>
      </c>
      <c r="I481" s="37">
        <v>1.0069999999999999</v>
      </c>
      <c r="J481">
        <f t="shared" si="7"/>
        <v>2.8296699999999997</v>
      </c>
    </row>
    <row r="482" spans="1:10" x14ac:dyDescent="0.3">
      <c r="A482" t="s">
        <v>3</v>
      </c>
      <c r="B482" t="s">
        <v>83</v>
      </c>
      <c r="C482" t="s">
        <v>138</v>
      </c>
      <c r="D482" s="22" t="s">
        <v>154</v>
      </c>
      <c r="E482" t="s">
        <v>18</v>
      </c>
      <c r="F482" s="1">
        <v>9.7130787037037032E-4</v>
      </c>
      <c r="G482" s="37">
        <v>2.14</v>
      </c>
      <c r="H482">
        <v>2.76</v>
      </c>
      <c r="I482" s="37">
        <v>1.0069999999999999</v>
      </c>
      <c r="J482">
        <f t="shared" si="7"/>
        <v>2.7793199999999993</v>
      </c>
    </row>
    <row r="483" spans="1:10" x14ac:dyDescent="0.3">
      <c r="A483" t="s">
        <v>3</v>
      </c>
      <c r="B483" t="s">
        <v>83</v>
      </c>
      <c r="C483" t="s">
        <v>138</v>
      </c>
      <c r="D483" s="22" t="s">
        <v>154</v>
      </c>
      <c r="E483" t="s">
        <v>19</v>
      </c>
      <c r="F483" s="1">
        <v>9.7133101851851851E-4</v>
      </c>
      <c r="G483" s="37">
        <v>2.17</v>
      </c>
      <c r="H483">
        <v>2.79</v>
      </c>
      <c r="I483" s="37">
        <v>1.0069999999999999</v>
      </c>
      <c r="J483">
        <f t="shared" si="7"/>
        <v>2.8095299999999996</v>
      </c>
    </row>
    <row r="484" spans="1:10" x14ac:dyDescent="0.3">
      <c r="A484" t="s">
        <v>3</v>
      </c>
      <c r="B484" t="s">
        <v>83</v>
      </c>
      <c r="C484" t="s">
        <v>138</v>
      </c>
      <c r="D484" s="22" t="s">
        <v>154</v>
      </c>
      <c r="E484" t="s">
        <v>45</v>
      </c>
      <c r="F484" s="1">
        <v>9.7510416666666665E-4</v>
      </c>
      <c r="G484" s="37">
        <v>2.1800000000000002</v>
      </c>
      <c r="H484">
        <v>2.81</v>
      </c>
      <c r="I484" s="37">
        <v>1.0069999999999999</v>
      </c>
      <c r="J484">
        <f t="shared" si="7"/>
        <v>2.8296699999999997</v>
      </c>
    </row>
    <row r="485" spans="1:10" x14ac:dyDescent="0.3">
      <c r="A485" t="s">
        <v>3</v>
      </c>
      <c r="B485" t="s">
        <v>83</v>
      </c>
      <c r="C485" t="s">
        <v>138</v>
      </c>
      <c r="D485" s="22" t="s">
        <v>154</v>
      </c>
      <c r="E485" t="s">
        <v>46</v>
      </c>
      <c r="F485" s="1">
        <v>9.7969907407407402E-4</v>
      </c>
      <c r="G485" s="37">
        <v>2.14</v>
      </c>
      <c r="H485">
        <v>2.76</v>
      </c>
      <c r="I485" s="37">
        <v>1.0069999999999999</v>
      </c>
      <c r="J485">
        <f t="shared" si="7"/>
        <v>2.7793199999999993</v>
      </c>
    </row>
    <row r="486" spans="1:10" x14ac:dyDescent="0.3">
      <c r="A486" t="s">
        <v>3</v>
      </c>
      <c r="B486" t="s">
        <v>83</v>
      </c>
      <c r="C486" t="s">
        <v>138</v>
      </c>
      <c r="D486" s="22" t="s">
        <v>154</v>
      </c>
      <c r="E486" t="s">
        <v>47</v>
      </c>
      <c r="F486" s="1">
        <v>9.7634259259259256E-4</v>
      </c>
      <c r="G486" s="37">
        <v>2.15</v>
      </c>
      <c r="H486">
        <v>2.77</v>
      </c>
      <c r="I486" s="37">
        <v>1.0069999999999999</v>
      </c>
      <c r="J486">
        <f t="shared" si="7"/>
        <v>2.7893899999999996</v>
      </c>
    </row>
    <row r="487" spans="1:10" x14ac:dyDescent="0.3">
      <c r="A487" t="s">
        <v>3</v>
      </c>
      <c r="B487" t="s">
        <v>83</v>
      </c>
      <c r="C487" t="s">
        <v>138</v>
      </c>
      <c r="D487" s="22" t="s">
        <v>154</v>
      </c>
      <c r="E487" t="s">
        <v>48</v>
      </c>
      <c r="F487" s="1">
        <v>9.7570601851851855E-4</v>
      </c>
      <c r="G487" s="37">
        <v>2.19</v>
      </c>
      <c r="H487">
        <v>2.81</v>
      </c>
      <c r="I487" s="37">
        <v>1.0069999999999999</v>
      </c>
      <c r="J487">
        <f t="shared" si="7"/>
        <v>2.8296699999999997</v>
      </c>
    </row>
    <row r="488" spans="1:10" x14ac:dyDescent="0.3">
      <c r="A488" t="s">
        <v>3</v>
      </c>
      <c r="B488" t="s">
        <v>83</v>
      </c>
      <c r="C488" t="s">
        <v>138</v>
      </c>
      <c r="D488" s="22" t="s">
        <v>154</v>
      </c>
      <c r="E488" t="s">
        <v>49</v>
      </c>
      <c r="F488" s="1">
        <v>9.7833333333333323E-4</v>
      </c>
      <c r="G488" s="37">
        <v>2.17</v>
      </c>
      <c r="H488">
        <v>2.79</v>
      </c>
      <c r="I488" s="37">
        <v>1.0069999999999999</v>
      </c>
      <c r="J488">
        <f t="shared" si="7"/>
        <v>2.8095299999999996</v>
      </c>
    </row>
    <row r="489" spans="1:10" x14ac:dyDescent="0.3">
      <c r="A489" t="s">
        <v>3</v>
      </c>
      <c r="B489" t="s">
        <v>83</v>
      </c>
      <c r="C489" t="s">
        <v>138</v>
      </c>
      <c r="D489" s="22" t="s">
        <v>154</v>
      </c>
      <c r="E489" t="s">
        <v>50</v>
      </c>
      <c r="F489" s="1">
        <v>9.7701388888888881E-4</v>
      </c>
      <c r="G489" s="37">
        <v>2.1800000000000002</v>
      </c>
      <c r="H489">
        <v>2.8</v>
      </c>
      <c r="I489" s="37">
        <v>1.0069999999999999</v>
      </c>
      <c r="J489">
        <f t="shared" si="7"/>
        <v>2.8195999999999994</v>
      </c>
    </row>
    <row r="490" spans="1:10" x14ac:dyDescent="0.3">
      <c r="A490" t="s">
        <v>3</v>
      </c>
      <c r="B490" t="s">
        <v>83</v>
      </c>
      <c r="C490" t="s">
        <v>138</v>
      </c>
      <c r="D490" s="22" t="s">
        <v>154</v>
      </c>
      <c r="E490" t="s">
        <v>51</v>
      </c>
      <c r="F490" s="1">
        <v>9.7744212962962954E-4</v>
      </c>
      <c r="G490" s="37">
        <v>2.16</v>
      </c>
      <c r="H490">
        <v>2.79</v>
      </c>
      <c r="I490" s="37">
        <v>1.0069999999999999</v>
      </c>
      <c r="J490">
        <f t="shared" si="7"/>
        <v>2.8095299999999996</v>
      </c>
    </row>
    <row r="491" spans="1:10" x14ac:dyDescent="0.3">
      <c r="A491" t="s">
        <v>3</v>
      </c>
      <c r="B491" t="s">
        <v>83</v>
      </c>
      <c r="C491" t="s">
        <v>138</v>
      </c>
      <c r="D491" s="22" t="s">
        <v>154</v>
      </c>
      <c r="E491" t="s">
        <v>52</v>
      </c>
      <c r="F491" s="1">
        <v>9.7778935185185187E-4</v>
      </c>
      <c r="G491" s="37">
        <v>2.17</v>
      </c>
      <c r="H491">
        <v>2.8</v>
      </c>
      <c r="I491" s="37">
        <v>1.0069999999999999</v>
      </c>
      <c r="J491">
        <f t="shared" si="7"/>
        <v>2.8195999999999994</v>
      </c>
    </row>
    <row r="492" spans="1:10" x14ac:dyDescent="0.3">
      <c r="A492" t="s">
        <v>3</v>
      </c>
      <c r="B492" t="s">
        <v>83</v>
      </c>
      <c r="C492" t="s">
        <v>138</v>
      </c>
      <c r="D492" s="22" t="s">
        <v>154</v>
      </c>
      <c r="E492" t="s">
        <v>53</v>
      </c>
      <c r="F492" s="1">
        <v>9.7975694444444434E-4</v>
      </c>
      <c r="G492" s="37">
        <v>2.16</v>
      </c>
      <c r="H492">
        <v>2.78</v>
      </c>
      <c r="I492" s="37">
        <v>1.0069999999999999</v>
      </c>
      <c r="J492">
        <f t="shared" si="7"/>
        <v>2.7994599999999994</v>
      </c>
    </row>
    <row r="493" spans="1:10" x14ac:dyDescent="0.3">
      <c r="A493" t="s">
        <v>3</v>
      </c>
      <c r="B493" t="s">
        <v>83</v>
      </c>
      <c r="C493" t="s">
        <v>138</v>
      </c>
      <c r="D493" s="22" t="s">
        <v>154</v>
      </c>
      <c r="E493" t="s">
        <v>55</v>
      </c>
      <c r="F493" s="1">
        <v>9.7252314814814814E-4</v>
      </c>
      <c r="G493" s="37">
        <v>2.17</v>
      </c>
      <c r="H493">
        <v>2.78</v>
      </c>
      <c r="I493" s="37">
        <v>1.0069999999999999</v>
      </c>
      <c r="J493">
        <f t="shared" si="7"/>
        <v>2.7994599999999994</v>
      </c>
    </row>
    <row r="494" spans="1:10" x14ac:dyDescent="0.3">
      <c r="A494" t="s">
        <v>3</v>
      </c>
      <c r="B494" t="s">
        <v>83</v>
      </c>
      <c r="C494" t="s">
        <v>138</v>
      </c>
      <c r="D494" s="22" t="s">
        <v>154</v>
      </c>
      <c r="E494" t="s">
        <v>56</v>
      </c>
      <c r="F494" s="1">
        <v>9.6881944444444446E-4</v>
      </c>
      <c r="G494" s="37">
        <v>2.19</v>
      </c>
      <c r="H494">
        <v>2.81</v>
      </c>
      <c r="I494" s="37">
        <v>1.0069999999999999</v>
      </c>
      <c r="J494">
        <f t="shared" si="7"/>
        <v>2.8296699999999997</v>
      </c>
    </row>
    <row r="495" spans="1:10" x14ac:dyDescent="0.3">
      <c r="A495" t="s">
        <v>3</v>
      </c>
      <c r="B495" t="s">
        <v>83</v>
      </c>
      <c r="C495" t="s">
        <v>138</v>
      </c>
      <c r="D495" s="22" t="s">
        <v>154</v>
      </c>
      <c r="E495" t="s">
        <v>57</v>
      </c>
      <c r="F495" s="1">
        <v>9.703819444444445E-4</v>
      </c>
      <c r="G495" s="37">
        <v>2.17</v>
      </c>
      <c r="H495">
        <v>2.79</v>
      </c>
      <c r="I495" s="37">
        <v>1.0069999999999999</v>
      </c>
      <c r="J495">
        <f t="shared" si="7"/>
        <v>2.8095299999999996</v>
      </c>
    </row>
    <row r="496" spans="1:10" x14ac:dyDescent="0.3">
      <c r="A496" t="s">
        <v>3</v>
      </c>
      <c r="B496" t="s">
        <v>83</v>
      </c>
      <c r="C496" t="s">
        <v>138</v>
      </c>
      <c r="D496" s="22" t="s">
        <v>154</v>
      </c>
      <c r="E496" t="s">
        <v>58</v>
      </c>
      <c r="F496" s="1">
        <v>9.6853009259259255E-4</v>
      </c>
      <c r="G496" s="37">
        <v>2.1800000000000002</v>
      </c>
      <c r="H496">
        <v>2.81</v>
      </c>
      <c r="I496" s="37">
        <v>1.0069999999999999</v>
      </c>
      <c r="J496">
        <f t="shared" si="7"/>
        <v>2.8296699999999997</v>
      </c>
    </row>
    <row r="497" spans="1:10" x14ac:dyDescent="0.3">
      <c r="A497" t="s">
        <v>3</v>
      </c>
      <c r="B497" t="s">
        <v>83</v>
      </c>
      <c r="C497" t="s">
        <v>138</v>
      </c>
      <c r="D497" s="22" t="s">
        <v>154</v>
      </c>
      <c r="E497" t="s">
        <v>72</v>
      </c>
      <c r="F497" s="1">
        <v>9.7074074074074077E-4</v>
      </c>
      <c r="G497" s="37">
        <v>2.19</v>
      </c>
      <c r="H497">
        <v>2.82</v>
      </c>
      <c r="I497" s="37">
        <v>1.0069999999999999</v>
      </c>
      <c r="J497">
        <f t="shared" si="7"/>
        <v>2.8397399999999995</v>
      </c>
    </row>
    <row r="498" spans="1:10" x14ac:dyDescent="0.3">
      <c r="A498" t="s">
        <v>3</v>
      </c>
      <c r="B498" t="s">
        <v>83</v>
      </c>
      <c r="C498" t="s">
        <v>138</v>
      </c>
      <c r="D498" s="22" t="s">
        <v>154</v>
      </c>
      <c r="E498" t="s">
        <v>59</v>
      </c>
      <c r="F498" s="1">
        <v>9.6869212962962957E-4</v>
      </c>
      <c r="G498" s="37">
        <v>2.1800000000000002</v>
      </c>
      <c r="H498">
        <v>2.82</v>
      </c>
      <c r="I498" s="37">
        <v>1.0069999999999999</v>
      </c>
      <c r="J498">
        <f t="shared" si="7"/>
        <v>2.8397399999999995</v>
      </c>
    </row>
    <row r="499" spans="1:10" x14ac:dyDescent="0.3">
      <c r="A499" t="s">
        <v>3</v>
      </c>
      <c r="B499" t="s">
        <v>83</v>
      </c>
      <c r="C499" t="s">
        <v>138</v>
      </c>
      <c r="D499" s="22" t="s">
        <v>154</v>
      </c>
      <c r="E499" t="s">
        <v>60</v>
      </c>
      <c r="F499" s="1">
        <v>9.7628472222222225E-4</v>
      </c>
      <c r="G499" s="37">
        <v>2.17</v>
      </c>
      <c r="H499">
        <v>2.8</v>
      </c>
      <c r="I499" s="37">
        <v>1.0069999999999999</v>
      </c>
      <c r="J499">
        <f t="shared" si="7"/>
        <v>2.8195999999999994</v>
      </c>
    </row>
    <row r="500" spans="1:10" x14ac:dyDescent="0.3">
      <c r="A500" t="s">
        <v>3</v>
      </c>
      <c r="B500" t="s">
        <v>83</v>
      </c>
      <c r="C500" t="s">
        <v>138</v>
      </c>
      <c r="D500" s="22" t="s">
        <v>154</v>
      </c>
      <c r="E500" t="s">
        <v>61</v>
      </c>
      <c r="F500" s="1">
        <v>9.7194444444444444E-4</v>
      </c>
      <c r="G500" s="37">
        <v>2.17</v>
      </c>
      <c r="H500">
        <v>2.81</v>
      </c>
      <c r="I500" s="37">
        <v>1.0069999999999999</v>
      </c>
      <c r="J500">
        <f t="shared" si="7"/>
        <v>2.8296699999999997</v>
      </c>
    </row>
    <row r="501" spans="1:10" x14ac:dyDescent="0.3">
      <c r="A501" t="s">
        <v>3</v>
      </c>
      <c r="B501" t="s">
        <v>83</v>
      </c>
      <c r="C501" t="s">
        <v>138</v>
      </c>
      <c r="D501" s="22" t="s">
        <v>154</v>
      </c>
      <c r="E501" t="s">
        <v>62</v>
      </c>
      <c r="F501" s="1">
        <v>9.715393518518519E-4</v>
      </c>
      <c r="G501" s="37">
        <v>2.1800000000000002</v>
      </c>
      <c r="H501">
        <v>2.8</v>
      </c>
      <c r="I501" s="37">
        <v>1.0069999999999999</v>
      </c>
      <c r="J501">
        <f t="shared" si="7"/>
        <v>2.8195999999999994</v>
      </c>
    </row>
    <row r="502" spans="1:10" x14ac:dyDescent="0.3">
      <c r="A502" t="s">
        <v>3</v>
      </c>
      <c r="B502" t="s">
        <v>83</v>
      </c>
      <c r="C502" t="s">
        <v>138</v>
      </c>
      <c r="D502" s="22" t="s">
        <v>154</v>
      </c>
      <c r="E502" t="s">
        <v>63</v>
      </c>
      <c r="F502" s="1">
        <v>9.7292824074074078E-4</v>
      </c>
      <c r="G502" s="37">
        <v>2.17</v>
      </c>
      <c r="H502">
        <v>2.8</v>
      </c>
      <c r="I502" s="37">
        <v>1.0069999999999999</v>
      </c>
      <c r="J502">
        <f t="shared" si="7"/>
        <v>2.8195999999999994</v>
      </c>
    </row>
    <row r="503" spans="1:10" x14ac:dyDescent="0.3">
      <c r="A503" t="s">
        <v>3</v>
      </c>
      <c r="B503" t="s">
        <v>83</v>
      </c>
      <c r="C503" t="s">
        <v>138</v>
      </c>
      <c r="D503" s="22" t="s">
        <v>154</v>
      </c>
      <c r="E503" t="s">
        <v>64</v>
      </c>
      <c r="F503" s="1">
        <v>9.7258101851851856E-4</v>
      </c>
      <c r="G503" s="37">
        <v>2.17</v>
      </c>
      <c r="H503">
        <v>2.8</v>
      </c>
      <c r="I503" s="37">
        <v>1.0069999999999999</v>
      </c>
      <c r="J503">
        <f t="shared" si="7"/>
        <v>2.8195999999999994</v>
      </c>
    </row>
    <row r="504" spans="1:10" x14ac:dyDescent="0.3">
      <c r="A504" t="s">
        <v>3</v>
      </c>
      <c r="B504" t="s">
        <v>83</v>
      </c>
      <c r="C504" t="s">
        <v>138</v>
      </c>
      <c r="D504" s="22" t="s">
        <v>154</v>
      </c>
      <c r="E504" t="s">
        <v>65</v>
      </c>
      <c r="F504" s="1">
        <v>9.7427083333333328E-4</v>
      </c>
      <c r="G504" s="37">
        <v>2.14</v>
      </c>
      <c r="H504">
        <v>2.77</v>
      </c>
      <c r="I504" s="37">
        <v>1.0069999999999999</v>
      </c>
      <c r="J504">
        <f t="shared" si="7"/>
        <v>2.7893899999999996</v>
      </c>
    </row>
    <row r="505" spans="1:10" x14ac:dyDescent="0.3">
      <c r="A505" t="s">
        <v>3</v>
      </c>
      <c r="B505" t="s">
        <v>83</v>
      </c>
      <c r="C505" t="s">
        <v>138</v>
      </c>
      <c r="D505" s="22" t="s">
        <v>154</v>
      </c>
      <c r="E505" t="s">
        <v>66</v>
      </c>
      <c r="F505" s="1">
        <v>9.7275462962962951E-4</v>
      </c>
      <c r="G505" s="37">
        <v>2.15</v>
      </c>
      <c r="H505">
        <v>2.77</v>
      </c>
      <c r="I505" s="37">
        <v>1.0069999999999999</v>
      </c>
      <c r="J505">
        <f t="shared" si="7"/>
        <v>2.7893899999999996</v>
      </c>
    </row>
    <row r="506" spans="1:10" x14ac:dyDescent="0.3">
      <c r="A506" t="s">
        <v>3</v>
      </c>
      <c r="B506" t="s">
        <v>83</v>
      </c>
      <c r="C506" t="s">
        <v>138</v>
      </c>
      <c r="D506" s="22" t="s">
        <v>154</v>
      </c>
      <c r="E506" t="s">
        <v>67</v>
      </c>
      <c r="F506" s="1">
        <v>9.7188657407407412E-4</v>
      </c>
      <c r="G506" s="37">
        <v>2.15</v>
      </c>
      <c r="H506">
        <v>2.77</v>
      </c>
      <c r="I506" s="37">
        <v>1.0069999999999999</v>
      </c>
      <c r="J506">
        <f t="shared" si="7"/>
        <v>2.7893899999999996</v>
      </c>
    </row>
    <row r="507" spans="1:10" x14ac:dyDescent="0.3">
      <c r="A507" t="s">
        <v>3</v>
      </c>
      <c r="B507" t="s">
        <v>83</v>
      </c>
      <c r="C507" t="s">
        <v>138</v>
      </c>
      <c r="D507" s="22" t="s">
        <v>154</v>
      </c>
      <c r="E507" t="s">
        <v>68</v>
      </c>
      <c r="F507" s="1">
        <v>9.7344907407407406E-4</v>
      </c>
      <c r="G507" s="37">
        <v>2.15</v>
      </c>
      <c r="H507">
        <v>2.78</v>
      </c>
      <c r="I507" s="37">
        <v>1.0069999999999999</v>
      </c>
      <c r="J507">
        <f t="shared" si="7"/>
        <v>2.7994599999999994</v>
      </c>
    </row>
    <row r="508" spans="1:10" x14ac:dyDescent="0.3">
      <c r="A508" t="s">
        <v>3</v>
      </c>
      <c r="B508" t="s">
        <v>83</v>
      </c>
      <c r="C508" t="s">
        <v>138</v>
      </c>
      <c r="D508" s="22" t="s">
        <v>154</v>
      </c>
      <c r="E508" t="s">
        <v>69</v>
      </c>
      <c r="F508" s="1">
        <v>9.7773148148148155E-4</v>
      </c>
      <c r="G508" s="37">
        <v>2.11</v>
      </c>
      <c r="H508">
        <v>2.73</v>
      </c>
      <c r="I508" s="37">
        <v>1.0069999999999999</v>
      </c>
      <c r="J508">
        <f t="shared" si="7"/>
        <v>2.7491099999999995</v>
      </c>
    </row>
    <row r="509" spans="1:10" x14ac:dyDescent="0.3">
      <c r="A509" t="s">
        <v>3</v>
      </c>
      <c r="B509" t="s">
        <v>83</v>
      </c>
      <c r="C509" t="s">
        <v>138</v>
      </c>
      <c r="D509" t="s">
        <v>154</v>
      </c>
      <c r="E509" t="s">
        <v>70</v>
      </c>
      <c r="F509" s="1">
        <v>9.7710648148148136E-4</v>
      </c>
      <c r="G509" s="37">
        <v>2.14</v>
      </c>
      <c r="H509">
        <v>2.76</v>
      </c>
      <c r="I509" s="37">
        <v>1.0069999999999999</v>
      </c>
      <c r="J509">
        <f t="shared" si="7"/>
        <v>2.7793199999999993</v>
      </c>
    </row>
    <row r="510" spans="1:10" x14ac:dyDescent="0.3">
      <c r="A510" t="s">
        <v>3</v>
      </c>
      <c r="B510" t="s">
        <v>83</v>
      </c>
      <c r="C510" t="s">
        <v>138</v>
      </c>
      <c r="D510" t="s">
        <v>154</v>
      </c>
      <c r="E510" t="s">
        <v>71</v>
      </c>
      <c r="F510" s="1">
        <v>9.7660879629629638E-4</v>
      </c>
      <c r="G510" s="37">
        <v>2.11</v>
      </c>
      <c r="H510">
        <v>2.73</v>
      </c>
      <c r="I510" s="37">
        <v>1.0069999999999999</v>
      </c>
      <c r="J510">
        <f t="shared" si="7"/>
        <v>2.7491099999999995</v>
      </c>
    </row>
    <row r="511" spans="1:10" x14ac:dyDescent="0.3">
      <c r="A511" t="s">
        <v>3</v>
      </c>
      <c r="B511" t="s">
        <v>98</v>
      </c>
      <c r="C511" t="s">
        <v>138</v>
      </c>
      <c r="D511" s="22" t="s">
        <v>155</v>
      </c>
      <c r="E511" t="s">
        <v>8</v>
      </c>
      <c r="F511" s="1">
        <v>1.0081018518518518E-3</v>
      </c>
      <c r="G511" s="37">
        <v>2.23</v>
      </c>
      <c r="H511">
        <v>3.51</v>
      </c>
      <c r="I511" s="37">
        <v>0.84099999999999997</v>
      </c>
      <c r="J511">
        <f t="shared" si="7"/>
        <v>2.9519099999999998</v>
      </c>
    </row>
    <row r="512" spans="1:10" x14ac:dyDescent="0.3">
      <c r="A512" t="s">
        <v>3</v>
      </c>
      <c r="B512" t="s">
        <v>98</v>
      </c>
      <c r="C512" t="s">
        <v>138</v>
      </c>
      <c r="D512" s="22" t="s">
        <v>155</v>
      </c>
      <c r="E512" t="s">
        <v>9</v>
      </c>
      <c r="F512" s="1">
        <v>9.6626157407407403E-4</v>
      </c>
      <c r="G512" s="37">
        <v>2.13</v>
      </c>
      <c r="H512">
        <v>3.35</v>
      </c>
      <c r="I512" s="37">
        <v>0.84099999999999997</v>
      </c>
      <c r="J512">
        <f t="shared" si="7"/>
        <v>2.8173499999999998</v>
      </c>
    </row>
    <row r="513" spans="1:10" x14ac:dyDescent="0.3">
      <c r="A513" t="s">
        <v>3</v>
      </c>
      <c r="B513" t="s">
        <v>98</v>
      </c>
      <c r="C513" t="s">
        <v>138</v>
      </c>
      <c r="D513" s="22" t="s">
        <v>155</v>
      </c>
      <c r="E513" t="s">
        <v>10</v>
      </c>
      <c r="F513" s="1">
        <v>9.6412037037037039E-4</v>
      </c>
      <c r="G513" s="37">
        <v>2.17</v>
      </c>
      <c r="H513">
        <v>3.43</v>
      </c>
      <c r="I513" s="37">
        <v>0.84099999999999997</v>
      </c>
      <c r="J513">
        <f t="shared" si="7"/>
        <v>2.88463</v>
      </c>
    </row>
    <row r="514" spans="1:10" x14ac:dyDescent="0.3">
      <c r="A514" t="s">
        <v>3</v>
      </c>
      <c r="B514" t="s">
        <v>98</v>
      </c>
      <c r="C514" t="s">
        <v>138</v>
      </c>
      <c r="D514" s="22" t="s">
        <v>155</v>
      </c>
      <c r="E514" t="s">
        <v>15</v>
      </c>
      <c r="F514" s="1">
        <v>9.643055555555556E-4</v>
      </c>
      <c r="G514" s="37">
        <v>2.1800000000000002</v>
      </c>
      <c r="H514">
        <v>3.43</v>
      </c>
      <c r="I514" s="37">
        <v>0.84099999999999997</v>
      </c>
      <c r="J514">
        <f t="shared" si="7"/>
        <v>2.88463</v>
      </c>
    </row>
    <row r="515" spans="1:10" x14ac:dyDescent="0.3">
      <c r="A515" t="s">
        <v>3</v>
      </c>
      <c r="B515" t="s">
        <v>98</v>
      </c>
      <c r="C515" t="s">
        <v>138</v>
      </c>
      <c r="D515" s="22" t="s">
        <v>155</v>
      </c>
      <c r="E515" t="s">
        <v>16</v>
      </c>
      <c r="F515" s="1">
        <v>9.6811342592592587E-4</v>
      </c>
      <c r="G515" s="37">
        <v>2.19</v>
      </c>
      <c r="H515">
        <v>3.44</v>
      </c>
      <c r="I515" s="37">
        <v>0.84099999999999997</v>
      </c>
      <c r="J515">
        <f t="shared" si="7"/>
        <v>2.8930400000000001</v>
      </c>
    </row>
    <row r="516" spans="1:10" x14ac:dyDescent="0.3">
      <c r="A516" t="s">
        <v>3</v>
      </c>
      <c r="B516" t="s">
        <v>98</v>
      </c>
      <c r="C516" t="s">
        <v>138</v>
      </c>
      <c r="D516" s="22" t="s">
        <v>155</v>
      </c>
      <c r="E516" t="s">
        <v>17</v>
      </c>
      <c r="F516" s="1">
        <v>9.6874999999999999E-4</v>
      </c>
      <c r="G516" s="37">
        <v>2.2000000000000002</v>
      </c>
      <c r="H516">
        <v>3.45</v>
      </c>
      <c r="I516" s="37">
        <v>0.84099999999999997</v>
      </c>
      <c r="J516">
        <f t="shared" ref="J516:J579" si="8">H516*I516</f>
        <v>2.9014500000000001</v>
      </c>
    </row>
    <row r="517" spans="1:10" x14ac:dyDescent="0.3">
      <c r="A517" t="s">
        <v>3</v>
      </c>
      <c r="B517" t="s">
        <v>98</v>
      </c>
      <c r="C517" t="s">
        <v>138</v>
      </c>
      <c r="D517" s="22" t="s">
        <v>155</v>
      </c>
      <c r="E517" t="s">
        <v>18</v>
      </c>
      <c r="F517" s="1">
        <v>9.7003472222222228E-4</v>
      </c>
      <c r="G517" s="37">
        <v>2.2200000000000002</v>
      </c>
      <c r="H517">
        <v>3.47</v>
      </c>
      <c r="I517" s="37">
        <v>0.84099999999999997</v>
      </c>
      <c r="J517">
        <f t="shared" si="8"/>
        <v>2.9182700000000001</v>
      </c>
    </row>
    <row r="518" spans="1:10" x14ac:dyDescent="0.3">
      <c r="A518" t="s">
        <v>3</v>
      </c>
      <c r="B518" t="s">
        <v>98</v>
      </c>
      <c r="C518" t="s">
        <v>138</v>
      </c>
      <c r="D518" s="22" t="s">
        <v>155</v>
      </c>
      <c r="E518" t="s">
        <v>19</v>
      </c>
      <c r="F518" s="1">
        <v>9.8090277777777781E-4</v>
      </c>
      <c r="G518" s="37">
        <v>2.17</v>
      </c>
      <c r="H518">
        <v>3.38</v>
      </c>
      <c r="I518" s="37">
        <v>0.84099999999999997</v>
      </c>
      <c r="J518">
        <f t="shared" si="8"/>
        <v>2.8425799999999999</v>
      </c>
    </row>
    <row r="519" spans="1:10" x14ac:dyDescent="0.3">
      <c r="A519" t="s">
        <v>3</v>
      </c>
      <c r="B519" t="s">
        <v>98</v>
      </c>
      <c r="C519" t="s">
        <v>138</v>
      </c>
      <c r="D519" s="22" t="s">
        <v>155</v>
      </c>
      <c r="E519" t="s">
        <v>45</v>
      </c>
      <c r="F519" s="1">
        <v>9.7754629629629645E-4</v>
      </c>
      <c r="G519" s="37">
        <v>2.2000000000000002</v>
      </c>
      <c r="H519">
        <v>3.42</v>
      </c>
      <c r="I519" s="37">
        <v>0.84099999999999997</v>
      </c>
      <c r="J519">
        <f t="shared" si="8"/>
        <v>2.87622</v>
      </c>
    </row>
    <row r="520" spans="1:10" x14ac:dyDescent="0.3">
      <c r="A520" t="s">
        <v>3</v>
      </c>
      <c r="B520" t="s">
        <v>98</v>
      </c>
      <c r="C520" t="s">
        <v>138</v>
      </c>
      <c r="D520" s="22" t="s">
        <v>155</v>
      </c>
      <c r="E520" t="s">
        <v>46</v>
      </c>
      <c r="F520" s="1">
        <v>9.7313657407407418E-4</v>
      </c>
      <c r="G520" s="37">
        <v>2.2000000000000002</v>
      </c>
      <c r="H520">
        <v>3.45</v>
      </c>
      <c r="I520" s="37">
        <v>0.84099999999999997</v>
      </c>
      <c r="J520">
        <f t="shared" si="8"/>
        <v>2.9014500000000001</v>
      </c>
    </row>
    <row r="521" spans="1:10" x14ac:dyDescent="0.3">
      <c r="A521" t="s">
        <v>3</v>
      </c>
      <c r="B521" t="s">
        <v>98</v>
      </c>
      <c r="C521" t="s">
        <v>138</v>
      </c>
      <c r="D521" s="22" t="s">
        <v>155</v>
      </c>
      <c r="E521" t="s">
        <v>47</v>
      </c>
      <c r="F521" s="1">
        <v>9.7091435185185182E-4</v>
      </c>
      <c r="G521" s="37">
        <v>2.2000000000000002</v>
      </c>
      <c r="H521">
        <v>3.43</v>
      </c>
      <c r="I521" s="37">
        <v>0.84099999999999997</v>
      </c>
      <c r="J521">
        <f t="shared" si="8"/>
        <v>2.88463</v>
      </c>
    </row>
    <row r="522" spans="1:10" x14ac:dyDescent="0.3">
      <c r="A522" t="s">
        <v>3</v>
      </c>
      <c r="B522" t="s">
        <v>98</v>
      </c>
      <c r="C522" t="s">
        <v>138</v>
      </c>
      <c r="D522" s="22" t="s">
        <v>155</v>
      </c>
      <c r="E522" t="s">
        <v>48</v>
      </c>
      <c r="F522" s="1">
        <v>9.7605324074074077E-4</v>
      </c>
      <c r="G522" s="37">
        <v>2.2000000000000002</v>
      </c>
      <c r="H522">
        <v>3.45</v>
      </c>
      <c r="I522" s="37">
        <v>0.84099999999999997</v>
      </c>
      <c r="J522">
        <f t="shared" si="8"/>
        <v>2.9014500000000001</v>
      </c>
    </row>
    <row r="523" spans="1:10" x14ac:dyDescent="0.3">
      <c r="A523" t="s">
        <v>3</v>
      </c>
      <c r="B523" t="s">
        <v>98</v>
      </c>
      <c r="C523" t="s">
        <v>138</v>
      </c>
      <c r="D523" s="22" t="s">
        <v>155</v>
      </c>
      <c r="E523" t="s">
        <v>49</v>
      </c>
      <c r="F523" s="1">
        <v>9.7597222222222215E-4</v>
      </c>
      <c r="G523" s="37">
        <v>2.19</v>
      </c>
      <c r="H523">
        <v>3.42</v>
      </c>
      <c r="I523" s="37">
        <v>0.84099999999999997</v>
      </c>
      <c r="J523">
        <f t="shared" si="8"/>
        <v>2.87622</v>
      </c>
    </row>
    <row r="524" spans="1:10" x14ac:dyDescent="0.3">
      <c r="A524" t="s">
        <v>3</v>
      </c>
      <c r="B524" t="s">
        <v>98</v>
      </c>
      <c r="C524" t="s">
        <v>138</v>
      </c>
      <c r="D524" s="22" t="s">
        <v>155</v>
      </c>
      <c r="E524" t="s">
        <v>50</v>
      </c>
      <c r="F524" s="1">
        <v>9.7499999999999996E-4</v>
      </c>
      <c r="G524" s="37">
        <v>2.2000000000000002</v>
      </c>
      <c r="H524">
        <v>3.43</v>
      </c>
      <c r="I524" s="37">
        <v>0.84099999999999997</v>
      </c>
      <c r="J524">
        <f t="shared" si="8"/>
        <v>2.88463</v>
      </c>
    </row>
    <row r="525" spans="1:10" x14ac:dyDescent="0.3">
      <c r="A525" t="s">
        <v>3</v>
      </c>
      <c r="B525" t="s">
        <v>98</v>
      </c>
      <c r="C525" t="s">
        <v>138</v>
      </c>
      <c r="D525" s="22" t="s">
        <v>155</v>
      </c>
      <c r="E525" t="s">
        <v>51</v>
      </c>
      <c r="F525" s="1">
        <v>9.7621527777777778E-4</v>
      </c>
      <c r="G525" s="37">
        <v>2.21</v>
      </c>
      <c r="H525">
        <v>3.46</v>
      </c>
      <c r="I525" s="37">
        <v>0.84099999999999997</v>
      </c>
      <c r="J525">
        <f t="shared" si="8"/>
        <v>2.9098599999999997</v>
      </c>
    </row>
    <row r="526" spans="1:10" x14ac:dyDescent="0.3">
      <c r="A526" t="s">
        <v>3</v>
      </c>
      <c r="B526" t="s">
        <v>98</v>
      </c>
      <c r="C526" t="s">
        <v>138</v>
      </c>
      <c r="D526" s="22" t="s">
        <v>155</v>
      </c>
      <c r="E526" t="s">
        <v>52</v>
      </c>
      <c r="F526" s="1">
        <v>9.7633101851851852E-4</v>
      </c>
      <c r="G526" s="37">
        <v>2.19</v>
      </c>
      <c r="H526">
        <v>3.42</v>
      </c>
      <c r="I526" s="37">
        <v>0.84099999999999997</v>
      </c>
      <c r="J526">
        <f t="shared" si="8"/>
        <v>2.87622</v>
      </c>
    </row>
    <row r="527" spans="1:10" x14ac:dyDescent="0.3">
      <c r="A527" t="s">
        <v>3</v>
      </c>
      <c r="B527" t="s">
        <v>98</v>
      </c>
      <c r="C527" t="s">
        <v>138</v>
      </c>
      <c r="D527" s="22" t="s">
        <v>155</v>
      </c>
      <c r="E527" t="s">
        <v>54</v>
      </c>
      <c r="F527" s="1">
        <v>9.8364583333333333E-4</v>
      </c>
      <c r="G527" s="37">
        <v>2.17</v>
      </c>
      <c r="H527">
        <v>3.41</v>
      </c>
      <c r="I527" s="37">
        <v>0.84099999999999997</v>
      </c>
      <c r="J527">
        <f t="shared" si="8"/>
        <v>2.86781</v>
      </c>
    </row>
    <row r="528" spans="1:10" x14ac:dyDescent="0.3">
      <c r="A528" t="s">
        <v>3</v>
      </c>
      <c r="B528" t="s">
        <v>98</v>
      </c>
      <c r="C528" t="s">
        <v>138</v>
      </c>
      <c r="D528" s="22" t="s">
        <v>155</v>
      </c>
      <c r="E528" t="s">
        <v>55</v>
      </c>
      <c r="F528" s="1">
        <v>9.7273148148148143E-4</v>
      </c>
      <c r="G528" s="37">
        <v>2.1800000000000002</v>
      </c>
      <c r="H528">
        <v>3.43</v>
      </c>
      <c r="I528" s="37">
        <v>0.84099999999999997</v>
      </c>
      <c r="J528">
        <f t="shared" si="8"/>
        <v>2.88463</v>
      </c>
    </row>
    <row r="529" spans="1:10" x14ac:dyDescent="0.3">
      <c r="A529" t="s">
        <v>3</v>
      </c>
      <c r="B529" t="s">
        <v>98</v>
      </c>
      <c r="C529" t="s">
        <v>138</v>
      </c>
      <c r="D529" s="22" t="s">
        <v>155</v>
      </c>
      <c r="E529" t="s">
        <v>56</v>
      </c>
      <c r="F529" s="1">
        <v>9.716435185185186E-4</v>
      </c>
      <c r="G529" s="37">
        <v>2.1800000000000002</v>
      </c>
      <c r="H529">
        <v>3.43</v>
      </c>
      <c r="I529" s="37">
        <v>0.84099999999999997</v>
      </c>
      <c r="J529">
        <f t="shared" si="8"/>
        <v>2.88463</v>
      </c>
    </row>
    <row r="530" spans="1:10" x14ac:dyDescent="0.3">
      <c r="A530" t="s">
        <v>3</v>
      </c>
      <c r="B530" t="s">
        <v>98</v>
      </c>
      <c r="C530" t="s">
        <v>138</v>
      </c>
      <c r="D530" s="22" t="s">
        <v>155</v>
      </c>
      <c r="E530" t="s">
        <v>57</v>
      </c>
      <c r="F530" s="1">
        <v>9.706712962962963E-4</v>
      </c>
      <c r="G530" s="37">
        <v>2.2200000000000002</v>
      </c>
      <c r="H530">
        <v>3.46</v>
      </c>
      <c r="I530" s="37">
        <v>0.84099999999999997</v>
      </c>
      <c r="J530">
        <f t="shared" si="8"/>
        <v>2.9098599999999997</v>
      </c>
    </row>
    <row r="531" spans="1:10" x14ac:dyDescent="0.3">
      <c r="A531" t="s">
        <v>3</v>
      </c>
      <c r="B531" t="s">
        <v>98</v>
      </c>
      <c r="C531" t="s">
        <v>138</v>
      </c>
      <c r="D531" s="22" t="s">
        <v>155</v>
      </c>
      <c r="E531" t="s">
        <v>58</v>
      </c>
      <c r="F531" s="1">
        <v>9.691435185185186E-4</v>
      </c>
      <c r="G531" s="37">
        <v>2.2200000000000002</v>
      </c>
      <c r="H531">
        <v>3.48</v>
      </c>
      <c r="I531" s="37">
        <v>0.84099999999999997</v>
      </c>
      <c r="J531">
        <f t="shared" si="8"/>
        <v>2.9266799999999997</v>
      </c>
    </row>
    <row r="532" spans="1:10" x14ac:dyDescent="0.3">
      <c r="A532" t="s">
        <v>3</v>
      </c>
      <c r="B532" t="s">
        <v>98</v>
      </c>
      <c r="C532" t="s">
        <v>138</v>
      </c>
      <c r="D532" s="22" t="s">
        <v>155</v>
      </c>
      <c r="E532" t="s">
        <v>72</v>
      </c>
      <c r="F532" s="1">
        <v>9.7061342592592598E-4</v>
      </c>
      <c r="G532" s="37">
        <v>2.21</v>
      </c>
      <c r="H532">
        <v>3.45</v>
      </c>
      <c r="I532" s="37">
        <v>0.84099999999999997</v>
      </c>
      <c r="J532">
        <f t="shared" si="8"/>
        <v>2.9014500000000001</v>
      </c>
    </row>
    <row r="533" spans="1:10" x14ac:dyDescent="0.3">
      <c r="A533" t="s">
        <v>3</v>
      </c>
      <c r="B533" t="s">
        <v>98</v>
      </c>
      <c r="C533" t="s">
        <v>138</v>
      </c>
      <c r="D533" s="22" t="s">
        <v>155</v>
      </c>
      <c r="E533" t="s">
        <v>59</v>
      </c>
      <c r="F533" s="1">
        <v>9.7078703703703704E-4</v>
      </c>
      <c r="G533" s="37">
        <v>2.21</v>
      </c>
      <c r="H533">
        <v>3.45</v>
      </c>
      <c r="I533" s="37">
        <v>0.84099999999999997</v>
      </c>
      <c r="J533">
        <f t="shared" si="8"/>
        <v>2.9014500000000001</v>
      </c>
    </row>
    <row r="534" spans="1:10" x14ac:dyDescent="0.3">
      <c r="A534" t="s">
        <v>3</v>
      </c>
      <c r="B534" t="s">
        <v>98</v>
      </c>
      <c r="C534" t="s">
        <v>138</v>
      </c>
      <c r="D534" s="22" t="s">
        <v>155</v>
      </c>
      <c r="E534" t="s">
        <v>60</v>
      </c>
      <c r="F534" s="1">
        <v>9.7701388888888881E-4</v>
      </c>
      <c r="G534" s="37">
        <v>2.21</v>
      </c>
      <c r="H534">
        <v>3.44</v>
      </c>
      <c r="I534" s="37">
        <v>0.84099999999999997</v>
      </c>
      <c r="J534">
        <f t="shared" si="8"/>
        <v>2.8930400000000001</v>
      </c>
    </row>
    <row r="535" spans="1:10" x14ac:dyDescent="0.3">
      <c r="A535" t="s">
        <v>3</v>
      </c>
      <c r="B535" t="s">
        <v>98</v>
      </c>
      <c r="C535" t="s">
        <v>138</v>
      </c>
      <c r="D535" s="22" t="s">
        <v>155</v>
      </c>
      <c r="E535" t="s">
        <v>61</v>
      </c>
      <c r="F535" s="1">
        <v>9.7171296296296296E-4</v>
      </c>
      <c r="G535" s="37">
        <v>2.14</v>
      </c>
      <c r="H535">
        <v>3.39</v>
      </c>
      <c r="I535" s="37">
        <v>0.84099999999999997</v>
      </c>
      <c r="J535">
        <f t="shared" si="8"/>
        <v>2.8509899999999999</v>
      </c>
    </row>
    <row r="536" spans="1:10" x14ac:dyDescent="0.3">
      <c r="A536" t="s">
        <v>3</v>
      </c>
      <c r="B536" t="s">
        <v>98</v>
      </c>
      <c r="C536" t="s">
        <v>138</v>
      </c>
      <c r="D536" s="22" t="s">
        <v>155</v>
      </c>
      <c r="E536" t="s">
        <v>62</v>
      </c>
      <c r="F536" s="1">
        <v>9.7168981481481488E-4</v>
      </c>
      <c r="G536" s="37">
        <v>2.16</v>
      </c>
      <c r="H536">
        <v>3.42</v>
      </c>
      <c r="I536" s="37">
        <v>0.84099999999999997</v>
      </c>
      <c r="J536">
        <f t="shared" si="8"/>
        <v>2.87622</v>
      </c>
    </row>
    <row r="537" spans="1:10" x14ac:dyDescent="0.3">
      <c r="A537" t="s">
        <v>3</v>
      </c>
      <c r="B537" t="s">
        <v>98</v>
      </c>
      <c r="C537" t="s">
        <v>138</v>
      </c>
      <c r="D537" s="22" t="s">
        <v>155</v>
      </c>
      <c r="E537" t="s">
        <v>63</v>
      </c>
      <c r="F537" s="1">
        <v>9.7431712962962956E-4</v>
      </c>
      <c r="G537" s="37">
        <v>2.1800000000000002</v>
      </c>
      <c r="H537">
        <v>3.43</v>
      </c>
      <c r="I537" s="37">
        <v>0.84099999999999997</v>
      </c>
      <c r="J537">
        <f t="shared" si="8"/>
        <v>2.88463</v>
      </c>
    </row>
    <row r="538" spans="1:10" x14ac:dyDescent="0.3">
      <c r="A538" t="s">
        <v>3</v>
      </c>
      <c r="B538" t="s">
        <v>98</v>
      </c>
      <c r="C538" t="s">
        <v>138</v>
      </c>
      <c r="D538" s="22" t="s">
        <v>155</v>
      </c>
      <c r="E538" t="s">
        <v>64</v>
      </c>
      <c r="F538" s="1">
        <v>9.7268518518518505E-4</v>
      </c>
      <c r="G538" s="37">
        <v>2.1800000000000002</v>
      </c>
      <c r="H538">
        <v>3.42</v>
      </c>
      <c r="I538" s="37">
        <v>0.84099999999999997</v>
      </c>
      <c r="J538">
        <f t="shared" si="8"/>
        <v>2.87622</v>
      </c>
    </row>
    <row r="539" spans="1:10" x14ac:dyDescent="0.3">
      <c r="A539" t="s">
        <v>3</v>
      </c>
      <c r="B539" t="s">
        <v>98</v>
      </c>
      <c r="C539" t="s">
        <v>138</v>
      </c>
      <c r="D539" s="22" t="s">
        <v>155</v>
      </c>
      <c r="E539" t="s">
        <v>65</v>
      </c>
      <c r="F539" s="1">
        <v>9.7518518518518516E-4</v>
      </c>
      <c r="G539" s="37">
        <v>2.1800000000000002</v>
      </c>
      <c r="H539">
        <v>3.42</v>
      </c>
      <c r="I539" s="37">
        <v>0.84099999999999997</v>
      </c>
      <c r="J539">
        <f t="shared" si="8"/>
        <v>2.87622</v>
      </c>
    </row>
    <row r="540" spans="1:10" x14ac:dyDescent="0.3">
      <c r="A540" t="s">
        <v>3</v>
      </c>
      <c r="B540" t="s">
        <v>98</v>
      </c>
      <c r="C540" t="s">
        <v>138</v>
      </c>
      <c r="D540" s="22" t="s">
        <v>155</v>
      </c>
      <c r="E540" t="s">
        <v>66</v>
      </c>
      <c r="F540" s="1">
        <v>9.7615740740740746E-4</v>
      </c>
      <c r="G540" s="37">
        <v>2.16</v>
      </c>
      <c r="H540">
        <v>3.42</v>
      </c>
      <c r="I540" s="37">
        <v>0.84099999999999997</v>
      </c>
      <c r="J540">
        <f t="shared" si="8"/>
        <v>2.87622</v>
      </c>
    </row>
    <row r="541" spans="1:10" x14ac:dyDescent="0.3">
      <c r="A541" t="s">
        <v>3</v>
      </c>
      <c r="B541" t="s">
        <v>98</v>
      </c>
      <c r="C541" t="s">
        <v>138</v>
      </c>
      <c r="D541" t="s">
        <v>155</v>
      </c>
      <c r="E541" t="s">
        <v>67</v>
      </c>
      <c r="F541" s="1">
        <v>9.762731481481481E-4</v>
      </c>
      <c r="G541" s="37">
        <v>2.15</v>
      </c>
      <c r="H541">
        <v>3.41</v>
      </c>
      <c r="I541" s="37">
        <v>0.84099999999999997</v>
      </c>
      <c r="J541">
        <f t="shared" si="8"/>
        <v>2.86781</v>
      </c>
    </row>
    <row r="542" spans="1:10" x14ac:dyDescent="0.3">
      <c r="A542" t="s">
        <v>3</v>
      </c>
      <c r="B542" t="s">
        <v>98</v>
      </c>
      <c r="C542" t="s">
        <v>138</v>
      </c>
      <c r="D542" t="s">
        <v>155</v>
      </c>
      <c r="E542" t="s">
        <v>68</v>
      </c>
      <c r="F542" s="1">
        <v>9.7766203703703708E-4</v>
      </c>
      <c r="G542" s="37">
        <v>2.1800000000000002</v>
      </c>
      <c r="H542">
        <v>3.42</v>
      </c>
      <c r="I542" s="37">
        <v>0.84099999999999997</v>
      </c>
      <c r="J542">
        <f t="shared" si="8"/>
        <v>2.87622</v>
      </c>
    </row>
    <row r="543" spans="1:10" x14ac:dyDescent="0.3">
      <c r="A543" t="s">
        <v>3</v>
      </c>
      <c r="B543" t="s">
        <v>98</v>
      </c>
      <c r="C543" t="s">
        <v>138</v>
      </c>
      <c r="D543" t="s">
        <v>155</v>
      </c>
      <c r="E543" t="s">
        <v>69</v>
      </c>
      <c r="F543" s="1">
        <v>9.7731481481481476E-4</v>
      </c>
      <c r="G543" s="37">
        <v>2.16</v>
      </c>
      <c r="H543">
        <v>3.4</v>
      </c>
      <c r="I543" s="37">
        <v>0.84099999999999997</v>
      </c>
      <c r="J543">
        <f t="shared" si="8"/>
        <v>2.8593999999999999</v>
      </c>
    </row>
    <row r="544" spans="1:10" x14ac:dyDescent="0.3">
      <c r="A544" t="s">
        <v>3</v>
      </c>
      <c r="B544" t="s">
        <v>98</v>
      </c>
      <c r="C544" t="s">
        <v>138</v>
      </c>
      <c r="D544" t="s">
        <v>155</v>
      </c>
      <c r="E544" t="s">
        <v>70</v>
      </c>
      <c r="F544" s="1">
        <v>9.7899305555555565E-4</v>
      </c>
      <c r="G544" s="37">
        <v>2.17</v>
      </c>
      <c r="H544">
        <v>3.4</v>
      </c>
      <c r="I544" s="37">
        <v>0.84099999999999997</v>
      </c>
      <c r="J544">
        <f t="shared" si="8"/>
        <v>2.8593999999999999</v>
      </c>
    </row>
    <row r="545" spans="1:10" x14ac:dyDescent="0.3">
      <c r="A545" t="s">
        <v>3</v>
      </c>
      <c r="B545" t="s">
        <v>98</v>
      </c>
      <c r="C545" t="s">
        <v>138</v>
      </c>
      <c r="D545" t="s">
        <v>155</v>
      </c>
      <c r="E545" t="s">
        <v>71</v>
      </c>
      <c r="F545" s="1">
        <v>9.7826388888888876E-4</v>
      </c>
      <c r="G545" s="37">
        <v>2.15</v>
      </c>
      <c r="H545">
        <v>3.38</v>
      </c>
      <c r="I545" s="37">
        <v>0.84099999999999997</v>
      </c>
      <c r="J545">
        <f t="shared" si="8"/>
        <v>2.8425799999999999</v>
      </c>
    </row>
    <row r="546" spans="1:10" x14ac:dyDescent="0.3">
      <c r="A546" t="s">
        <v>3</v>
      </c>
      <c r="B546" t="s">
        <v>96</v>
      </c>
      <c r="C546" t="s">
        <v>138</v>
      </c>
      <c r="D546" t="s">
        <v>156</v>
      </c>
      <c r="E546" t="s">
        <v>9</v>
      </c>
      <c r="F546" s="1">
        <v>9.6280092592592598E-4</v>
      </c>
      <c r="G546" s="37">
        <v>2.19</v>
      </c>
      <c r="H546">
        <v>2.82</v>
      </c>
      <c r="I546" s="37">
        <v>1</v>
      </c>
      <c r="J546">
        <f t="shared" si="8"/>
        <v>2.82</v>
      </c>
    </row>
    <row r="547" spans="1:10" x14ac:dyDescent="0.3">
      <c r="A547" t="s">
        <v>3</v>
      </c>
      <c r="B547" t="s">
        <v>96</v>
      </c>
      <c r="C547" t="s">
        <v>138</v>
      </c>
      <c r="D547" t="s">
        <v>156</v>
      </c>
      <c r="E547" t="s">
        <v>10</v>
      </c>
      <c r="F547" s="1">
        <v>9.6395833333333338E-4</v>
      </c>
      <c r="G547" s="37">
        <v>2.19</v>
      </c>
      <c r="H547">
        <v>2.81</v>
      </c>
      <c r="I547" s="37">
        <v>1</v>
      </c>
      <c r="J547">
        <f t="shared" si="8"/>
        <v>2.81</v>
      </c>
    </row>
    <row r="548" spans="1:10" x14ac:dyDescent="0.3">
      <c r="A548" t="s">
        <v>3</v>
      </c>
      <c r="B548" t="s">
        <v>96</v>
      </c>
      <c r="C548" t="s">
        <v>138</v>
      </c>
      <c r="D548" t="s">
        <v>156</v>
      </c>
      <c r="E548" t="s">
        <v>15</v>
      </c>
      <c r="F548" s="1">
        <v>9.6281250000000002E-4</v>
      </c>
      <c r="G548" s="37">
        <v>2.1800000000000002</v>
      </c>
      <c r="H548">
        <v>2.81</v>
      </c>
      <c r="I548" s="37">
        <v>1</v>
      </c>
      <c r="J548">
        <f t="shared" si="8"/>
        <v>2.81</v>
      </c>
    </row>
    <row r="549" spans="1:10" x14ac:dyDescent="0.3">
      <c r="A549" t="s">
        <v>3</v>
      </c>
      <c r="B549" t="s">
        <v>96</v>
      </c>
      <c r="C549" t="s">
        <v>138</v>
      </c>
      <c r="D549" t="s">
        <v>156</v>
      </c>
      <c r="E549" t="s">
        <v>16</v>
      </c>
      <c r="F549" s="1">
        <v>9.6460648148148143E-4</v>
      </c>
      <c r="G549" s="37">
        <v>2.17</v>
      </c>
      <c r="H549">
        <v>2.79</v>
      </c>
      <c r="I549" s="37">
        <v>1</v>
      </c>
      <c r="J549">
        <f t="shared" si="8"/>
        <v>2.79</v>
      </c>
    </row>
    <row r="550" spans="1:10" x14ac:dyDescent="0.3">
      <c r="A550" t="s">
        <v>3</v>
      </c>
      <c r="B550" t="s">
        <v>96</v>
      </c>
      <c r="C550" t="s">
        <v>138</v>
      </c>
      <c r="D550" t="s">
        <v>156</v>
      </c>
      <c r="E550" t="s">
        <v>17</v>
      </c>
      <c r="F550" s="1">
        <v>9.6660879629629636E-4</v>
      </c>
      <c r="G550" s="37">
        <v>2.1800000000000002</v>
      </c>
      <c r="H550">
        <v>2.82</v>
      </c>
      <c r="I550" s="37">
        <v>1</v>
      </c>
      <c r="J550">
        <f t="shared" si="8"/>
        <v>2.82</v>
      </c>
    </row>
    <row r="551" spans="1:10" x14ac:dyDescent="0.3">
      <c r="A551" t="s">
        <v>3</v>
      </c>
      <c r="B551" t="s">
        <v>96</v>
      </c>
      <c r="C551" t="s">
        <v>138</v>
      </c>
      <c r="D551" t="s">
        <v>156</v>
      </c>
      <c r="E551" t="s">
        <v>18</v>
      </c>
      <c r="F551" s="1">
        <v>9.6696759259259251E-4</v>
      </c>
      <c r="G551" s="37">
        <v>2.17</v>
      </c>
      <c r="H551">
        <v>2.8</v>
      </c>
      <c r="I551" s="37">
        <v>1</v>
      </c>
      <c r="J551">
        <f t="shared" si="8"/>
        <v>2.8</v>
      </c>
    </row>
    <row r="552" spans="1:10" x14ac:dyDescent="0.3">
      <c r="A552" t="s">
        <v>3</v>
      </c>
      <c r="B552" t="s">
        <v>96</v>
      </c>
      <c r="C552" t="s">
        <v>138</v>
      </c>
      <c r="D552" t="s">
        <v>156</v>
      </c>
      <c r="E552" t="s">
        <v>19</v>
      </c>
      <c r="F552" s="1">
        <v>9.6663194444444444E-4</v>
      </c>
      <c r="G552" s="37">
        <v>2.2000000000000002</v>
      </c>
      <c r="H552">
        <v>2.83</v>
      </c>
      <c r="I552" s="37">
        <v>1</v>
      </c>
      <c r="J552">
        <f t="shared" si="8"/>
        <v>2.83</v>
      </c>
    </row>
    <row r="553" spans="1:10" x14ac:dyDescent="0.3">
      <c r="A553" t="s">
        <v>3</v>
      </c>
      <c r="B553" t="s">
        <v>96</v>
      </c>
      <c r="C553" t="s">
        <v>138</v>
      </c>
      <c r="D553" t="s">
        <v>156</v>
      </c>
      <c r="E553" t="s">
        <v>45</v>
      </c>
      <c r="F553" s="1">
        <v>9.7732638888888891E-4</v>
      </c>
      <c r="G553" s="37">
        <v>2.14</v>
      </c>
      <c r="H553">
        <v>2.79</v>
      </c>
      <c r="I553" s="37">
        <v>1</v>
      </c>
      <c r="J553">
        <f t="shared" si="8"/>
        <v>2.79</v>
      </c>
    </row>
    <row r="554" spans="1:10" x14ac:dyDescent="0.3">
      <c r="A554" t="s">
        <v>3</v>
      </c>
      <c r="B554" t="s">
        <v>96</v>
      </c>
      <c r="C554" t="s">
        <v>138</v>
      </c>
      <c r="D554" t="s">
        <v>156</v>
      </c>
      <c r="E554" t="s">
        <v>46</v>
      </c>
      <c r="F554" s="1">
        <v>9.7230324074074081E-4</v>
      </c>
      <c r="G554" s="37">
        <v>2.14</v>
      </c>
      <c r="H554">
        <v>2.77</v>
      </c>
      <c r="I554" s="37">
        <v>1</v>
      </c>
      <c r="J554">
        <f t="shared" si="8"/>
        <v>2.77</v>
      </c>
    </row>
    <row r="555" spans="1:10" x14ac:dyDescent="0.3">
      <c r="A555" t="s">
        <v>3</v>
      </c>
      <c r="B555" t="s">
        <v>96</v>
      </c>
      <c r="C555" t="s">
        <v>138</v>
      </c>
      <c r="D555" t="s">
        <v>156</v>
      </c>
      <c r="E555" t="s">
        <v>47</v>
      </c>
      <c r="F555" s="1">
        <v>9.7037037037037046E-4</v>
      </c>
      <c r="G555" s="37">
        <v>2.14</v>
      </c>
      <c r="H555">
        <v>2.78</v>
      </c>
      <c r="I555" s="37">
        <v>1</v>
      </c>
      <c r="J555">
        <f t="shared" si="8"/>
        <v>2.78</v>
      </c>
    </row>
    <row r="556" spans="1:10" x14ac:dyDescent="0.3">
      <c r="A556" t="s">
        <v>3</v>
      </c>
      <c r="B556" t="s">
        <v>96</v>
      </c>
      <c r="C556" t="s">
        <v>138</v>
      </c>
      <c r="D556" t="s">
        <v>156</v>
      </c>
      <c r="E556" t="s">
        <v>48</v>
      </c>
      <c r="F556" s="1">
        <v>9.6957175925925921E-4</v>
      </c>
      <c r="G556" s="37">
        <v>2.15</v>
      </c>
      <c r="H556">
        <v>2.77</v>
      </c>
      <c r="I556" s="37">
        <v>1</v>
      </c>
      <c r="J556">
        <f t="shared" si="8"/>
        <v>2.77</v>
      </c>
    </row>
    <row r="557" spans="1:10" x14ac:dyDescent="0.3">
      <c r="A557" t="s">
        <v>3</v>
      </c>
      <c r="B557" t="s">
        <v>96</v>
      </c>
      <c r="C557" t="s">
        <v>138</v>
      </c>
      <c r="D557" t="s">
        <v>156</v>
      </c>
      <c r="E557" t="s">
        <v>49</v>
      </c>
      <c r="F557" s="1">
        <v>9.7113425925925937E-4</v>
      </c>
      <c r="G557" s="37">
        <v>2.16</v>
      </c>
      <c r="H557">
        <v>2.79</v>
      </c>
      <c r="I557" s="37">
        <v>1</v>
      </c>
      <c r="J557">
        <f t="shared" si="8"/>
        <v>2.79</v>
      </c>
    </row>
    <row r="558" spans="1:10" x14ac:dyDescent="0.3">
      <c r="A558" t="s">
        <v>3</v>
      </c>
      <c r="B558" t="s">
        <v>96</v>
      </c>
      <c r="C558" t="s">
        <v>138</v>
      </c>
      <c r="D558" t="s">
        <v>156</v>
      </c>
      <c r="E558" t="s">
        <v>50</v>
      </c>
      <c r="F558" s="1">
        <v>9.7149305555555552E-4</v>
      </c>
      <c r="G558" s="37">
        <v>2.12</v>
      </c>
      <c r="H558">
        <v>2.77</v>
      </c>
      <c r="I558" s="37">
        <v>1</v>
      </c>
      <c r="J558">
        <f t="shared" si="8"/>
        <v>2.77</v>
      </c>
    </row>
    <row r="559" spans="1:10" x14ac:dyDescent="0.3">
      <c r="A559" t="s">
        <v>3</v>
      </c>
      <c r="B559" t="s">
        <v>96</v>
      </c>
      <c r="C559" t="s">
        <v>138</v>
      </c>
      <c r="D559" t="s">
        <v>156</v>
      </c>
      <c r="E559" t="s">
        <v>51</v>
      </c>
      <c r="F559" s="1">
        <v>9.7129629629629627E-4</v>
      </c>
      <c r="G559" s="37">
        <v>2.16</v>
      </c>
      <c r="H559">
        <v>2.78</v>
      </c>
      <c r="I559" s="37">
        <v>1</v>
      </c>
      <c r="J559">
        <f t="shared" si="8"/>
        <v>2.78</v>
      </c>
    </row>
    <row r="560" spans="1:10" x14ac:dyDescent="0.3">
      <c r="A560" t="s">
        <v>3</v>
      </c>
      <c r="B560" t="s">
        <v>96</v>
      </c>
      <c r="C560" t="s">
        <v>138</v>
      </c>
      <c r="D560" t="s">
        <v>156</v>
      </c>
      <c r="E560" t="s">
        <v>53</v>
      </c>
      <c r="F560" s="1">
        <v>9.7072916666666662E-4</v>
      </c>
      <c r="G560" s="37">
        <v>2.12</v>
      </c>
      <c r="H560">
        <v>2.75</v>
      </c>
      <c r="I560" s="37">
        <v>1</v>
      </c>
      <c r="J560">
        <f t="shared" si="8"/>
        <v>2.75</v>
      </c>
    </row>
    <row r="561" spans="1:10" x14ac:dyDescent="0.3">
      <c r="A561" t="s">
        <v>3</v>
      </c>
      <c r="B561" t="s">
        <v>96</v>
      </c>
      <c r="C561" t="s">
        <v>138</v>
      </c>
      <c r="D561" t="s">
        <v>156</v>
      </c>
      <c r="E561" t="s">
        <v>54</v>
      </c>
      <c r="F561" s="1">
        <v>9.7275462962962951E-4</v>
      </c>
      <c r="G561" s="37">
        <v>2.11</v>
      </c>
      <c r="H561">
        <v>2.72</v>
      </c>
      <c r="I561" s="37">
        <v>1</v>
      </c>
      <c r="J561">
        <f t="shared" si="8"/>
        <v>2.72</v>
      </c>
    </row>
    <row r="562" spans="1:10" x14ac:dyDescent="0.3">
      <c r="A562" t="s">
        <v>3</v>
      </c>
      <c r="B562" t="s">
        <v>96</v>
      </c>
      <c r="C562" t="s">
        <v>138</v>
      </c>
      <c r="D562" t="s">
        <v>156</v>
      </c>
      <c r="E562" t="s">
        <v>55</v>
      </c>
      <c r="F562" s="1">
        <v>9.7120370370370373E-4</v>
      </c>
      <c r="G562" s="37">
        <v>2.1</v>
      </c>
      <c r="H562">
        <v>2.7</v>
      </c>
      <c r="I562" s="37">
        <v>1</v>
      </c>
      <c r="J562">
        <f t="shared" si="8"/>
        <v>2.7</v>
      </c>
    </row>
    <row r="563" spans="1:10" x14ac:dyDescent="0.3">
      <c r="A563" t="s">
        <v>3</v>
      </c>
      <c r="B563" t="s">
        <v>96</v>
      </c>
      <c r="C563" t="s">
        <v>138</v>
      </c>
      <c r="D563" t="s">
        <v>156</v>
      </c>
      <c r="E563" t="s">
        <v>56</v>
      </c>
      <c r="F563" s="1">
        <v>9.7287037037037036E-4</v>
      </c>
      <c r="G563" s="37">
        <v>2.1</v>
      </c>
      <c r="H563">
        <v>2.71</v>
      </c>
      <c r="I563" s="37">
        <v>1</v>
      </c>
      <c r="J563">
        <f t="shared" si="8"/>
        <v>2.71</v>
      </c>
    </row>
    <row r="564" spans="1:10" x14ac:dyDescent="0.3">
      <c r="A564" t="s">
        <v>3</v>
      </c>
      <c r="B564" t="s">
        <v>96</v>
      </c>
      <c r="C564" t="s">
        <v>138</v>
      </c>
      <c r="D564" t="s">
        <v>156</v>
      </c>
      <c r="E564" t="s">
        <v>57</v>
      </c>
      <c r="F564" s="1">
        <v>9.699884259259259E-4</v>
      </c>
      <c r="G564" s="37">
        <v>2.12</v>
      </c>
      <c r="H564">
        <v>2.75</v>
      </c>
      <c r="I564" s="37">
        <v>1</v>
      </c>
      <c r="J564">
        <f t="shared" si="8"/>
        <v>2.75</v>
      </c>
    </row>
    <row r="565" spans="1:10" x14ac:dyDescent="0.3">
      <c r="A565" t="s">
        <v>3</v>
      </c>
      <c r="B565" t="s">
        <v>96</v>
      </c>
      <c r="C565" t="s">
        <v>138</v>
      </c>
      <c r="D565" t="s">
        <v>156</v>
      </c>
      <c r="E565" t="s">
        <v>58</v>
      </c>
      <c r="F565" s="1">
        <v>9.6874999999999999E-4</v>
      </c>
      <c r="G565" s="37">
        <v>2.14</v>
      </c>
      <c r="H565">
        <v>2.78</v>
      </c>
      <c r="I565" s="37">
        <v>1</v>
      </c>
      <c r="J565">
        <f t="shared" si="8"/>
        <v>2.78</v>
      </c>
    </row>
    <row r="566" spans="1:10" x14ac:dyDescent="0.3">
      <c r="A566" t="s">
        <v>3</v>
      </c>
      <c r="B566" t="s">
        <v>96</v>
      </c>
      <c r="C566" t="s">
        <v>138</v>
      </c>
      <c r="D566" t="s">
        <v>156</v>
      </c>
      <c r="E566" t="s">
        <v>72</v>
      </c>
      <c r="F566" s="1">
        <v>9.7061342592592598E-4</v>
      </c>
      <c r="G566" s="37">
        <v>2.12</v>
      </c>
      <c r="H566">
        <v>2.74</v>
      </c>
      <c r="I566" s="37">
        <v>1</v>
      </c>
      <c r="J566">
        <f t="shared" si="8"/>
        <v>2.74</v>
      </c>
    </row>
    <row r="567" spans="1:10" x14ac:dyDescent="0.3">
      <c r="A567" t="s">
        <v>3</v>
      </c>
      <c r="B567" t="s">
        <v>96</v>
      </c>
      <c r="C567" t="s">
        <v>138</v>
      </c>
      <c r="D567" t="s">
        <v>156</v>
      </c>
      <c r="E567" t="s">
        <v>59</v>
      </c>
      <c r="F567" s="1">
        <v>9.7072916666666662E-4</v>
      </c>
      <c r="G567" s="37">
        <v>2.12</v>
      </c>
      <c r="H567">
        <v>2.74</v>
      </c>
      <c r="I567" s="37">
        <v>1</v>
      </c>
      <c r="J567">
        <f t="shared" si="8"/>
        <v>2.74</v>
      </c>
    </row>
    <row r="568" spans="1:10" x14ac:dyDescent="0.3">
      <c r="A568" t="s">
        <v>3</v>
      </c>
      <c r="B568" t="s">
        <v>96</v>
      </c>
      <c r="C568" t="s">
        <v>138</v>
      </c>
      <c r="D568" t="s">
        <v>156</v>
      </c>
      <c r="E568" t="s">
        <v>60</v>
      </c>
      <c r="F568" s="1">
        <v>9.7217592592592592E-4</v>
      </c>
      <c r="G568" s="37">
        <v>2.1</v>
      </c>
      <c r="H568">
        <v>2.71</v>
      </c>
      <c r="I568" s="37">
        <v>1</v>
      </c>
      <c r="J568">
        <f t="shared" si="8"/>
        <v>2.71</v>
      </c>
    </row>
    <row r="569" spans="1:10" x14ac:dyDescent="0.3">
      <c r="A569" t="s">
        <v>3</v>
      </c>
      <c r="B569" t="s">
        <v>96</v>
      </c>
      <c r="C569" t="s">
        <v>138</v>
      </c>
      <c r="D569" t="s">
        <v>156</v>
      </c>
      <c r="E569" t="s">
        <v>61</v>
      </c>
      <c r="F569" s="1">
        <v>9.7212962962962965E-4</v>
      </c>
      <c r="G569" s="37">
        <v>2.13</v>
      </c>
      <c r="H569">
        <v>2.77</v>
      </c>
      <c r="I569" s="37">
        <v>1</v>
      </c>
      <c r="J569">
        <f t="shared" si="8"/>
        <v>2.77</v>
      </c>
    </row>
    <row r="570" spans="1:10" x14ac:dyDescent="0.3">
      <c r="A570" t="s">
        <v>3</v>
      </c>
      <c r="B570" t="s">
        <v>96</v>
      </c>
      <c r="C570" t="s">
        <v>138</v>
      </c>
      <c r="D570" t="s">
        <v>156</v>
      </c>
      <c r="E570" t="s">
        <v>62</v>
      </c>
      <c r="F570" s="1">
        <v>9.73275462962963E-4</v>
      </c>
      <c r="G570" s="37">
        <v>2.09</v>
      </c>
      <c r="H570">
        <v>2.76</v>
      </c>
      <c r="I570" s="37">
        <v>1</v>
      </c>
      <c r="J570">
        <f t="shared" si="8"/>
        <v>2.76</v>
      </c>
    </row>
    <row r="571" spans="1:10" x14ac:dyDescent="0.3">
      <c r="A571" t="s">
        <v>3</v>
      </c>
      <c r="B571" t="s">
        <v>96</v>
      </c>
      <c r="C571" t="s">
        <v>138</v>
      </c>
      <c r="D571" t="s">
        <v>156</v>
      </c>
      <c r="E571" t="s">
        <v>63</v>
      </c>
      <c r="F571" s="1">
        <v>9.7177083333333328E-4</v>
      </c>
      <c r="G571" s="37">
        <v>2.12</v>
      </c>
      <c r="H571">
        <v>2.75</v>
      </c>
      <c r="I571" s="37">
        <v>1</v>
      </c>
      <c r="J571">
        <f t="shared" si="8"/>
        <v>2.75</v>
      </c>
    </row>
    <row r="572" spans="1:10" x14ac:dyDescent="0.3">
      <c r="A572" t="s">
        <v>3</v>
      </c>
      <c r="B572" t="s">
        <v>96</v>
      </c>
      <c r="C572" t="s">
        <v>138</v>
      </c>
      <c r="D572" t="s">
        <v>156</v>
      </c>
      <c r="E572" t="s">
        <v>64</v>
      </c>
      <c r="F572" s="1">
        <v>9.7252314814814814E-4</v>
      </c>
      <c r="G572" s="37">
        <v>2.14</v>
      </c>
      <c r="H572">
        <v>2.76</v>
      </c>
      <c r="I572" s="37">
        <v>1</v>
      </c>
      <c r="J572">
        <f t="shared" si="8"/>
        <v>2.76</v>
      </c>
    </row>
    <row r="573" spans="1:10" x14ac:dyDescent="0.3">
      <c r="A573" t="s">
        <v>3</v>
      </c>
      <c r="B573" t="s">
        <v>96</v>
      </c>
      <c r="C573" t="s">
        <v>138</v>
      </c>
      <c r="D573" t="s">
        <v>156</v>
      </c>
      <c r="E573" t="s">
        <v>65</v>
      </c>
      <c r="F573" s="1">
        <v>9.7188657407407412E-4</v>
      </c>
      <c r="G573" s="37">
        <v>2.12</v>
      </c>
      <c r="H573">
        <v>2.76</v>
      </c>
      <c r="I573" s="37">
        <v>1</v>
      </c>
      <c r="J573">
        <f t="shared" si="8"/>
        <v>2.76</v>
      </c>
    </row>
    <row r="574" spans="1:10" x14ac:dyDescent="0.3">
      <c r="A574" t="s">
        <v>3</v>
      </c>
      <c r="B574" t="s">
        <v>96</v>
      </c>
      <c r="C574" t="s">
        <v>138</v>
      </c>
      <c r="D574" t="s">
        <v>156</v>
      </c>
      <c r="E574" t="s">
        <v>66</v>
      </c>
      <c r="F574" s="1">
        <v>9.721180555555556E-4</v>
      </c>
      <c r="G574" s="37">
        <v>2.12</v>
      </c>
      <c r="H574">
        <v>2.75</v>
      </c>
      <c r="I574" s="37">
        <v>1</v>
      </c>
      <c r="J574">
        <f t="shared" si="8"/>
        <v>2.75</v>
      </c>
    </row>
    <row r="575" spans="1:10" x14ac:dyDescent="0.3">
      <c r="A575" t="s">
        <v>3</v>
      </c>
      <c r="B575" t="s">
        <v>96</v>
      </c>
      <c r="C575" t="s">
        <v>138</v>
      </c>
      <c r="D575" t="s">
        <v>156</v>
      </c>
      <c r="E575" t="s">
        <v>67</v>
      </c>
      <c r="F575" s="1">
        <v>9.7290509259259259E-4</v>
      </c>
      <c r="G575" s="37">
        <v>2.13</v>
      </c>
      <c r="H575">
        <v>2.77</v>
      </c>
      <c r="I575" s="37">
        <v>1</v>
      </c>
      <c r="J575">
        <f t="shared" si="8"/>
        <v>2.77</v>
      </c>
    </row>
    <row r="576" spans="1:10" x14ac:dyDescent="0.3">
      <c r="A576" t="s">
        <v>3</v>
      </c>
      <c r="B576" t="s">
        <v>96</v>
      </c>
      <c r="C576" t="s">
        <v>138</v>
      </c>
      <c r="D576" t="s">
        <v>156</v>
      </c>
      <c r="E576" t="s">
        <v>68</v>
      </c>
      <c r="F576" s="1">
        <v>9.7359953703703703E-4</v>
      </c>
      <c r="G576" s="37">
        <v>2.13</v>
      </c>
      <c r="H576">
        <v>2.77</v>
      </c>
      <c r="I576" s="37">
        <v>1</v>
      </c>
      <c r="J576">
        <f t="shared" si="8"/>
        <v>2.77</v>
      </c>
    </row>
    <row r="577" spans="1:10" x14ac:dyDescent="0.3">
      <c r="A577" t="s">
        <v>3</v>
      </c>
      <c r="B577" t="s">
        <v>96</v>
      </c>
      <c r="C577" t="s">
        <v>138</v>
      </c>
      <c r="D577" s="22" t="s">
        <v>156</v>
      </c>
      <c r="E577" t="s">
        <v>69</v>
      </c>
      <c r="F577" s="1">
        <v>9.729861111111111E-4</v>
      </c>
      <c r="G577" s="37">
        <v>2.1</v>
      </c>
      <c r="H577">
        <v>2.75</v>
      </c>
      <c r="I577" s="37">
        <v>1</v>
      </c>
      <c r="J577">
        <f t="shared" si="8"/>
        <v>2.75</v>
      </c>
    </row>
    <row r="578" spans="1:10" x14ac:dyDescent="0.3">
      <c r="A578" t="s">
        <v>3</v>
      </c>
      <c r="B578" t="s">
        <v>96</v>
      </c>
      <c r="C578" t="s">
        <v>138</v>
      </c>
      <c r="D578" s="22" t="s">
        <v>156</v>
      </c>
      <c r="E578" t="s">
        <v>70</v>
      </c>
      <c r="F578" s="1">
        <v>9.7425925925925924E-4</v>
      </c>
      <c r="G578" s="37">
        <v>2.12</v>
      </c>
      <c r="H578">
        <v>2.75</v>
      </c>
      <c r="I578" s="37">
        <v>1</v>
      </c>
      <c r="J578">
        <f t="shared" si="8"/>
        <v>2.75</v>
      </c>
    </row>
    <row r="579" spans="1:10" x14ac:dyDescent="0.3">
      <c r="A579" t="s">
        <v>3</v>
      </c>
      <c r="B579" t="s">
        <v>96</v>
      </c>
      <c r="C579" t="s">
        <v>138</v>
      </c>
      <c r="D579" s="22" t="s">
        <v>156</v>
      </c>
      <c r="E579" t="s">
        <v>71</v>
      </c>
      <c r="F579" s="1">
        <v>9.7498842592592602E-4</v>
      </c>
      <c r="G579" s="37">
        <v>2.1</v>
      </c>
      <c r="H579">
        <v>2.74</v>
      </c>
      <c r="I579" s="37">
        <v>1</v>
      </c>
      <c r="J579">
        <f t="shared" si="8"/>
        <v>2.74</v>
      </c>
    </row>
    <row r="580" spans="1:10" x14ac:dyDescent="0.3">
      <c r="A580" t="s">
        <v>100</v>
      </c>
      <c r="B580" t="s">
        <v>23</v>
      </c>
      <c r="C580" t="s">
        <v>138</v>
      </c>
      <c r="D580" s="22" t="s">
        <v>157</v>
      </c>
      <c r="E580" t="s">
        <v>9</v>
      </c>
      <c r="F580" s="1">
        <v>9.9622685185185187E-4</v>
      </c>
      <c r="G580" s="37">
        <v>2.09</v>
      </c>
      <c r="H580">
        <v>3.27</v>
      </c>
      <c r="I580" s="37">
        <v>0.84499999999999997</v>
      </c>
      <c r="J580">
        <f t="shared" ref="J580:J643" si="9">H580*I580</f>
        <v>2.76315</v>
      </c>
    </row>
    <row r="581" spans="1:10" x14ac:dyDescent="0.3">
      <c r="A581" t="s">
        <v>100</v>
      </c>
      <c r="B581" t="s">
        <v>23</v>
      </c>
      <c r="C581" t="s">
        <v>138</v>
      </c>
      <c r="D581" s="22" t="s">
        <v>157</v>
      </c>
      <c r="E581" t="s">
        <v>10</v>
      </c>
      <c r="F581" s="1">
        <v>9.7935185185185191E-4</v>
      </c>
      <c r="G581" s="37">
        <v>2.1</v>
      </c>
      <c r="H581">
        <v>3.28</v>
      </c>
      <c r="I581" s="37">
        <v>0.84499999999999997</v>
      </c>
      <c r="J581">
        <f t="shared" si="9"/>
        <v>2.7715999999999998</v>
      </c>
    </row>
    <row r="582" spans="1:10" x14ac:dyDescent="0.3">
      <c r="A582" t="s">
        <v>100</v>
      </c>
      <c r="B582" t="s">
        <v>23</v>
      </c>
      <c r="C582" t="s">
        <v>138</v>
      </c>
      <c r="D582" s="22" t="s">
        <v>157</v>
      </c>
      <c r="E582" t="s">
        <v>15</v>
      </c>
      <c r="F582" s="1">
        <v>9.8966435185185182E-4</v>
      </c>
      <c r="G582" s="37">
        <v>2.1</v>
      </c>
      <c r="H582">
        <v>3.27</v>
      </c>
      <c r="I582" s="37">
        <v>0.84499999999999997</v>
      </c>
      <c r="J582">
        <f t="shared" si="9"/>
        <v>2.76315</v>
      </c>
    </row>
    <row r="583" spans="1:10" x14ac:dyDescent="0.3">
      <c r="A583" t="s">
        <v>100</v>
      </c>
      <c r="B583" t="s">
        <v>23</v>
      </c>
      <c r="C583" t="s">
        <v>138</v>
      </c>
      <c r="D583" s="22" t="s">
        <v>157</v>
      </c>
      <c r="E583" t="s">
        <v>16</v>
      </c>
      <c r="F583" s="1">
        <v>9.7615740740740746E-4</v>
      </c>
      <c r="G583" s="37">
        <v>2.16</v>
      </c>
      <c r="H583">
        <v>3.39</v>
      </c>
      <c r="I583" s="37">
        <v>0.84499999999999997</v>
      </c>
      <c r="J583">
        <f t="shared" si="9"/>
        <v>2.8645499999999999</v>
      </c>
    </row>
    <row r="584" spans="1:10" x14ac:dyDescent="0.3">
      <c r="A584" t="s">
        <v>100</v>
      </c>
      <c r="B584" t="s">
        <v>23</v>
      </c>
      <c r="C584" t="s">
        <v>138</v>
      </c>
      <c r="D584" s="22" t="s">
        <v>157</v>
      </c>
      <c r="E584" t="s">
        <v>17</v>
      </c>
      <c r="F584" s="1">
        <v>9.7572916666666663E-4</v>
      </c>
      <c r="G584" s="37">
        <v>2.1800000000000002</v>
      </c>
      <c r="H584">
        <v>3.4</v>
      </c>
      <c r="I584" s="37">
        <v>0.84499999999999997</v>
      </c>
      <c r="J584">
        <f t="shared" si="9"/>
        <v>2.8729999999999998</v>
      </c>
    </row>
    <row r="585" spans="1:10" x14ac:dyDescent="0.3">
      <c r="A585" t="s">
        <v>100</v>
      </c>
      <c r="B585" t="s">
        <v>23</v>
      </c>
      <c r="C585" t="s">
        <v>138</v>
      </c>
      <c r="D585" s="22" t="s">
        <v>157</v>
      </c>
      <c r="E585" t="s">
        <v>18</v>
      </c>
      <c r="F585" s="1">
        <v>9.8046296296296293E-4</v>
      </c>
      <c r="G585" s="37">
        <v>2.19</v>
      </c>
      <c r="H585">
        <v>3.41</v>
      </c>
      <c r="I585" s="37">
        <v>0.84499999999999997</v>
      </c>
      <c r="J585">
        <f t="shared" si="9"/>
        <v>2.8814500000000001</v>
      </c>
    </row>
    <row r="586" spans="1:10" x14ac:dyDescent="0.3">
      <c r="A586" t="s">
        <v>100</v>
      </c>
      <c r="B586" t="s">
        <v>23</v>
      </c>
      <c r="C586" t="s">
        <v>138</v>
      </c>
      <c r="D586" s="22" t="s">
        <v>157</v>
      </c>
      <c r="E586" t="s">
        <v>19</v>
      </c>
      <c r="F586" s="1">
        <v>9.9013888888888893E-4</v>
      </c>
      <c r="G586" s="37">
        <v>2.14</v>
      </c>
      <c r="H586">
        <v>3.35</v>
      </c>
      <c r="I586" s="37">
        <v>0.84499999999999997</v>
      </c>
      <c r="J586">
        <f t="shared" si="9"/>
        <v>2.8307500000000001</v>
      </c>
    </row>
    <row r="587" spans="1:10" x14ac:dyDescent="0.3">
      <c r="A587" t="s">
        <v>100</v>
      </c>
      <c r="B587" t="s">
        <v>23</v>
      </c>
      <c r="C587" t="s">
        <v>138</v>
      </c>
      <c r="D587" s="22" t="s">
        <v>157</v>
      </c>
      <c r="E587" t="s">
        <v>45</v>
      </c>
      <c r="F587" s="1">
        <v>9.7987268518518519E-4</v>
      </c>
      <c r="G587" s="37">
        <v>2.2000000000000002</v>
      </c>
      <c r="H587">
        <v>3.42</v>
      </c>
      <c r="I587" s="37">
        <v>0.84499999999999997</v>
      </c>
      <c r="J587">
        <f t="shared" si="9"/>
        <v>2.8898999999999999</v>
      </c>
    </row>
    <row r="588" spans="1:10" x14ac:dyDescent="0.3">
      <c r="A588" t="s">
        <v>100</v>
      </c>
      <c r="B588" t="s">
        <v>23</v>
      </c>
      <c r="C588" t="s">
        <v>138</v>
      </c>
      <c r="D588" s="22" t="s">
        <v>157</v>
      </c>
      <c r="E588" t="s">
        <v>46</v>
      </c>
      <c r="F588" s="1">
        <v>9.8178240740740734E-4</v>
      </c>
      <c r="G588" s="37">
        <v>2.2000000000000002</v>
      </c>
      <c r="H588">
        <v>3.43</v>
      </c>
      <c r="I588" s="37">
        <v>0.84499999999999997</v>
      </c>
      <c r="J588">
        <f t="shared" si="9"/>
        <v>2.8983500000000002</v>
      </c>
    </row>
    <row r="589" spans="1:10" x14ac:dyDescent="0.3">
      <c r="A589" t="s">
        <v>100</v>
      </c>
      <c r="B589" t="s">
        <v>23</v>
      </c>
      <c r="C589" t="s">
        <v>138</v>
      </c>
      <c r="D589" s="22" t="s">
        <v>157</v>
      </c>
      <c r="E589" t="s">
        <v>47</v>
      </c>
      <c r="F589" s="1">
        <v>9.8440972222222224E-4</v>
      </c>
      <c r="G589" s="37">
        <v>2.2000000000000002</v>
      </c>
      <c r="H589">
        <v>3.44</v>
      </c>
      <c r="I589" s="37">
        <v>0.84499999999999997</v>
      </c>
      <c r="J589">
        <f t="shared" si="9"/>
        <v>2.9068000000000001</v>
      </c>
    </row>
    <row r="590" spans="1:10" x14ac:dyDescent="0.3">
      <c r="A590" t="s">
        <v>100</v>
      </c>
      <c r="B590" t="s">
        <v>23</v>
      </c>
      <c r="C590" t="s">
        <v>138</v>
      </c>
      <c r="D590" s="22" t="s">
        <v>157</v>
      </c>
      <c r="E590" t="s">
        <v>48</v>
      </c>
      <c r="F590" s="1">
        <v>9.8229166666666669E-4</v>
      </c>
      <c r="G590" s="37">
        <v>2.23</v>
      </c>
      <c r="H590">
        <v>3.46</v>
      </c>
      <c r="I590" s="37">
        <v>0.84499999999999997</v>
      </c>
      <c r="J590">
        <f t="shared" si="9"/>
        <v>2.9236999999999997</v>
      </c>
    </row>
    <row r="591" spans="1:10" x14ac:dyDescent="0.3">
      <c r="A591" t="s">
        <v>100</v>
      </c>
      <c r="B591" t="s">
        <v>23</v>
      </c>
      <c r="C591" t="s">
        <v>138</v>
      </c>
      <c r="D591" s="22" t="s">
        <v>157</v>
      </c>
      <c r="E591" t="s">
        <v>49</v>
      </c>
      <c r="F591" s="1">
        <v>9.825347222222221E-4</v>
      </c>
      <c r="G591" s="37">
        <v>2.21</v>
      </c>
      <c r="H591">
        <v>3.43</v>
      </c>
      <c r="I591" s="37">
        <v>0.84499999999999997</v>
      </c>
      <c r="J591">
        <f t="shared" si="9"/>
        <v>2.8983500000000002</v>
      </c>
    </row>
    <row r="592" spans="1:10" x14ac:dyDescent="0.3">
      <c r="A592" t="s">
        <v>100</v>
      </c>
      <c r="B592" t="s">
        <v>23</v>
      </c>
      <c r="C592" t="s">
        <v>138</v>
      </c>
      <c r="D592" s="22" t="s">
        <v>157</v>
      </c>
      <c r="E592" t="s">
        <v>50</v>
      </c>
      <c r="F592" s="1">
        <v>9.8206018518518521E-4</v>
      </c>
      <c r="G592" s="37">
        <v>2.21</v>
      </c>
      <c r="H592">
        <v>3.44</v>
      </c>
      <c r="I592" s="37">
        <v>0.84499999999999997</v>
      </c>
      <c r="J592">
        <f t="shared" si="9"/>
        <v>2.9068000000000001</v>
      </c>
    </row>
    <row r="593" spans="1:10" x14ac:dyDescent="0.3">
      <c r="A593" t="s">
        <v>100</v>
      </c>
      <c r="B593" t="s">
        <v>23</v>
      </c>
      <c r="C593" t="s">
        <v>138</v>
      </c>
      <c r="D593" s="22" t="s">
        <v>157</v>
      </c>
      <c r="E593" t="s">
        <v>51</v>
      </c>
      <c r="F593" s="1">
        <v>9.8282407407407411E-4</v>
      </c>
      <c r="G593" s="37">
        <v>2.2200000000000002</v>
      </c>
      <c r="H593">
        <v>3.46</v>
      </c>
      <c r="I593" s="37">
        <v>0.84499999999999997</v>
      </c>
      <c r="J593">
        <f t="shared" si="9"/>
        <v>2.9236999999999997</v>
      </c>
    </row>
    <row r="594" spans="1:10" x14ac:dyDescent="0.3">
      <c r="A594" t="s">
        <v>100</v>
      </c>
      <c r="B594" t="s">
        <v>23</v>
      </c>
      <c r="C594" t="s">
        <v>138</v>
      </c>
      <c r="D594" s="22" t="s">
        <v>157</v>
      </c>
      <c r="E594" t="s">
        <v>52</v>
      </c>
      <c r="F594" s="1">
        <v>9.8212962962962967E-4</v>
      </c>
      <c r="G594" s="37">
        <v>2.2200000000000002</v>
      </c>
      <c r="H594">
        <v>3.44</v>
      </c>
      <c r="I594" s="37">
        <v>0.84499999999999997</v>
      </c>
      <c r="J594">
        <f t="shared" si="9"/>
        <v>2.9068000000000001</v>
      </c>
    </row>
    <row r="595" spans="1:10" x14ac:dyDescent="0.3">
      <c r="A595" t="s">
        <v>100</v>
      </c>
      <c r="B595" t="s">
        <v>23</v>
      </c>
      <c r="C595" t="s">
        <v>138</v>
      </c>
      <c r="D595" s="22" t="s">
        <v>157</v>
      </c>
      <c r="E595" t="s">
        <v>53</v>
      </c>
      <c r="F595" s="1">
        <v>9.8149305555555555E-4</v>
      </c>
      <c r="G595" s="37">
        <v>2.23</v>
      </c>
      <c r="H595">
        <v>3.47</v>
      </c>
      <c r="I595" s="37">
        <v>0.84499999999999997</v>
      </c>
      <c r="J595">
        <f t="shared" si="9"/>
        <v>2.93215</v>
      </c>
    </row>
    <row r="596" spans="1:10" x14ac:dyDescent="0.3">
      <c r="A596" t="s">
        <v>100</v>
      </c>
      <c r="B596" t="s">
        <v>23</v>
      </c>
      <c r="C596" t="s">
        <v>138</v>
      </c>
      <c r="D596" s="22" t="s">
        <v>157</v>
      </c>
      <c r="E596" t="s">
        <v>54</v>
      </c>
      <c r="F596" s="1">
        <v>9.8392361111111098E-4</v>
      </c>
      <c r="G596" s="37">
        <v>2.2000000000000002</v>
      </c>
      <c r="H596">
        <v>3.42</v>
      </c>
      <c r="I596" s="37">
        <v>0.84499999999999997</v>
      </c>
      <c r="J596">
        <f t="shared" si="9"/>
        <v>2.8898999999999999</v>
      </c>
    </row>
    <row r="597" spans="1:10" x14ac:dyDescent="0.3">
      <c r="A597" t="s">
        <v>100</v>
      </c>
      <c r="B597" t="s">
        <v>23</v>
      </c>
      <c r="C597" t="s">
        <v>138</v>
      </c>
      <c r="D597" s="22" t="s">
        <v>157</v>
      </c>
      <c r="E597" t="s">
        <v>56</v>
      </c>
      <c r="F597" s="1">
        <v>9.7177083333333328E-4</v>
      </c>
      <c r="G597" s="37">
        <v>2.2200000000000002</v>
      </c>
      <c r="H597">
        <v>3.45</v>
      </c>
      <c r="I597" s="37">
        <v>0.84499999999999997</v>
      </c>
      <c r="J597">
        <f t="shared" si="9"/>
        <v>2.9152499999999999</v>
      </c>
    </row>
    <row r="598" spans="1:10" x14ac:dyDescent="0.3">
      <c r="A598" t="s">
        <v>100</v>
      </c>
      <c r="B598" t="s">
        <v>23</v>
      </c>
      <c r="C598" t="s">
        <v>138</v>
      </c>
      <c r="D598" s="22" t="s">
        <v>157</v>
      </c>
      <c r="E598" t="s">
        <v>57</v>
      </c>
      <c r="F598" s="1">
        <v>9.7275462962962951E-4</v>
      </c>
      <c r="G598" s="37">
        <v>2.23</v>
      </c>
      <c r="H598">
        <v>3.48</v>
      </c>
      <c r="I598" s="37">
        <v>0.84499999999999997</v>
      </c>
      <c r="J598">
        <f t="shared" si="9"/>
        <v>2.9405999999999999</v>
      </c>
    </row>
    <row r="599" spans="1:10" x14ac:dyDescent="0.3">
      <c r="A599" t="s">
        <v>100</v>
      </c>
      <c r="B599" t="s">
        <v>23</v>
      </c>
      <c r="C599" t="s">
        <v>138</v>
      </c>
      <c r="D599" s="22" t="s">
        <v>157</v>
      </c>
      <c r="E599" t="s">
        <v>58</v>
      </c>
      <c r="F599" s="1">
        <v>9.801620370370372E-4</v>
      </c>
      <c r="G599" s="37">
        <v>2.1800000000000002</v>
      </c>
      <c r="H599">
        <v>3.4</v>
      </c>
      <c r="I599" s="37">
        <v>0.84499999999999997</v>
      </c>
      <c r="J599">
        <f t="shared" si="9"/>
        <v>2.8729999999999998</v>
      </c>
    </row>
    <row r="600" spans="1:10" x14ac:dyDescent="0.3">
      <c r="A600" t="s">
        <v>100</v>
      </c>
      <c r="B600" t="s">
        <v>23</v>
      </c>
      <c r="C600" t="s">
        <v>138</v>
      </c>
      <c r="D600" s="22" t="s">
        <v>157</v>
      </c>
      <c r="E600" t="s">
        <v>72</v>
      </c>
      <c r="F600" s="1">
        <v>9.8028935185185198E-4</v>
      </c>
      <c r="G600" s="37">
        <v>2.25</v>
      </c>
      <c r="H600">
        <v>3.5</v>
      </c>
      <c r="I600" s="37">
        <v>0.84499999999999997</v>
      </c>
      <c r="J600">
        <f t="shared" si="9"/>
        <v>2.9575</v>
      </c>
    </row>
    <row r="601" spans="1:10" x14ac:dyDescent="0.3">
      <c r="A601" t="s">
        <v>100</v>
      </c>
      <c r="B601" t="s">
        <v>23</v>
      </c>
      <c r="C601" t="s">
        <v>138</v>
      </c>
      <c r="D601" s="22" t="s">
        <v>157</v>
      </c>
      <c r="E601" t="s">
        <v>59</v>
      </c>
      <c r="F601" s="1">
        <v>9.92025462962963E-4</v>
      </c>
      <c r="G601" s="37">
        <v>2.2200000000000002</v>
      </c>
      <c r="H601">
        <v>3.47</v>
      </c>
      <c r="I601" s="37">
        <v>0.84499999999999997</v>
      </c>
      <c r="J601">
        <f t="shared" si="9"/>
        <v>2.93215</v>
      </c>
    </row>
    <row r="602" spans="1:10" x14ac:dyDescent="0.3">
      <c r="A602" t="s">
        <v>100</v>
      </c>
      <c r="B602" t="s">
        <v>23</v>
      </c>
      <c r="C602" t="s">
        <v>138</v>
      </c>
      <c r="D602" s="22" t="s">
        <v>157</v>
      </c>
      <c r="E602" t="s">
        <v>60</v>
      </c>
      <c r="F602" s="1">
        <v>9.7337962962962959E-4</v>
      </c>
      <c r="G602" s="37">
        <v>2.2000000000000002</v>
      </c>
      <c r="H602">
        <v>3.43</v>
      </c>
      <c r="I602" s="37">
        <v>0.84499999999999997</v>
      </c>
      <c r="J602">
        <f t="shared" si="9"/>
        <v>2.8983500000000002</v>
      </c>
    </row>
    <row r="603" spans="1:10" x14ac:dyDescent="0.3">
      <c r="A603" t="s">
        <v>100</v>
      </c>
      <c r="B603" t="s">
        <v>23</v>
      </c>
      <c r="C603" t="s">
        <v>138</v>
      </c>
      <c r="D603" s="22" t="s">
        <v>157</v>
      </c>
      <c r="E603" t="s">
        <v>61</v>
      </c>
      <c r="F603" s="1">
        <v>9.7668981481481478E-4</v>
      </c>
      <c r="G603" s="37">
        <v>2.2200000000000002</v>
      </c>
      <c r="H603">
        <v>3.45</v>
      </c>
      <c r="I603" s="37">
        <v>0.84499999999999997</v>
      </c>
      <c r="J603">
        <f t="shared" si="9"/>
        <v>2.9152499999999999</v>
      </c>
    </row>
    <row r="604" spans="1:10" x14ac:dyDescent="0.3">
      <c r="A604" t="s">
        <v>100</v>
      </c>
      <c r="B604" t="s">
        <v>23</v>
      </c>
      <c r="C604" t="s">
        <v>138</v>
      </c>
      <c r="D604" s="22" t="s">
        <v>157</v>
      </c>
      <c r="E604" t="s">
        <v>62</v>
      </c>
      <c r="F604" s="1">
        <v>9.7584490740740748E-4</v>
      </c>
      <c r="G604" s="37">
        <v>2.2000000000000002</v>
      </c>
      <c r="H604">
        <v>3.43</v>
      </c>
      <c r="I604" s="37">
        <v>0.84499999999999997</v>
      </c>
      <c r="J604">
        <f t="shared" si="9"/>
        <v>2.8983500000000002</v>
      </c>
    </row>
    <row r="605" spans="1:10" x14ac:dyDescent="0.3">
      <c r="A605" t="s">
        <v>100</v>
      </c>
      <c r="B605" t="s">
        <v>23</v>
      </c>
      <c r="C605" t="s">
        <v>138</v>
      </c>
      <c r="D605" s="22" t="s">
        <v>157</v>
      </c>
      <c r="E605" t="s">
        <v>63</v>
      </c>
      <c r="F605" s="1">
        <v>9.7626157407407416E-4</v>
      </c>
      <c r="G605" s="37">
        <v>2.2000000000000002</v>
      </c>
      <c r="H605">
        <v>3.43</v>
      </c>
      <c r="I605" s="37">
        <v>0.84499999999999997</v>
      </c>
      <c r="J605">
        <f t="shared" si="9"/>
        <v>2.8983500000000002</v>
      </c>
    </row>
    <row r="606" spans="1:10" x14ac:dyDescent="0.3">
      <c r="A606" t="s">
        <v>100</v>
      </c>
      <c r="B606" t="s">
        <v>23</v>
      </c>
      <c r="C606" t="s">
        <v>138</v>
      </c>
      <c r="D606" s="22" t="s">
        <v>157</v>
      </c>
      <c r="E606" t="s">
        <v>64</v>
      </c>
      <c r="F606" s="1">
        <v>9.7807870370370366E-4</v>
      </c>
      <c r="G606" s="37">
        <v>2.2200000000000002</v>
      </c>
      <c r="H606">
        <v>3.45</v>
      </c>
      <c r="I606" s="37">
        <v>0.84499999999999997</v>
      </c>
      <c r="J606">
        <f t="shared" si="9"/>
        <v>2.9152499999999999</v>
      </c>
    </row>
    <row r="607" spans="1:10" x14ac:dyDescent="0.3">
      <c r="A607" t="s">
        <v>100</v>
      </c>
      <c r="B607" t="s">
        <v>23</v>
      </c>
      <c r="C607" t="s">
        <v>138</v>
      </c>
      <c r="D607" t="s">
        <v>157</v>
      </c>
      <c r="E607" t="s">
        <v>65</v>
      </c>
      <c r="F607" s="1">
        <v>9.7767361111111123E-4</v>
      </c>
      <c r="G607" s="37">
        <v>2.21</v>
      </c>
      <c r="H607">
        <v>3.43</v>
      </c>
      <c r="I607" s="37">
        <v>0.84499999999999997</v>
      </c>
      <c r="J607">
        <f t="shared" si="9"/>
        <v>2.8983500000000002</v>
      </c>
    </row>
    <row r="608" spans="1:10" x14ac:dyDescent="0.3">
      <c r="A608" t="s">
        <v>100</v>
      </c>
      <c r="B608" t="s">
        <v>23</v>
      </c>
      <c r="C608" t="s">
        <v>138</v>
      </c>
      <c r="D608" t="s">
        <v>157</v>
      </c>
      <c r="E608" t="s">
        <v>66</v>
      </c>
      <c r="F608" s="1">
        <v>9.7893518518518512E-4</v>
      </c>
      <c r="G608" s="37">
        <v>2.21</v>
      </c>
      <c r="H608">
        <v>3.44</v>
      </c>
      <c r="I608" s="37">
        <v>0.84499999999999997</v>
      </c>
      <c r="J608">
        <f t="shared" si="9"/>
        <v>2.9068000000000001</v>
      </c>
    </row>
    <row r="609" spans="1:10" x14ac:dyDescent="0.3">
      <c r="A609" t="s">
        <v>100</v>
      </c>
      <c r="B609" t="s">
        <v>23</v>
      </c>
      <c r="C609" t="s">
        <v>138</v>
      </c>
      <c r="D609" t="s">
        <v>157</v>
      </c>
      <c r="E609" t="s">
        <v>67</v>
      </c>
      <c r="F609" s="1">
        <v>9.7797453703703696E-4</v>
      </c>
      <c r="G609" s="37">
        <v>2.2000000000000002</v>
      </c>
      <c r="H609">
        <v>3.43</v>
      </c>
      <c r="I609" s="37">
        <v>0.84499999999999997</v>
      </c>
      <c r="J609">
        <f t="shared" si="9"/>
        <v>2.8983500000000002</v>
      </c>
    </row>
    <row r="610" spans="1:10" x14ac:dyDescent="0.3">
      <c r="A610" t="s">
        <v>100</v>
      </c>
      <c r="B610" t="s">
        <v>23</v>
      </c>
      <c r="C610" t="s">
        <v>138</v>
      </c>
      <c r="D610" t="s">
        <v>157</v>
      </c>
      <c r="E610" t="s">
        <v>68</v>
      </c>
      <c r="F610" s="1">
        <v>9.8068287037037026E-4</v>
      </c>
      <c r="G610" s="37">
        <v>2.21</v>
      </c>
      <c r="H610">
        <v>3.45</v>
      </c>
      <c r="I610" s="37">
        <v>0.84499999999999997</v>
      </c>
      <c r="J610">
        <f t="shared" si="9"/>
        <v>2.9152499999999999</v>
      </c>
    </row>
    <row r="611" spans="1:10" x14ac:dyDescent="0.3">
      <c r="A611" t="s">
        <v>100</v>
      </c>
      <c r="B611" t="s">
        <v>23</v>
      </c>
      <c r="C611" t="s">
        <v>138</v>
      </c>
      <c r="D611" t="s">
        <v>157</v>
      </c>
      <c r="E611" t="s">
        <v>69</v>
      </c>
      <c r="F611" s="1">
        <v>9.8085648148148142E-4</v>
      </c>
      <c r="G611" s="37">
        <v>2.19</v>
      </c>
      <c r="H611">
        <v>3.4</v>
      </c>
      <c r="I611" s="37">
        <v>0.84499999999999997</v>
      </c>
      <c r="J611">
        <f t="shared" si="9"/>
        <v>2.8729999999999998</v>
      </c>
    </row>
    <row r="612" spans="1:10" x14ac:dyDescent="0.3">
      <c r="A612" t="s">
        <v>100</v>
      </c>
      <c r="B612" t="s">
        <v>23</v>
      </c>
      <c r="C612" t="s">
        <v>138</v>
      </c>
      <c r="D612" t="s">
        <v>157</v>
      </c>
      <c r="E612" t="s">
        <v>70</v>
      </c>
      <c r="F612" s="1">
        <v>9.82349537037037E-4</v>
      </c>
      <c r="G612" s="37">
        <v>2.1800000000000002</v>
      </c>
      <c r="H612">
        <v>3.4</v>
      </c>
      <c r="I612" s="37">
        <v>0.84499999999999997</v>
      </c>
      <c r="J612">
        <f t="shared" si="9"/>
        <v>2.8729999999999998</v>
      </c>
    </row>
    <row r="613" spans="1:10" x14ac:dyDescent="0.3">
      <c r="A613" t="s">
        <v>100</v>
      </c>
      <c r="B613" t="s">
        <v>23</v>
      </c>
      <c r="C613" t="s">
        <v>138</v>
      </c>
      <c r="D613" t="s">
        <v>157</v>
      </c>
      <c r="E613" t="s">
        <v>71</v>
      </c>
      <c r="F613" s="1">
        <v>9.8375000000000003E-4</v>
      </c>
      <c r="G613" s="37">
        <v>2.12</v>
      </c>
      <c r="H613">
        <v>3.32</v>
      </c>
      <c r="I613" s="37">
        <v>0.84499999999999997</v>
      </c>
      <c r="J613">
        <f t="shared" si="9"/>
        <v>2.8053999999999997</v>
      </c>
    </row>
    <row r="614" spans="1:10" x14ac:dyDescent="0.3">
      <c r="A614" t="s">
        <v>101</v>
      </c>
      <c r="B614" t="s">
        <v>102</v>
      </c>
      <c r="C614" t="s">
        <v>138</v>
      </c>
      <c r="D614" t="s">
        <v>158</v>
      </c>
      <c r="E614" t="s">
        <v>9</v>
      </c>
      <c r="F614" s="1">
        <v>9.6879629629629638E-4</v>
      </c>
      <c r="G614" s="37">
        <v>2.17</v>
      </c>
      <c r="H614">
        <v>2.83</v>
      </c>
      <c r="I614" s="37">
        <v>0.99</v>
      </c>
      <c r="J614">
        <f t="shared" si="9"/>
        <v>2.8016999999999999</v>
      </c>
    </row>
    <row r="615" spans="1:10" x14ac:dyDescent="0.3">
      <c r="A615" t="s">
        <v>101</v>
      </c>
      <c r="B615" t="s">
        <v>102</v>
      </c>
      <c r="C615" t="s">
        <v>138</v>
      </c>
      <c r="D615" t="s">
        <v>158</v>
      </c>
      <c r="E615" t="s">
        <v>10</v>
      </c>
      <c r="F615" s="1">
        <v>9.6181712962962963E-4</v>
      </c>
      <c r="G615" s="37">
        <v>2.2200000000000002</v>
      </c>
      <c r="H615">
        <v>2.92</v>
      </c>
      <c r="I615" s="37">
        <v>0.99</v>
      </c>
      <c r="J615">
        <f t="shared" si="9"/>
        <v>2.8908</v>
      </c>
    </row>
    <row r="616" spans="1:10" x14ac:dyDescent="0.3">
      <c r="A616" t="s">
        <v>101</v>
      </c>
      <c r="B616" t="s">
        <v>102</v>
      </c>
      <c r="C616" t="s">
        <v>138</v>
      </c>
      <c r="D616" t="s">
        <v>158</v>
      </c>
      <c r="E616" t="s">
        <v>15</v>
      </c>
      <c r="F616" s="1">
        <v>9.61701388888889E-4</v>
      </c>
      <c r="G616" s="37">
        <v>2.2400000000000002</v>
      </c>
      <c r="H616">
        <v>2.92</v>
      </c>
      <c r="I616" s="37">
        <v>0.99</v>
      </c>
      <c r="J616">
        <f t="shared" si="9"/>
        <v>2.8908</v>
      </c>
    </row>
    <row r="617" spans="1:10" x14ac:dyDescent="0.3">
      <c r="A617" t="s">
        <v>101</v>
      </c>
      <c r="B617" t="s">
        <v>102</v>
      </c>
      <c r="C617" t="s">
        <v>138</v>
      </c>
      <c r="D617" t="s">
        <v>158</v>
      </c>
      <c r="E617" t="s">
        <v>16</v>
      </c>
      <c r="F617" s="1">
        <v>9.6374999999999998E-4</v>
      </c>
      <c r="G617" s="37">
        <v>2.23</v>
      </c>
      <c r="H617">
        <v>2.91</v>
      </c>
      <c r="I617" s="37">
        <v>0.99</v>
      </c>
      <c r="J617">
        <f t="shared" si="9"/>
        <v>2.8809</v>
      </c>
    </row>
    <row r="618" spans="1:10" x14ac:dyDescent="0.3">
      <c r="A618" t="s">
        <v>101</v>
      </c>
      <c r="B618" t="s">
        <v>102</v>
      </c>
      <c r="C618" t="s">
        <v>138</v>
      </c>
      <c r="D618" t="s">
        <v>158</v>
      </c>
      <c r="E618" t="s">
        <v>17</v>
      </c>
      <c r="F618" s="1">
        <v>9.6401620370370369E-4</v>
      </c>
      <c r="G618" s="37">
        <v>2.2200000000000002</v>
      </c>
      <c r="H618">
        <v>2.9</v>
      </c>
      <c r="I618" s="37">
        <v>0.99</v>
      </c>
      <c r="J618">
        <f t="shared" si="9"/>
        <v>2.871</v>
      </c>
    </row>
    <row r="619" spans="1:10" x14ac:dyDescent="0.3">
      <c r="A619" t="s">
        <v>101</v>
      </c>
      <c r="B619" t="s">
        <v>102</v>
      </c>
      <c r="C619" t="s">
        <v>138</v>
      </c>
      <c r="D619" t="s">
        <v>158</v>
      </c>
      <c r="E619" t="s">
        <v>18</v>
      </c>
      <c r="F619" s="1">
        <v>9.6549768518518512E-4</v>
      </c>
      <c r="G619" s="37">
        <v>2.19</v>
      </c>
      <c r="H619">
        <v>2.87</v>
      </c>
      <c r="I619" s="37">
        <v>0.99</v>
      </c>
      <c r="J619">
        <f t="shared" si="9"/>
        <v>2.8412999999999999</v>
      </c>
    </row>
    <row r="620" spans="1:10" x14ac:dyDescent="0.3">
      <c r="A620" t="s">
        <v>101</v>
      </c>
      <c r="B620" t="s">
        <v>102</v>
      </c>
      <c r="C620" t="s">
        <v>138</v>
      </c>
      <c r="D620" t="s">
        <v>158</v>
      </c>
      <c r="E620" t="s">
        <v>19</v>
      </c>
      <c r="F620" s="1">
        <v>9.702777777777777E-4</v>
      </c>
      <c r="G620" s="37">
        <v>2.1800000000000002</v>
      </c>
      <c r="H620">
        <v>2.85</v>
      </c>
      <c r="I620" s="37">
        <v>0.99</v>
      </c>
      <c r="J620">
        <f t="shared" si="9"/>
        <v>2.8214999999999999</v>
      </c>
    </row>
    <row r="621" spans="1:10" x14ac:dyDescent="0.3">
      <c r="A621" t="s">
        <v>101</v>
      </c>
      <c r="B621" t="s">
        <v>102</v>
      </c>
      <c r="C621" t="s">
        <v>138</v>
      </c>
      <c r="D621" t="s">
        <v>158</v>
      </c>
      <c r="E621" t="s">
        <v>45</v>
      </c>
      <c r="F621" s="1">
        <v>9.7175925925925934E-4</v>
      </c>
      <c r="G621" s="37">
        <v>2.2200000000000002</v>
      </c>
      <c r="H621">
        <v>2.9</v>
      </c>
      <c r="I621" s="37">
        <v>0.99</v>
      </c>
      <c r="J621">
        <f t="shared" si="9"/>
        <v>2.871</v>
      </c>
    </row>
    <row r="622" spans="1:10" x14ac:dyDescent="0.3">
      <c r="A622" t="s">
        <v>101</v>
      </c>
      <c r="B622" t="s">
        <v>102</v>
      </c>
      <c r="C622" t="s">
        <v>138</v>
      </c>
      <c r="D622" t="s">
        <v>158</v>
      </c>
      <c r="E622" t="s">
        <v>46</v>
      </c>
      <c r="F622" s="1">
        <v>9.7162037037037041E-4</v>
      </c>
      <c r="G622" s="37">
        <v>2.2200000000000002</v>
      </c>
      <c r="H622">
        <v>2.89</v>
      </c>
      <c r="I622" s="37">
        <v>0.99</v>
      </c>
      <c r="J622">
        <f t="shared" si="9"/>
        <v>2.8611</v>
      </c>
    </row>
    <row r="623" spans="1:10" x14ac:dyDescent="0.3">
      <c r="A623" t="s">
        <v>101</v>
      </c>
      <c r="B623" t="s">
        <v>102</v>
      </c>
      <c r="C623" t="s">
        <v>138</v>
      </c>
      <c r="D623" t="s">
        <v>158</v>
      </c>
      <c r="E623" t="s">
        <v>47</v>
      </c>
      <c r="F623" s="1">
        <v>9.6964120370370368E-4</v>
      </c>
      <c r="G623" s="37">
        <v>2.23</v>
      </c>
      <c r="H623">
        <v>2.91</v>
      </c>
      <c r="I623" s="37">
        <v>0.99</v>
      </c>
      <c r="J623">
        <f t="shared" si="9"/>
        <v>2.8809</v>
      </c>
    </row>
    <row r="624" spans="1:10" x14ac:dyDescent="0.3">
      <c r="A624" t="s">
        <v>101</v>
      </c>
      <c r="B624" t="s">
        <v>102</v>
      </c>
      <c r="C624" t="s">
        <v>138</v>
      </c>
      <c r="D624" t="s">
        <v>158</v>
      </c>
      <c r="E624" t="s">
        <v>48</v>
      </c>
      <c r="F624" s="1">
        <v>9.7182870370370381E-4</v>
      </c>
      <c r="G624" s="37">
        <v>2.21</v>
      </c>
      <c r="H624">
        <v>2.89</v>
      </c>
      <c r="I624" s="37">
        <v>0.99</v>
      </c>
      <c r="J624">
        <f t="shared" si="9"/>
        <v>2.8611</v>
      </c>
    </row>
    <row r="625" spans="1:10" x14ac:dyDescent="0.3">
      <c r="A625" t="s">
        <v>101</v>
      </c>
      <c r="B625" t="s">
        <v>102</v>
      </c>
      <c r="C625" t="s">
        <v>138</v>
      </c>
      <c r="D625" t="s">
        <v>158</v>
      </c>
      <c r="E625" t="s">
        <v>49</v>
      </c>
      <c r="F625" s="1">
        <v>9.7108796296296299E-4</v>
      </c>
      <c r="G625" s="37">
        <v>2.21</v>
      </c>
      <c r="H625">
        <v>2.89</v>
      </c>
      <c r="I625" s="37">
        <v>0.99</v>
      </c>
      <c r="J625">
        <f t="shared" si="9"/>
        <v>2.8611</v>
      </c>
    </row>
    <row r="626" spans="1:10" x14ac:dyDescent="0.3">
      <c r="A626" t="s">
        <v>101</v>
      </c>
      <c r="B626" t="s">
        <v>102</v>
      </c>
      <c r="C626" t="s">
        <v>138</v>
      </c>
      <c r="D626" t="s">
        <v>158</v>
      </c>
      <c r="E626" t="s">
        <v>50</v>
      </c>
      <c r="F626" s="1">
        <v>9.7081018518518523E-4</v>
      </c>
      <c r="G626" s="37">
        <v>2.21</v>
      </c>
      <c r="H626">
        <v>2.89</v>
      </c>
      <c r="I626" s="37">
        <v>0.99</v>
      </c>
      <c r="J626">
        <f t="shared" si="9"/>
        <v>2.8611</v>
      </c>
    </row>
    <row r="627" spans="1:10" x14ac:dyDescent="0.3">
      <c r="A627" t="s">
        <v>101</v>
      </c>
      <c r="B627" t="s">
        <v>102</v>
      </c>
      <c r="C627" t="s">
        <v>138</v>
      </c>
      <c r="D627" t="s">
        <v>158</v>
      </c>
      <c r="E627" t="s">
        <v>51</v>
      </c>
      <c r="F627" s="1">
        <v>9.7270833333333335E-4</v>
      </c>
      <c r="G627" s="37">
        <v>2.21</v>
      </c>
      <c r="H627">
        <v>2.89</v>
      </c>
      <c r="I627" s="37">
        <v>0.99</v>
      </c>
      <c r="J627">
        <f t="shared" si="9"/>
        <v>2.8611</v>
      </c>
    </row>
    <row r="628" spans="1:10" x14ac:dyDescent="0.3">
      <c r="A628" t="s">
        <v>101</v>
      </c>
      <c r="B628" t="s">
        <v>102</v>
      </c>
      <c r="C628" t="s">
        <v>138</v>
      </c>
      <c r="D628" t="s">
        <v>158</v>
      </c>
      <c r="E628" t="s">
        <v>52</v>
      </c>
      <c r="F628" s="1">
        <v>9.7288194444444451E-4</v>
      </c>
      <c r="G628" s="37">
        <v>2.21</v>
      </c>
      <c r="H628">
        <v>2.9</v>
      </c>
      <c r="I628" s="37">
        <v>0.99</v>
      </c>
      <c r="J628">
        <f t="shared" si="9"/>
        <v>2.871</v>
      </c>
    </row>
    <row r="629" spans="1:10" x14ac:dyDescent="0.3">
      <c r="A629" t="s">
        <v>101</v>
      </c>
      <c r="B629" t="s">
        <v>102</v>
      </c>
      <c r="C629" t="s">
        <v>138</v>
      </c>
      <c r="D629" t="s">
        <v>158</v>
      </c>
      <c r="E629" t="s">
        <v>53</v>
      </c>
      <c r="F629" s="1">
        <v>9.7195601851851859E-4</v>
      </c>
      <c r="G629" s="37">
        <v>2.2400000000000002</v>
      </c>
      <c r="H629">
        <v>2.91</v>
      </c>
      <c r="I629" s="37">
        <v>0.99</v>
      </c>
      <c r="J629">
        <f t="shared" si="9"/>
        <v>2.8809</v>
      </c>
    </row>
    <row r="630" spans="1:10" x14ac:dyDescent="0.3">
      <c r="A630" t="s">
        <v>101</v>
      </c>
      <c r="B630" t="s">
        <v>102</v>
      </c>
      <c r="C630" t="s">
        <v>138</v>
      </c>
      <c r="D630" t="s">
        <v>158</v>
      </c>
      <c r="E630" t="s">
        <v>54</v>
      </c>
      <c r="F630" s="1">
        <v>9.7468749999999997E-4</v>
      </c>
      <c r="G630" s="37">
        <v>2.2400000000000002</v>
      </c>
      <c r="H630">
        <v>2.91</v>
      </c>
      <c r="I630" s="37">
        <v>0.99</v>
      </c>
      <c r="J630">
        <f t="shared" si="9"/>
        <v>2.8809</v>
      </c>
    </row>
    <row r="631" spans="1:10" x14ac:dyDescent="0.3">
      <c r="A631" t="s">
        <v>101</v>
      </c>
      <c r="B631" t="s">
        <v>102</v>
      </c>
      <c r="C631" t="s">
        <v>138</v>
      </c>
      <c r="D631" t="s">
        <v>158</v>
      </c>
      <c r="E631" t="s">
        <v>55</v>
      </c>
      <c r="F631" s="1">
        <v>9.7277777777777781E-4</v>
      </c>
      <c r="G631" s="37">
        <v>2.2200000000000002</v>
      </c>
      <c r="H631">
        <v>2.91</v>
      </c>
      <c r="I631" s="37">
        <v>0.99</v>
      </c>
      <c r="J631">
        <f t="shared" si="9"/>
        <v>2.8809</v>
      </c>
    </row>
    <row r="632" spans="1:10" x14ac:dyDescent="0.3">
      <c r="A632" t="s">
        <v>101</v>
      </c>
      <c r="B632" t="s">
        <v>102</v>
      </c>
      <c r="C632" t="s">
        <v>138</v>
      </c>
      <c r="D632" t="s">
        <v>158</v>
      </c>
      <c r="E632" t="s">
        <v>56</v>
      </c>
      <c r="F632" s="1">
        <v>9.7175925925925934E-4</v>
      </c>
      <c r="G632" s="37">
        <v>2.23</v>
      </c>
      <c r="H632">
        <v>2.9</v>
      </c>
      <c r="I632" s="37">
        <v>0.99</v>
      </c>
      <c r="J632">
        <f t="shared" si="9"/>
        <v>2.871</v>
      </c>
    </row>
    <row r="633" spans="1:10" x14ac:dyDescent="0.3">
      <c r="A633" t="s">
        <v>101</v>
      </c>
      <c r="B633" t="s">
        <v>102</v>
      </c>
      <c r="C633" t="s">
        <v>138</v>
      </c>
      <c r="D633" t="s">
        <v>158</v>
      </c>
      <c r="E633" t="s">
        <v>57</v>
      </c>
      <c r="F633" s="1">
        <v>9.7340277777777779E-4</v>
      </c>
      <c r="G633" s="37">
        <v>2.2200000000000002</v>
      </c>
      <c r="H633">
        <v>2.9</v>
      </c>
      <c r="I633" s="37">
        <v>0.99</v>
      </c>
      <c r="J633">
        <f t="shared" si="9"/>
        <v>2.871</v>
      </c>
    </row>
    <row r="634" spans="1:10" x14ac:dyDescent="0.3">
      <c r="A634" t="s">
        <v>101</v>
      </c>
      <c r="B634" t="s">
        <v>102</v>
      </c>
      <c r="C634" t="s">
        <v>138</v>
      </c>
      <c r="D634" t="s">
        <v>158</v>
      </c>
      <c r="E634" t="s">
        <v>58</v>
      </c>
      <c r="F634" s="1">
        <v>9.7282407407407398E-4</v>
      </c>
      <c r="G634" s="37">
        <v>2.2200000000000002</v>
      </c>
      <c r="H634">
        <v>2.89</v>
      </c>
      <c r="I634" s="37">
        <v>0.99</v>
      </c>
      <c r="J634">
        <f t="shared" si="9"/>
        <v>2.8611</v>
      </c>
    </row>
    <row r="635" spans="1:10" x14ac:dyDescent="0.3">
      <c r="A635" t="s">
        <v>101</v>
      </c>
      <c r="B635" t="s">
        <v>102</v>
      </c>
      <c r="C635" t="s">
        <v>138</v>
      </c>
      <c r="D635" t="s">
        <v>158</v>
      </c>
      <c r="E635" t="s">
        <v>72</v>
      </c>
      <c r="F635" s="1">
        <v>9.7565972222222216E-4</v>
      </c>
      <c r="G635" s="37">
        <v>2.23</v>
      </c>
      <c r="H635">
        <v>2.91</v>
      </c>
      <c r="I635" s="37">
        <v>0.99</v>
      </c>
      <c r="J635">
        <f t="shared" si="9"/>
        <v>2.8809</v>
      </c>
    </row>
    <row r="636" spans="1:10" x14ac:dyDescent="0.3">
      <c r="A636" t="s">
        <v>101</v>
      </c>
      <c r="B636" t="s">
        <v>102</v>
      </c>
      <c r="C636" t="s">
        <v>138</v>
      </c>
      <c r="D636" t="s">
        <v>158</v>
      </c>
      <c r="E636" t="s">
        <v>59</v>
      </c>
      <c r="F636" s="1">
        <v>9.7230324074074081E-4</v>
      </c>
      <c r="G636" s="37">
        <v>2.21</v>
      </c>
      <c r="H636">
        <v>2.89</v>
      </c>
      <c r="I636" s="37">
        <v>0.99</v>
      </c>
      <c r="J636">
        <f t="shared" si="9"/>
        <v>2.8611</v>
      </c>
    </row>
    <row r="637" spans="1:10" x14ac:dyDescent="0.3">
      <c r="A637" t="s">
        <v>101</v>
      </c>
      <c r="B637" t="s">
        <v>102</v>
      </c>
      <c r="C637" t="s">
        <v>138</v>
      </c>
      <c r="D637" t="s">
        <v>158</v>
      </c>
      <c r="E637" t="s">
        <v>61</v>
      </c>
      <c r="F637" s="1">
        <v>9.6332175925925914E-4</v>
      </c>
      <c r="G637" s="37">
        <v>2.19</v>
      </c>
      <c r="H637">
        <v>2.87</v>
      </c>
      <c r="I637" s="37">
        <v>0.99</v>
      </c>
      <c r="J637">
        <f t="shared" si="9"/>
        <v>2.8412999999999999</v>
      </c>
    </row>
    <row r="638" spans="1:10" x14ac:dyDescent="0.3">
      <c r="A638" t="s">
        <v>101</v>
      </c>
      <c r="B638" t="s">
        <v>102</v>
      </c>
      <c r="C638" t="s">
        <v>138</v>
      </c>
      <c r="D638" t="s">
        <v>158</v>
      </c>
      <c r="E638" t="s">
        <v>62</v>
      </c>
      <c r="F638" s="1">
        <v>9.614930555555556E-4</v>
      </c>
      <c r="G638" s="37">
        <v>2.21</v>
      </c>
      <c r="H638">
        <v>2.89</v>
      </c>
      <c r="I638" s="37">
        <v>0.99</v>
      </c>
      <c r="J638">
        <f t="shared" si="9"/>
        <v>2.8611</v>
      </c>
    </row>
    <row r="639" spans="1:10" x14ac:dyDescent="0.3">
      <c r="A639" t="s">
        <v>101</v>
      </c>
      <c r="B639" t="s">
        <v>102</v>
      </c>
      <c r="C639" t="s">
        <v>138</v>
      </c>
      <c r="D639" t="s">
        <v>158</v>
      </c>
      <c r="E639" t="s">
        <v>63</v>
      </c>
      <c r="F639" s="1">
        <v>9.6171296296296293E-4</v>
      </c>
      <c r="G639" s="37">
        <v>2.2200000000000002</v>
      </c>
      <c r="H639">
        <v>2.91</v>
      </c>
      <c r="I639" s="37">
        <v>0.99</v>
      </c>
      <c r="J639">
        <f t="shared" si="9"/>
        <v>2.8809</v>
      </c>
    </row>
    <row r="640" spans="1:10" x14ac:dyDescent="0.3">
      <c r="A640" t="s">
        <v>101</v>
      </c>
      <c r="B640" t="s">
        <v>102</v>
      </c>
      <c r="C640" t="s">
        <v>138</v>
      </c>
      <c r="D640" t="s">
        <v>158</v>
      </c>
      <c r="E640" t="s">
        <v>64</v>
      </c>
      <c r="F640" s="1">
        <v>9.6697916666666666E-4</v>
      </c>
      <c r="G640" s="37">
        <v>2.1800000000000002</v>
      </c>
      <c r="H640">
        <v>2.85</v>
      </c>
      <c r="I640" s="37">
        <v>0.99</v>
      </c>
      <c r="J640">
        <f t="shared" si="9"/>
        <v>2.8214999999999999</v>
      </c>
    </row>
    <row r="641" spans="1:10" x14ac:dyDescent="0.3">
      <c r="A641" t="s">
        <v>101</v>
      </c>
      <c r="B641" t="s">
        <v>102</v>
      </c>
      <c r="C641" t="s">
        <v>138</v>
      </c>
      <c r="D641" t="s">
        <v>158</v>
      </c>
      <c r="E641" t="s">
        <v>65</v>
      </c>
      <c r="F641" s="1">
        <v>9.653587962962963E-4</v>
      </c>
      <c r="G641" s="37">
        <v>2.2000000000000002</v>
      </c>
      <c r="H641">
        <v>2.88</v>
      </c>
      <c r="I641" s="37">
        <v>0.99</v>
      </c>
      <c r="J641">
        <f t="shared" si="9"/>
        <v>2.8512</v>
      </c>
    </row>
    <row r="642" spans="1:10" x14ac:dyDescent="0.3">
      <c r="A642" t="s">
        <v>101</v>
      </c>
      <c r="B642" t="s">
        <v>102</v>
      </c>
      <c r="C642" t="s">
        <v>138</v>
      </c>
      <c r="D642" t="s">
        <v>158</v>
      </c>
      <c r="E642" t="s">
        <v>66</v>
      </c>
      <c r="F642" s="1">
        <v>9.683564814814815E-4</v>
      </c>
      <c r="G642" s="37">
        <v>2.19</v>
      </c>
      <c r="H642">
        <v>2.88</v>
      </c>
      <c r="I642" s="37">
        <v>0.99</v>
      </c>
      <c r="J642">
        <f t="shared" si="9"/>
        <v>2.8512</v>
      </c>
    </row>
    <row r="643" spans="1:10" x14ac:dyDescent="0.3">
      <c r="A643" t="s">
        <v>101</v>
      </c>
      <c r="B643" t="s">
        <v>102</v>
      </c>
      <c r="C643" t="s">
        <v>138</v>
      </c>
      <c r="D643" t="s">
        <v>158</v>
      </c>
      <c r="E643" t="s">
        <v>67</v>
      </c>
      <c r="F643" s="1">
        <v>9.7052083333333343E-4</v>
      </c>
      <c r="G643" s="37">
        <v>2.1800000000000002</v>
      </c>
      <c r="H643">
        <v>2.87</v>
      </c>
      <c r="I643" s="37">
        <v>0.99</v>
      </c>
      <c r="J643">
        <f t="shared" si="9"/>
        <v>2.8412999999999999</v>
      </c>
    </row>
    <row r="644" spans="1:10" x14ac:dyDescent="0.3">
      <c r="A644" t="s">
        <v>101</v>
      </c>
      <c r="B644" t="s">
        <v>102</v>
      </c>
      <c r="C644" t="s">
        <v>138</v>
      </c>
      <c r="D644" t="s">
        <v>158</v>
      </c>
      <c r="E644" t="s">
        <v>68</v>
      </c>
      <c r="F644" s="1">
        <v>9.6737268518518526E-4</v>
      </c>
      <c r="G644" s="37">
        <v>2.2000000000000002</v>
      </c>
      <c r="H644">
        <v>2.9</v>
      </c>
      <c r="I644" s="37">
        <v>0.99</v>
      </c>
      <c r="J644">
        <f t="shared" ref="J644:J707" si="10">H644*I644</f>
        <v>2.871</v>
      </c>
    </row>
    <row r="645" spans="1:10" x14ac:dyDescent="0.3">
      <c r="A645" t="s">
        <v>101</v>
      </c>
      <c r="B645" t="s">
        <v>102</v>
      </c>
      <c r="C645" t="s">
        <v>138</v>
      </c>
      <c r="D645" t="s">
        <v>158</v>
      </c>
      <c r="E645" t="s">
        <v>69</v>
      </c>
      <c r="F645" s="1">
        <v>9.6664351851851848E-4</v>
      </c>
      <c r="G645" s="37">
        <v>2.19</v>
      </c>
      <c r="H645">
        <v>2.88</v>
      </c>
      <c r="I645" s="37">
        <v>0.99</v>
      </c>
      <c r="J645">
        <f t="shared" si="10"/>
        <v>2.8512</v>
      </c>
    </row>
    <row r="646" spans="1:10" x14ac:dyDescent="0.3">
      <c r="A646" t="s">
        <v>101</v>
      </c>
      <c r="B646" t="s">
        <v>102</v>
      </c>
      <c r="C646" t="s">
        <v>138</v>
      </c>
      <c r="D646" t="s">
        <v>158</v>
      </c>
      <c r="E646" t="s">
        <v>70</v>
      </c>
      <c r="F646" s="1">
        <v>9.6916666666666668E-4</v>
      </c>
      <c r="G646" s="37">
        <v>2.14</v>
      </c>
      <c r="H646">
        <v>2.82</v>
      </c>
      <c r="I646" s="37">
        <v>0.99</v>
      </c>
      <c r="J646">
        <f t="shared" si="10"/>
        <v>2.7917999999999998</v>
      </c>
    </row>
    <row r="647" spans="1:10" x14ac:dyDescent="0.3">
      <c r="A647" t="s">
        <v>25</v>
      </c>
      <c r="B647" t="s">
        <v>159</v>
      </c>
      <c r="C647" t="s">
        <v>138</v>
      </c>
      <c r="D647" s="22">
        <v>0.57449074074074069</v>
      </c>
      <c r="E647" t="s">
        <v>9</v>
      </c>
      <c r="F647" s="1">
        <v>9.870023148148149E-4</v>
      </c>
      <c r="G647" s="37">
        <v>2.12</v>
      </c>
      <c r="H647">
        <v>3.31</v>
      </c>
      <c r="I647" s="37">
        <v>0.84499999999999997</v>
      </c>
      <c r="J647">
        <f t="shared" si="10"/>
        <v>2.7969499999999998</v>
      </c>
    </row>
    <row r="648" spans="1:10" x14ac:dyDescent="0.3">
      <c r="A648" t="s">
        <v>25</v>
      </c>
      <c r="B648" t="s">
        <v>159</v>
      </c>
      <c r="C648" t="s">
        <v>138</v>
      </c>
      <c r="D648" s="22">
        <v>0.57449074074074069</v>
      </c>
      <c r="E648" t="s">
        <v>10</v>
      </c>
      <c r="F648" s="1">
        <v>9.9762731481481469E-4</v>
      </c>
      <c r="G648" s="37">
        <v>2.14</v>
      </c>
      <c r="H648">
        <v>3.34</v>
      </c>
      <c r="I648" s="37">
        <v>0.84499999999999997</v>
      </c>
      <c r="J648">
        <f t="shared" si="10"/>
        <v>2.8222999999999998</v>
      </c>
    </row>
    <row r="649" spans="1:10" x14ac:dyDescent="0.3">
      <c r="A649" t="s">
        <v>25</v>
      </c>
      <c r="B649" t="s">
        <v>159</v>
      </c>
      <c r="C649" t="s">
        <v>138</v>
      </c>
      <c r="D649" s="22">
        <v>0.57449074074074069</v>
      </c>
      <c r="E649" t="s">
        <v>16</v>
      </c>
      <c r="F649" s="1">
        <v>9.7939814814814829E-4</v>
      </c>
      <c r="G649" s="37">
        <v>2.27</v>
      </c>
      <c r="H649">
        <v>3.54</v>
      </c>
      <c r="I649" s="37">
        <v>0.84499999999999997</v>
      </c>
      <c r="J649">
        <f t="shared" si="10"/>
        <v>2.9912999999999998</v>
      </c>
    </row>
    <row r="650" spans="1:10" x14ac:dyDescent="0.3">
      <c r="A650" t="s">
        <v>25</v>
      </c>
      <c r="B650" t="s">
        <v>159</v>
      </c>
      <c r="C650" t="s">
        <v>138</v>
      </c>
      <c r="D650" s="22">
        <v>0.57449074074074069</v>
      </c>
      <c r="E650" t="s">
        <v>17</v>
      </c>
      <c r="F650" s="1">
        <v>9.7701388888888881E-4</v>
      </c>
      <c r="G650" s="37">
        <v>2.27</v>
      </c>
      <c r="H650">
        <v>3.56</v>
      </c>
      <c r="I650" s="37">
        <v>0.84499999999999997</v>
      </c>
      <c r="J650">
        <f t="shared" si="10"/>
        <v>3.0082</v>
      </c>
    </row>
    <row r="651" spans="1:10" x14ac:dyDescent="0.3">
      <c r="A651" t="s">
        <v>25</v>
      </c>
      <c r="B651" t="s">
        <v>159</v>
      </c>
      <c r="C651" t="s">
        <v>138</v>
      </c>
      <c r="D651" s="22">
        <v>0.57449074074074069</v>
      </c>
      <c r="E651" t="s">
        <v>18</v>
      </c>
      <c r="F651" s="1">
        <v>9.7620370370370363E-4</v>
      </c>
      <c r="G651" s="37">
        <v>2.2599999999999998</v>
      </c>
      <c r="H651">
        <v>3.54</v>
      </c>
      <c r="I651" s="37">
        <v>0.84499999999999997</v>
      </c>
      <c r="J651">
        <f t="shared" si="10"/>
        <v>2.9912999999999998</v>
      </c>
    </row>
    <row r="652" spans="1:10" x14ac:dyDescent="0.3">
      <c r="A652" t="s">
        <v>25</v>
      </c>
      <c r="B652" t="s">
        <v>159</v>
      </c>
      <c r="C652" t="s">
        <v>138</v>
      </c>
      <c r="D652" s="22">
        <v>0.57449074074074069</v>
      </c>
      <c r="E652" t="s">
        <v>19</v>
      </c>
      <c r="F652" s="1">
        <v>9.7748842592592592E-4</v>
      </c>
      <c r="G652" s="37">
        <v>2.25</v>
      </c>
      <c r="H652">
        <v>3.5</v>
      </c>
      <c r="I652" s="37">
        <v>0.84499999999999997</v>
      </c>
      <c r="J652">
        <f t="shared" si="10"/>
        <v>2.9575</v>
      </c>
    </row>
    <row r="653" spans="1:10" x14ac:dyDescent="0.3">
      <c r="A653" t="s">
        <v>25</v>
      </c>
      <c r="B653" t="s">
        <v>159</v>
      </c>
      <c r="C653" t="s">
        <v>138</v>
      </c>
      <c r="D653" s="22">
        <v>0.57449074074074069</v>
      </c>
      <c r="E653" t="s">
        <v>45</v>
      </c>
      <c r="F653" s="1">
        <v>9.7741898148148145E-4</v>
      </c>
      <c r="G653" s="37">
        <v>2.25</v>
      </c>
      <c r="H653">
        <v>3.5</v>
      </c>
      <c r="I653" s="37">
        <v>0.84499999999999997</v>
      </c>
      <c r="J653">
        <f t="shared" si="10"/>
        <v>2.9575</v>
      </c>
    </row>
    <row r="654" spans="1:10" x14ac:dyDescent="0.3">
      <c r="A654" t="s">
        <v>25</v>
      </c>
      <c r="B654" t="s">
        <v>159</v>
      </c>
      <c r="C654" t="s">
        <v>138</v>
      </c>
      <c r="D654" s="22">
        <v>0.57449074074074069</v>
      </c>
      <c r="E654" t="s">
        <v>46</v>
      </c>
      <c r="F654" s="1">
        <v>9.7980324074074072E-4</v>
      </c>
      <c r="G654" s="37">
        <v>2.25</v>
      </c>
      <c r="H654">
        <v>3.5</v>
      </c>
      <c r="I654" s="37">
        <v>0.84499999999999997</v>
      </c>
      <c r="J654">
        <f t="shared" si="10"/>
        <v>2.9575</v>
      </c>
    </row>
    <row r="655" spans="1:10" x14ac:dyDescent="0.3">
      <c r="A655" t="s">
        <v>25</v>
      </c>
      <c r="B655" t="s">
        <v>159</v>
      </c>
      <c r="C655" t="s">
        <v>138</v>
      </c>
      <c r="D655" s="22">
        <v>0.57449074074074069</v>
      </c>
      <c r="E655" t="s">
        <v>47</v>
      </c>
      <c r="F655" s="1">
        <v>9.7828703703703706E-4</v>
      </c>
      <c r="G655" s="37">
        <v>2.25</v>
      </c>
      <c r="H655">
        <v>3.5</v>
      </c>
      <c r="I655" s="37">
        <v>0.84499999999999997</v>
      </c>
      <c r="J655">
        <f t="shared" si="10"/>
        <v>2.9575</v>
      </c>
    </row>
    <row r="656" spans="1:10" x14ac:dyDescent="0.3">
      <c r="A656" t="s">
        <v>25</v>
      </c>
      <c r="B656" t="s">
        <v>159</v>
      </c>
      <c r="C656" t="s">
        <v>138</v>
      </c>
      <c r="D656" s="22">
        <v>0.57449074074074069</v>
      </c>
      <c r="E656" t="s">
        <v>48</v>
      </c>
      <c r="F656" s="1">
        <v>9.8225694444444445E-4</v>
      </c>
      <c r="G656" s="37">
        <v>2.25</v>
      </c>
      <c r="H656">
        <v>3.51</v>
      </c>
      <c r="I656" s="37">
        <v>0.84499999999999997</v>
      </c>
      <c r="J656">
        <f t="shared" si="10"/>
        <v>2.9659499999999999</v>
      </c>
    </row>
    <row r="657" spans="1:10" x14ac:dyDescent="0.3">
      <c r="A657" t="s">
        <v>25</v>
      </c>
      <c r="B657" t="s">
        <v>159</v>
      </c>
      <c r="C657" t="s">
        <v>138</v>
      </c>
      <c r="D657" s="22">
        <v>0.57449074074074069</v>
      </c>
      <c r="E657" t="s">
        <v>49</v>
      </c>
      <c r="F657" s="1">
        <v>9.7868055555555555E-4</v>
      </c>
      <c r="G657" s="37">
        <v>2.25</v>
      </c>
      <c r="H657">
        <v>3.49</v>
      </c>
      <c r="I657" s="37">
        <v>0.84499999999999997</v>
      </c>
      <c r="J657">
        <f t="shared" si="10"/>
        <v>2.9490500000000002</v>
      </c>
    </row>
    <row r="658" spans="1:10" x14ac:dyDescent="0.3">
      <c r="A658" t="s">
        <v>25</v>
      </c>
      <c r="B658" t="s">
        <v>159</v>
      </c>
      <c r="C658" t="s">
        <v>138</v>
      </c>
      <c r="D658" s="22">
        <v>0.57449074074074069</v>
      </c>
      <c r="E658" t="s">
        <v>50</v>
      </c>
      <c r="F658" s="1">
        <v>9.8106481481481482E-4</v>
      </c>
      <c r="G658" s="37">
        <v>2.2400000000000002</v>
      </c>
      <c r="H658">
        <v>3.48</v>
      </c>
      <c r="I658" s="37">
        <v>0.84499999999999997</v>
      </c>
      <c r="J658">
        <f t="shared" si="10"/>
        <v>2.9405999999999999</v>
      </c>
    </row>
    <row r="659" spans="1:10" x14ac:dyDescent="0.3">
      <c r="A659" t="s">
        <v>25</v>
      </c>
      <c r="B659" t="s">
        <v>159</v>
      </c>
      <c r="C659" t="s">
        <v>138</v>
      </c>
      <c r="D659" s="22">
        <v>0.57449074074074069</v>
      </c>
      <c r="E659" t="s">
        <v>51</v>
      </c>
      <c r="F659" s="1">
        <v>9.8540509259259263E-4</v>
      </c>
      <c r="G659" s="37">
        <v>2.21</v>
      </c>
      <c r="H659">
        <v>3.45</v>
      </c>
      <c r="I659" s="37">
        <v>0.84499999999999997</v>
      </c>
      <c r="J659">
        <f t="shared" si="10"/>
        <v>2.9152499999999999</v>
      </c>
    </row>
    <row r="660" spans="1:10" x14ac:dyDescent="0.3">
      <c r="A660" t="s">
        <v>25</v>
      </c>
      <c r="B660" t="s">
        <v>159</v>
      </c>
      <c r="C660" t="s">
        <v>138</v>
      </c>
      <c r="D660" s="22">
        <v>0.57449074074074069</v>
      </c>
      <c r="E660" t="s">
        <v>52</v>
      </c>
      <c r="F660" s="1">
        <v>9.9003472222222223E-4</v>
      </c>
      <c r="G660" s="37">
        <v>2.2000000000000002</v>
      </c>
      <c r="H660">
        <v>3.42</v>
      </c>
      <c r="I660" s="37">
        <v>0.84499999999999997</v>
      </c>
      <c r="J660">
        <f t="shared" si="10"/>
        <v>2.8898999999999999</v>
      </c>
    </row>
    <row r="661" spans="1:10" x14ac:dyDescent="0.3">
      <c r="A661" t="s">
        <v>25</v>
      </c>
      <c r="B661" t="s">
        <v>159</v>
      </c>
      <c r="C661" t="s">
        <v>138</v>
      </c>
      <c r="D661" s="22">
        <v>0.57449074074074069</v>
      </c>
      <c r="E661" t="s">
        <v>53</v>
      </c>
      <c r="F661" s="1">
        <v>9.8395833333333321E-4</v>
      </c>
      <c r="G661" s="37">
        <v>2.17</v>
      </c>
      <c r="H661">
        <v>3.39</v>
      </c>
      <c r="I661" s="37">
        <v>0.84499999999999997</v>
      </c>
      <c r="J661">
        <f t="shared" si="10"/>
        <v>2.8645499999999999</v>
      </c>
    </row>
    <row r="662" spans="1:10" x14ac:dyDescent="0.3">
      <c r="A662" t="s">
        <v>25</v>
      </c>
      <c r="B662" t="s">
        <v>159</v>
      </c>
      <c r="C662" t="s">
        <v>138</v>
      </c>
      <c r="D662" s="22">
        <v>0.57449074074074069</v>
      </c>
      <c r="E662" t="s">
        <v>55</v>
      </c>
      <c r="F662" s="1">
        <v>9.6570601851851852E-4</v>
      </c>
      <c r="G662" s="37">
        <v>2.23</v>
      </c>
      <c r="H662">
        <v>3.49</v>
      </c>
      <c r="I662" s="37">
        <v>0.84499999999999997</v>
      </c>
      <c r="J662">
        <f t="shared" si="10"/>
        <v>2.9490500000000002</v>
      </c>
    </row>
    <row r="663" spans="1:10" x14ac:dyDescent="0.3">
      <c r="A663" t="s">
        <v>25</v>
      </c>
      <c r="B663" t="s">
        <v>159</v>
      </c>
      <c r="C663" t="s">
        <v>138</v>
      </c>
      <c r="D663" s="22">
        <v>0.57449074074074069</v>
      </c>
      <c r="E663" t="s">
        <v>56</v>
      </c>
      <c r="F663" s="1">
        <v>9.705671296296296E-4</v>
      </c>
      <c r="G663" s="37">
        <v>2.21</v>
      </c>
      <c r="H663">
        <v>3.45</v>
      </c>
      <c r="I663" s="37">
        <v>0.84499999999999997</v>
      </c>
      <c r="J663">
        <f t="shared" si="10"/>
        <v>2.9152499999999999</v>
      </c>
    </row>
    <row r="664" spans="1:10" x14ac:dyDescent="0.3">
      <c r="A664" t="s">
        <v>25</v>
      </c>
      <c r="B664" t="s">
        <v>159</v>
      </c>
      <c r="C664" t="s">
        <v>138</v>
      </c>
      <c r="D664" s="22">
        <v>0.57449074074074069</v>
      </c>
      <c r="E664" t="s">
        <v>57</v>
      </c>
      <c r="F664" s="1">
        <v>9.7278935185185196E-4</v>
      </c>
      <c r="G664" s="37">
        <v>2.21</v>
      </c>
      <c r="H664">
        <v>3.45</v>
      </c>
      <c r="I664" s="37">
        <v>0.84499999999999997</v>
      </c>
      <c r="J664">
        <f t="shared" si="10"/>
        <v>2.9152499999999999</v>
      </c>
    </row>
    <row r="665" spans="1:10" x14ac:dyDescent="0.3">
      <c r="A665" t="s">
        <v>25</v>
      </c>
      <c r="B665" t="s">
        <v>159</v>
      </c>
      <c r="C665" t="s">
        <v>138</v>
      </c>
      <c r="D665" s="22">
        <v>0.57449074074074069</v>
      </c>
      <c r="E665" t="s">
        <v>58</v>
      </c>
      <c r="F665" s="1">
        <v>9.7210648148148145E-4</v>
      </c>
      <c r="G665" s="37">
        <v>2.19</v>
      </c>
      <c r="H665">
        <v>3.43</v>
      </c>
      <c r="I665" s="37">
        <v>0.84499999999999997</v>
      </c>
      <c r="J665">
        <f t="shared" si="10"/>
        <v>2.8983500000000002</v>
      </c>
    </row>
    <row r="666" spans="1:10" x14ac:dyDescent="0.3">
      <c r="A666" t="s">
        <v>25</v>
      </c>
      <c r="B666" t="s">
        <v>159</v>
      </c>
      <c r="C666" t="s">
        <v>138</v>
      </c>
      <c r="D666" s="22">
        <v>0.57449074074074069</v>
      </c>
      <c r="E666" t="s">
        <v>72</v>
      </c>
      <c r="F666" s="1">
        <v>9.7174768518518519E-4</v>
      </c>
      <c r="G666" s="37">
        <v>2.21</v>
      </c>
      <c r="H666">
        <v>3.44</v>
      </c>
      <c r="I666" s="37">
        <v>0.84499999999999997</v>
      </c>
      <c r="J666">
        <f t="shared" si="10"/>
        <v>2.9068000000000001</v>
      </c>
    </row>
    <row r="667" spans="1:10" x14ac:dyDescent="0.3">
      <c r="A667" t="s">
        <v>25</v>
      </c>
      <c r="B667" t="s">
        <v>159</v>
      </c>
      <c r="C667" t="s">
        <v>138</v>
      </c>
      <c r="D667" s="22">
        <v>0.57449074074074069</v>
      </c>
      <c r="E667" t="s">
        <v>59</v>
      </c>
      <c r="F667" s="1">
        <v>9.7407407407407403E-4</v>
      </c>
      <c r="G667" s="37">
        <v>2.1800000000000002</v>
      </c>
      <c r="H667">
        <v>3.41</v>
      </c>
      <c r="I667" s="37">
        <v>0.84499999999999997</v>
      </c>
      <c r="J667">
        <f t="shared" si="10"/>
        <v>2.8814500000000001</v>
      </c>
    </row>
    <row r="668" spans="1:10" x14ac:dyDescent="0.3">
      <c r="A668" t="s">
        <v>25</v>
      </c>
      <c r="B668" t="s">
        <v>159</v>
      </c>
      <c r="C668" t="s">
        <v>138</v>
      </c>
      <c r="D668" s="22">
        <v>0.57449074074074069</v>
      </c>
      <c r="E668" t="s">
        <v>60</v>
      </c>
      <c r="F668" s="1">
        <v>9.7498842592592602E-4</v>
      </c>
      <c r="G668" s="37">
        <v>2.16</v>
      </c>
      <c r="H668">
        <v>3.42</v>
      </c>
      <c r="I668" s="37">
        <v>0.84499999999999997</v>
      </c>
      <c r="J668">
        <f t="shared" si="10"/>
        <v>2.8898999999999999</v>
      </c>
    </row>
    <row r="669" spans="1:10" x14ac:dyDescent="0.3">
      <c r="A669" t="s">
        <v>25</v>
      </c>
      <c r="B669" t="s">
        <v>159</v>
      </c>
      <c r="C669" t="s">
        <v>138</v>
      </c>
      <c r="D669" s="22">
        <v>0.57449074074074069</v>
      </c>
      <c r="E669" t="s">
        <v>61</v>
      </c>
      <c r="F669" s="1">
        <v>9.7556712962962961E-4</v>
      </c>
      <c r="G669" s="37">
        <v>2.21</v>
      </c>
      <c r="H669">
        <v>3.46</v>
      </c>
      <c r="I669" s="37">
        <v>0.84499999999999997</v>
      </c>
      <c r="J669">
        <f t="shared" si="10"/>
        <v>2.9236999999999997</v>
      </c>
    </row>
    <row r="670" spans="1:10" x14ac:dyDescent="0.3">
      <c r="A670" t="s">
        <v>25</v>
      </c>
      <c r="B670" t="s">
        <v>159</v>
      </c>
      <c r="C670" t="s">
        <v>138</v>
      </c>
      <c r="D670" s="22">
        <v>0.57449074074074069</v>
      </c>
      <c r="E670" t="s">
        <v>62</v>
      </c>
      <c r="F670" s="1">
        <v>9.7523148148148154E-4</v>
      </c>
      <c r="G670" s="37">
        <v>2.2000000000000002</v>
      </c>
      <c r="H670">
        <v>3.44</v>
      </c>
      <c r="I670" s="37">
        <v>0.84499999999999997</v>
      </c>
      <c r="J670">
        <f t="shared" si="10"/>
        <v>2.9068000000000001</v>
      </c>
    </row>
    <row r="671" spans="1:10" x14ac:dyDescent="0.3">
      <c r="A671" t="s">
        <v>25</v>
      </c>
      <c r="B671" t="s">
        <v>159</v>
      </c>
      <c r="C671" t="s">
        <v>138</v>
      </c>
      <c r="D671" s="22">
        <v>0.57449074074074069</v>
      </c>
      <c r="E671" t="s">
        <v>63</v>
      </c>
      <c r="F671" s="1">
        <v>9.7363425925925927E-4</v>
      </c>
      <c r="G671" s="37">
        <v>2.21</v>
      </c>
      <c r="H671">
        <v>3.45</v>
      </c>
      <c r="I671" s="37">
        <v>0.84499999999999997</v>
      </c>
      <c r="J671">
        <f t="shared" si="10"/>
        <v>2.9152499999999999</v>
      </c>
    </row>
    <row r="672" spans="1:10" x14ac:dyDescent="0.3">
      <c r="A672" t="s">
        <v>25</v>
      </c>
      <c r="B672" t="s">
        <v>26</v>
      </c>
      <c r="C672" t="s">
        <v>138</v>
      </c>
      <c r="D672" s="22">
        <v>0.57486111111111116</v>
      </c>
      <c r="E672" t="s">
        <v>9</v>
      </c>
      <c r="F672" s="1">
        <v>1.0173263888888888E-3</v>
      </c>
      <c r="G672" s="37">
        <v>2.0699999999999998</v>
      </c>
      <c r="H672">
        <v>3.23</v>
      </c>
      <c r="I672" s="37">
        <v>0.84799999999999998</v>
      </c>
      <c r="J672">
        <f t="shared" si="10"/>
        <v>2.7390399999999997</v>
      </c>
    </row>
    <row r="673" spans="1:10" x14ac:dyDescent="0.3">
      <c r="A673" t="s">
        <v>25</v>
      </c>
      <c r="B673" t="s">
        <v>26</v>
      </c>
      <c r="C673" t="s">
        <v>138</v>
      </c>
      <c r="D673" s="22">
        <v>0.57486111111111116</v>
      </c>
      <c r="E673" t="s">
        <v>10</v>
      </c>
      <c r="F673" s="1">
        <v>9.8223379629629615E-4</v>
      </c>
      <c r="G673" s="37">
        <v>2.08</v>
      </c>
      <c r="H673">
        <v>3.25</v>
      </c>
      <c r="I673" s="37">
        <v>0.84799999999999998</v>
      </c>
      <c r="J673">
        <f t="shared" si="10"/>
        <v>2.7559999999999998</v>
      </c>
    </row>
    <row r="674" spans="1:10" x14ac:dyDescent="0.3">
      <c r="A674" t="s">
        <v>25</v>
      </c>
      <c r="B674" t="s">
        <v>26</v>
      </c>
      <c r="C674" t="s">
        <v>138</v>
      </c>
      <c r="D674" s="22">
        <v>0.57486111111111116</v>
      </c>
      <c r="E674" t="s">
        <v>16</v>
      </c>
      <c r="F674" s="1">
        <v>9.979166666666667E-4</v>
      </c>
      <c r="G674" s="37">
        <v>2.1</v>
      </c>
      <c r="H674">
        <v>3.28</v>
      </c>
      <c r="I674" s="37">
        <v>0.84799999999999998</v>
      </c>
      <c r="J674">
        <f t="shared" si="10"/>
        <v>2.7814399999999999</v>
      </c>
    </row>
    <row r="675" spans="1:10" x14ac:dyDescent="0.3">
      <c r="A675" t="s">
        <v>25</v>
      </c>
      <c r="B675" t="s">
        <v>26</v>
      </c>
      <c r="C675" t="s">
        <v>138</v>
      </c>
      <c r="D675" s="22">
        <v>0.57486111111111116</v>
      </c>
      <c r="E675" t="s">
        <v>17</v>
      </c>
      <c r="F675" s="1">
        <v>9.9627314814814826E-4</v>
      </c>
      <c r="G675" s="37">
        <v>2.12</v>
      </c>
      <c r="H675">
        <v>3.3</v>
      </c>
      <c r="I675" s="37">
        <v>0.84799999999999998</v>
      </c>
      <c r="J675">
        <f t="shared" si="10"/>
        <v>2.7983999999999996</v>
      </c>
    </row>
    <row r="676" spans="1:10" x14ac:dyDescent="0.3">
      <c r="A676" t="s">
        <v>25</v>
      </c>
      <c r="B676" t="s">
        <v>26</v>
      </c>
      <c r="C676" t="s">
        <v>138</v>
      </c>
      <c r="D676" s="22">
        <v>0.57486111111111116</v>
      </c>
      <c r="E676" t="s">
        <v>18</v>
      </c>
      <c r="F676" s="1">
        <v>9.8807870370370369E-4</v>
      </c>
      <c r="G676" s="37">
        <v>2.17</v>
      </c>
      <c r="H676">
        <v>3.36</v>
      </c>
      <c r="I676" s="37">
        <v>0.84799999999999998</v>
      </c>
      <c r="J676">
        <f t="shared" si="10"/>
        <v>2.8492799999999998</v>
      </c>
    </row>
    <row r="677" spans="1:10" x14ac:dyDescent="0.3">
      <c r="A677" t="s">
        <v>25</v>
      </c>
      <c r="B677" t="s">
        <v>26</v>
      </c>
      <c r="C677" t="s">
        <v>138</v>
      </c>
      <c r="D677" s="22">
        <v>0.57486111111111116</v>
      </c>
      <c r="E677" t="s">
        <v>19</v>
      </c>
      <c r="F677" s="1">
        <v>9.8670138888888896E-4</v>
      </c>
      <c r="G677" s="37">
        <v>2.1800000000000002</v>
      </c>
      <c r="H677">
        <v>3.38</v>
      </c>
      <c r="I677" s="37">
        <v>0.84799999999999998</v>
      </c>
      <c r="J677">
        <f t="shared" si="10"/>
        <v>2.8662399999999999</v>
      </c>
    </row>
    <row r="678" spans="1:10" x14ac:dyDescent="0.3">
      <c r="A678" t="s">
        <v>25</v>
      </c>
      <c r="B678" t="s">
        <v>26</v>
      </c>
      <c r="C678" t="s">
        <v>138</v>
      </c>
      <c r="D678" s="22">
        <v>0.57486111111111116</v>
      </c>
      <c r="E678" t="s">
        <v>45</v>
      </c>
      <c r="F678" s="1">
        <v>9.8731481481481478E-4</v>
      </c>
      <c r="G678" s="37">
        <v>2.19</v>
      </c>
      <c r="H678">
        <v>3.39</v>
      </c>
      <c r="I678" s="37">
        <v>0.84799999999999998</v>
      </c>
      <c r="J678">
        <f t="shared" si="10"/>
        <v>2.8747199999999999</v>
      </c>
    </row>
    <row r="679" spans="1:10" x14ac:dyDescent="0.3">
      <c r="A679" t="s">
        <v>25</v>
      </c>
      <c r="B679" t="s">
        <v>26</v>
      </c>
      <c r="C679" t="s">
        <v>138</v>
      </c>
      <c r="D679" s="22">
        <v>0.57486111111111116</v>
      </c>
      <c r="E679" t="s">
        <v>46</v>
      </c>
      <c r="F679" s="1">
        <v>9.9937500000000005E-4</v>
      </c>
      <c r="G679" s="37">
        <v>2.11</v>
      </c>
      <c r="H679">
        <v>3.28</v>
      </c>
      <c r="I679" s="37">
        <v>0.84799999999999998</v>
      </c>
      <c r="J679">
        <f t="shared" si="10"/>
        <v>2.7814399999999999</v>
      </c>
    </row>
    <row r="680" spans="1:10" x14ac:dyDescent="0.3">
      <c r="A680" t="s">
        <v>25</v>
      </c>
      <c r="B680" t="s">
        <v>26</v>
      </c>
      <c r="C680" t="s">
        <v>138</v>
      </c>
      <c r="D680" s="22">
        <v>0.57486111111111116</v>
      </c>
      <c r="E680" t="s">
        <v>47</v>
      </c>
      <c r="F680" s="1">
        <v>9.9613425925925933E-4</v>
      </c>
      <c r="G680" s="37">
        <v>2.13</v>
      </c>
      <c r="H680">
        <v>3.32</v>
      </c>
      <c r="I680" s="37">
        <v>0.84799999999999998</v>
      </c>
      <c r="J680">
        <f t="shared" si="10"/>
        <v>2.8153599999999996</v>
      </c>
    </row>
    <row r="681" spans="1:10" x14ac:dyDescent="0.3">
      <c r="A681" t="s">
        <v>25</v>
      </c>
      <c r="B681" t="s">
        <v>26</v>
      </c>
      <c r="C681" t="s">
        <v>138</v>
      </c>
      <c r="D681" s="22">
        <v>0.57486111111111116</v>
      </c>
      <c r="E681" t="s">
        <v>48</v>
      </c>
      <c r="F681" s="1">
        <v>1.0034259259259258E-3</v>
      </c>
      <c r="G681" s="37">
        <v>2.0499999999999998</v>
      </c>
      <c r="H681">
        <v>3.18</v>
      </c>
      <c r="I681" s="37">
        <v>0.84799999999999998</v>
      </c>
      <c r="J681">
        <f t="shared" si="10"/>
        <v>2.6966399999999999</v>
      </c>
    </row>
    <row r="682" spans="1:10" x14ac:dyDescent="0.3">
      <c r="A682" t="s">
        <v>25</v>
      </c>
      <c r="B682" t="s">
        <v>26</v>
      </c>
      <c r="C682" t="s">
        <v>138</v>
      </c>
      <c r="D682" s="22">
        <v>0.57486111111111116</v>
      </c>
      <c r="E682" t="s">
        <v>49</v>
      </c>
      <c r="F682" s="1">
        <v>1.0012847222222222E-3</v>
      </c>
      <c r="G682" s="37">
        <v>2.06</v>
      </c>
      <c r="H682">
        <v>3.2</v>
      </c>
      <c r="I682" s="37">
        <v>0.84799999999999998</v>
      </c>
      <c r="J682">
        <f t="shared" si="10"/>
        <v>2.7136</v>
      </c>
    </row>
    <row r="683" spans="1:10" x14ac:dyDescent="0.3">
      <c r="A683" t="s">
        <v>25</v>
      </c>
      <c r="B683" t="s">
        <v>26</v>
      </c>
      <c r="C683" t="s">
        <v>138</v>
      </c>
      <c r="D683" s="22">
        <v>0.57486111111111116</v>
      </c>
      <c r="E683" t="s">
        <v>51</v>
      </c>
      <c r="F683" s="1">
        <v>9.8502314814814806E-4</v>
      </c>
      <c r="G683" s="37">
        <v>2.17</v>
      </c>
      <c r="H683">
        <v>3.38</v>
      </c>
      <c r="I683" s="37">
        <v>0.84799999999999998</v>
      </c>
      <c r="J683">
        <f t="shared" si="10"/>
        <v>2.8662399999999999</v>
      </c>
    </row>
    <row r="684" spans="1:10" x14ac:dyDescent="0.3">
      <c r="A684" t="s">
        <v>25</v>
      </c>
      <c r="B684" t="s">
        <v>26</v>
      </c>
      <c r="C684" t="s">
        <v>138</v>
      </c>
      <c r="D684" s="22">
        <v>0.57486111111111116</v>
      </c>
      <c r="E684" t="s">
        <v>52</v>
      </c>
      <c r="F684" s="1">
        <v>9.8281249999999996E-4</v>
      </c>
      <c r="G684" s="37">
        <v>2.2000000000000002</v>
      </c>
      <c r="H684">
        <v>3.42</v>
      </c>
      <c r="I684" s="37">
        <v>0.84799999999999998</v>
      </c>
      <c r="J684">
        <f t="shared" si="10"/>
        <v>2.9001600000000001</v>
      </c>
    </row>
    <row r="685" spans="1:10" x14ac:dyDescent="0.3">
      <c r="A685" t="s">
        <v>25</v>
      </c>
      <c r="B685" t="s">
        <v>26</v>
      </c>
      <c r="C685" t="s">
        <v>138</v>
      </c>
      <c r="D685" s="22">
        <v>0.57486111111111116</v>
      </c>
      <c r="E685" t="s">
        <v>53</v>
      </c>
      <c r="F685" s="1">
        <v>9.8311342592592591E-4</v>
      </c>
      <c r="G685" s="37">
        <v>2.19</v>
      </c>
      <c r="H685">
        <v>3.41</v>
      </c>
      <c r="I685" s="37">
        <v>0.84799999999999998</v>
      </c>
      <c r="J685">
        <f t="shared" si="10"/>
        <v>2.89168</v>
      </c>
    </row>
    <row r="686" spans="1:10" x14ac:dyDescent="0.3">
      <c r="A686" t="s">
        <v>25</v>
      </c>
      <c r="B686" t="s">
        <v>26</v>
      </c>
      <c r="C686" t="s">
        <v>138</v>
      </c>
      <c r="D686" s="22">
        <v>0.57486111111111116</v>
      </c>
      <c r="E686" t="s">
        <v>54</v>
      </c>
      <c r="F686" s="1">
        <v>9.9214120370370385E-4</v>
      </c>
      <c r="G686" s="37">
        <v>2.16</v>
      </c>
      <c r="H686">
        <v>3.38</v>
      </c>
      <c r="I686" s="37">
        <v>0.84799999999999998</v>
      </c>
      <c r="J686">
        <f t="shared" si="10"/>
        <v>2.8662399999999999</v>
      </c>
    </row>
    <row r="687" spans="1:10" x14ac:dyDescent="0.3">
      <c r="A687" t="s">
        <v>25</v>
      </c>
      <c r="B687" t="s">
        <v>26</v>
      </c>
      <c r="C687" t="s">
        <v>138</v>
      </c>
      <c r="D687" s="22">
        <v>0.57486111111111116</v>
      </c>
      <c r="E687" t="s">
        <v>55</v>
      </c>
      <c r="F687" s="1">
        <v>9.8924768518518524E-4</v>
      </c>
      <c r="G687" s="37">
        <v>2.17</v>
      </c>
      <c r="H687">
        <v>3.38</v>
      </c>
      <c r="I687" s="37">
        <v>0.84799999999999998</v>
      </c>
      <c r="J687">
        <f t="shared" si="10"/>
        <v>2.8662399999999999</v>
      </c>
    </row>
    <row r="688" spans="1:10" x14ac:dyDescent="0.3">
      <c r="A688" t="s">
        <v>25</v>
      </c>
      <c r="B688" t="s">
        <v>26</v>
      </c>
      <c r="C688" t="s">
        <v>138</v>
      </c>
      <c r="D688" s="22">
        <v>0.57486111111111116</v>
      </c>
      <c r="E688" t="s">
        <v>56</v>
      </c>
      <c r="F688" s="1">
        <v>9.9747685185185182E-4</v>
      </c>
      <c r="G688" s="37">
        <v>2.13</v>
      </c>
      <c r="H688">
        <v>3.31</v>
      </c>
      <c r="I688" s="37">
        <v>0.84799999999999998</v>
      </c>
      <c r="J688">
        <f t="shared" si="10"/>
        <v>2.80688</v>
      </c>
    </row>
    <row r="689" spans="1:10" x14ac:dyDescent="0.3">
      <c r="A689" t="s">
        <v>25</v>
      </c>
      <c r="B689" t="s">
        <v>26</v>
      </c>
      <c r="C689" t="s">
        <v>138</v>
      </c>
      <c r="D689" s="22">
        <v>0.57486111111111116</v>
      </c>
      <c r="E689" t="s">
        <v>57</v>
      </c>
      <c r="F689" s="1">
        <v>9.8403935185185183E-4</v>
      </c>
      <c r="G689" s="37">
        <v>2.17</v>
      </c>
      <c r="H689">
        <v>3.37</v>
      </c>
      <c r="I689" s="37">
        <v>0.84799999999999998</v>
      </c>
      <c r="J689">
        <f t="shared" si="10"/>
        <v>2.8577599999999999</v>
      </c>
    </row>
    <row r="690" spans="1:10" x14ac:dyDescent="0.3">
      <c r="A690" t="s">
        <v>25</v>
      </c>
      <c r="B690" t="s">
        <v>26</v>
      </c>
      <c r="C690" t="s">
        <v>138</v>
      </c>
      <c r="D690" s="22">
        <v>0.57486111111111116</v>
      </c>
      <c r="E690" t="s">
        <v>58</v>
      </c>
      <c r="F690" s="1">
        <v>9.8835648148148155E-4</v>
      </c>
      <c r="G690" s="37">
        <v>2.19</v>
      </c>
      <c r="H690">
        <v>3.4</v>
      </c>
      <c r="I690" s="37">
        <v>0.84799999999999998</v>
      </c>
      <c r="J690">
        <f t="shared" si="10"/>
        <v>2.8832</v>
      </c>
    </row>
    <row r="691" spans="1:10" x14ac:dyDescent="0.3">
      <c r="A691" t="s">
        <v>25</v>
      </c>
      <c r="B691" t="s">
        <v>26</v>
      </c>
      <c r="C691" t="s">
        <v>138</v>
      </c>
      <c r="D691" s="22">
        <v>0.57486111111111116</v>
      </c>
      <c r="E691" t="s">
        <v>72</v>
      </c>
      <c r="F691" s="1">
        <v>9.8814814814814815E-4</v>
      </c>
      <c r="G691" s="37">
        <v>2.19</v>
      </c>
      <c r="H691">
        <v>3.42</v>
      </c>
      <c r="I691" s="37">
        <v>0.84799999999999998</v>
      </c>
      <c r="J691">
        <f t="shared" si="10"/>
        <v>2.9001600000000001</v>
      </c>
    </row>
    <row r="692" spans="1:10" x14ac:dyDescent="0.3">
      <c r="A692" t="s">
        <v>25</v>
      </c>
      <c r="B692" t="s">
        <v>26</v>
      </c>
      <c r="C692" t="s">
        <v>138</v>
      </c>
      <c r="D692" s="22">
        <v>0.57486111111111116</v>
      </c>
      <c r="E692" t="s">
        <v>59</v>
      </c>
      <c r="F692" s="1">
        <v>9.9021990740740754E-4</v>
      </c>
      <c r="G692" s="37">
        <v>2.17</v>
      </c>
      <c r="H692">
        <v>3.38</v>
      </c>
      <c r="I692" s="37">
        <v>0.84799999999999998</v>
      </c>
      <c r="J692">
        <f t="shared" si="10"/>
        <v>2.8662399999999999</v>
      </c>
    </row>
    <row r="693" spans="1:10" x14ac:dyDescent="0.3">
      <c r="A693" t="s">
        <v>25</v>
      </c>
      <c r="B693" t="s">
        <v>26</v>
      </c>
      <c r="C693" t="s">
        <v>138</v>
      </c>
      <c r="D693" s="22">
        <v>0.57486111111111116</v>
      </c>
      <c r="E693" t="s">
        <v>60</v>
      </c>
      <c r="F693" s="1">
        <v>9.9156249999999982E-4</v>
      </c>
      <c r="G693" s="37">
        <v>2.17</v>
      </c>
      <c r="H693">
        <v>3.35</v>
      </c>
      <c r="I693" s="37">
        <v>0.84799999999999998</v>
      </c>
      <c r="J693">
        <f t="shared" si="10"/>
        <v>2.8408000000000002</v>
      </c>
    </row>
    <row r="694" spans="1:10" x14ac:dyDescent="0.3">
      <c r="A694" t="s">
        <v>25</v>
      </c>
      <c r="B694" t="s">
        <v>26</v>
      </c>
      <c r="C694" t="s">
        <v>138</v>
      </c>
      <c r="D694" s="22">
        <v>0.57486111111111116</v>
      </c>
      <c r="E694" t="s">
        <v>61</v>
      </c>
      <c r="F694" s="1">
        <v>9.9636574074074081E-4</v>
      </c>
      <c r="G694" s="37">
        <v>2.16</v>
      </c>
      <c r="H694">
        <v>3.36</v>
      </c>
      <c r="I694" s="37">
        <v>0.84799999999999998</v>
      </c>
      <c r="J694">
        <f t="shared" si="10"/>
        <v>2.8492799999999998</v>
      </c>
    </row>
    <row r="695" spans="1:10" x14ac:dyDescent="0.3">
      <c r="A695" t="s">
        <v>25</v>
      </c>
      <c r="B695" t="s">
        <v>26</v>
      </c>
      <c r="C695" t="s">
        <v>138</v>
      </c>
      <c r="D695" s="22">
        <v>0.57486111111111116</v>
      </c>
      <c r="E695" t="s">
        <v>62</v>
      </c>
      <c r="F695" s="1">
        <v>9.9525462962962957E-4</v>
      </c>
      <c r="G695" s="37">
        <v>2.15</v>
      </c>
      <c r="H695">
        <v>3.35</v>
      </c>
      <c r="I695" s="37">
        <v>0.84799999999999998</v>
      </c>
      <c r="J695">
        <f t="shared" si="10"/>
        <v>2.8408000000000002</v>
      </c>
    </row>
    <row r="696" spans="1:10" x14ac:dyDescent="0.3">
      <c r="A696" t="s">
        <v>25</v>
      </c>
      <c r="B696" t="s">
        <v>26</v>
      </c>
      <c r="C696" t="s">
        <v>138</v>
      </c>
      <c r="D696" s="22">
        <v>0.57486111111111116</v>
      </c>
      <c r="E696" t="s">
        <v>63</v>
      </c>
      <c r="F696" s="1">
        <v>9.9348379629629635E-4</v>
      </c>
      <c r="G696" s="37">
        <v>2.17</v>
      </c>
      <c r="H696">
        <v>3.36</v>
      </c>
      <c r="I696" s="37">
        <v>0.84799999999999998</v>
      </c>
      <c r="J696">
        <f t="shared" si="10"/>
        <v>2.8492799999999998</v>
      </c>
    </row>
    <row r="697" spans="1:10" x14ac:dyDescent="0.3">
      <c r="A697" t="s">
        <v>25</v>
      </c>
      <c r="B697" t="s">
        <v>26</v>
      </c>
      <c r="C697" t="s">
        <v>138</v>
      </c>
      <c r="D697" s="22">
        <v>0.57486111111111116</v>
      </c>
      <c r="E697" t="s">
        <v>64</v>
      </c>
      <c r="F697" s="1">
        <v>9.9537037037037042E-4</v>
      </c>
      <c r="G697" s="37">
        <v>2.11</v>
      </c>
      <c r="H697">
        <v>3.28</v>
      </c>
      <c r="I697" s="37">
        <v>0.84799999999999998</v>
      </c>
      <c r="J697">
        <f t="shared" si="10"/>
        <v>2.7814399999999999</v>
      </c>
    </row>
    <row r="698" spans="1:10" x14ac:dyDescent="0.3">
      <c r="A698" t="s">
        <v>104</v>
      </c>
      <c r="B698" t="s">
        <v>105</v>
      </c>
      <c r="C698" t="s">
        <v>138</v>
      </c>
      <c r="D698" t="s">
        <v>160</v>
      </c>
      <c r="E698" t="s">
        <v>8</v>
      </c>
      <c r="F698" s="1">
        <v>1.0106828703703706E-3</v>
      </c>
      <c r="G698" s="37">
        <v>2.2200000000000002</v>
      </c>
      <c r="H698">
        <v>2.9</v>
      </c>
      <c r="I698" s="37">
        <v>0.995</v>
      </c>
      <c r="J698">
        <f t="shared" si="10"/>
        <v>2.8855</v>
      </c>
    </row>
    <row r="699" spans="1:10" x14ac:dyDescent="0.3">
      <c r="A699" t="s">
        <v>104</v>
      </c>
      <c r="B699" t="s">
        <v>105</v>
      </c>
      <c r="C699" t="s">
        <v>138</v>
      </c>
      <c r="D699" t="s">
        <v>160</v>
      </c>
      <c r="E699" t="s">
        <v>9</v>
      </c>
      <c r="F699" s="1">
        <v>9.626273148148147E-4</v>
      </c>
      <c r="G699" s="37">
        <v>2.14</v>
      </c>
      <c r="H699">
        <v>2.79</v>
      </c>
      <c r="I699" s="37">
        <v>0.995</v>
      </c>
      <c r="J699">
        <f t="shared" si="10"/>
        <v>2.7760500000000001</v>
      </c>
    </row>
    <row r="700" spans="1:10" x14ac:dyDescent="0.3">
      <c r="A700" t="s">
        <v>104</v>
      </c>
      <c r="B700" t="s">
        <v>105</v>
      </c>
      <c r="C700" t="s">
        <v>138</v>
      </c>
      <c r="D700" t="s">
        <v>160</v>
      </c>
      <c r="E700" t="s">
        <v>10</v>
      </c>
      <c r="F700" s="1">
        <v>9.6408564814814816E-4</v>
      </c>
      <c r="G700" s="37">
        <v>2.12</v>
      </c>
      <c r="H700">
        <v>2.77</v>
      </c>
      <c r="I700" s="37">
        <v>0.995</v>
      </c>
      <c r="J700">
        <f t="shared" si="10"/>
        <v>2.7561499999999999</v>
      </c>
    </row>
    <row r="701" spans="1:10" x14ac:dyDescent="0.3">
      <c r="A701" t="s">
        <v>104</v>
      </c>
      <c r="B701" t="s">
        <v>105</v>
      </c>
      <c r="C701" t="s">
        <v>138</v>
      </c>
      <c r="D701" t="s">
        <v>160</v>
      </c>
      <c r="E701" t="s">
        <v>15</v>
      </c>
      <c r="F701" s="1">
        <v>9.6511574074074067E-4</v>
      </c>
      <c r="G701" s="37">
        <v>2.17</v>
      </c>
      <c r="H701">
        <v>2.81</v>
      </c>
      <c r="I701" s="37">
        <v>0.995</v>
      </c>
      <c r="J701">
        <f t="shared" si="10"/>
        <v>2.7959499999999999</v>
      </c>
    </row>
    <row r="702" spans="1:10" x14ac:dyDescent="0.3">
      <c r="A702" t="s">
        <v>104</v>
      </c>
      <c r="B702" t="s">
        <v>105</v>
      </c>
      <c r="C702" t="s">
        <v>138</v>
      </c>
      <c r="D702" t="s">
        <v>160</v>
      </c>
      <c r="E702" t="s">
        <v>16</v>
      </c>
      <c r="F702" s="1">
        <v>9.6431712962962975E-4</v>
      </c>
      <c r="G702" s="37">
        <v>2.15</v>
      </c>
      <c r="H702">
        <v>2.8</v>
      </c>
      <c r="I702" s="37">
        <v>0.995</v>
      </c>
      <c r="J702">
        <f t="shared" si="10"/>
        <v>2.786</v>
      </c>
    </row>
    <row r="703" spans="1:10" x14ac:dyDescent="0.3">
      <c r="A703" t="s">
        <v>104</v>
      </c>
      <c r="B703" t="s">
        <v>105</v>
      </c>
      <c r="C703" t="s">
        <v>138</v>
      </c>
      <c r="D703" t="s">
        <v>160</v>
      </c>
      <c r="E703" t="s">
        <v>17</v>
      </c>
      <c r="F703" s="1">
        <v>9.6607638888888882E-4</v>
      </c>
      <c r="G703" s="37">
        <v>2.17</v>
      </c>
      <c r="H703">
        <v>2.82</v>
      </c>
      <c r="I703" s="37">
        <v>0.995</v>
      </c>
      <c r="J703">
        <f t="shared" si="10"/>
        <v>2.8058999999999998</v>
      </c>
    </row>
    <row r="704" spans="1:10" x14ac:dyDescent="0.3">
      <c r="A704" t="s">
        <v>104</v>
      </c>
      <c r="B704" t="s">
        <v>105</v>
      </c>
      <c r="C704" t="s">
        <v>138</v>
      </c>
      <c r="D704" t="s">
        <v>160</v>
      </c>
      <c r="E704" t="s">
        <v>18</v>
      </c>
      <c r="F704" s="1">
        <v>9.6707175925925932E-4</v>
      </c>
      <c r="G704" s="37">
        <v>2.15</v>
      </c>
      <c r="H704">
        <v>2.81</v>
      </c>
      <c r="I704" s="37">
        <v>0.995</v>
      </c>
      <c r="J704">
        <f t="shared" si="10"/>
        <v>2.7959499999999999</v>
      </c>
    </row>
    <row r="705" spans="1:10" x14ac:dyDescent="0.3">
      <c r="A705" t="s">
        <v>104</v>
      </c>
      <c r="B705" t="s">
        <v>105</v>
      </c>
      <c r="C705" t="s">
        <v>138</v>
      </c>
      <c r="D705" t="s">
        <v>160</v>
      </c>
      <c r="E705" t="s">
        <v>19</v>
      </c>
      <c r="F705" s="1">
        <v>9.6703703703703698E-4</v>
      </c>
      <c r="G705" s="37">
        <v>2.17</v>
      </c>
      <c r="H705">
        <v>2.82</v>
      </c>
      <c r="I705" s="37">
        <v>0.995</v>
      </c>
      <c r="J705">
        <f t="shared" si="10"/>
        <v>2.8058999999999998</v>
      </c>
    </row>
    <row r="706" spans="1:10" x14ac:dyDescent="0.3">
      <c r="A706" t="s">
        <v>104</v>
      </c>
      <c r="B706" t="s">
        <v>105</v>
      </c>
      <c r="C706" t="s">
        <v>138</v>
      </c>
      <c r="D706" t="s">
        <v>160</v>
      </c>
      <c r="E706" t="s">
        <v>45</v>
      </c>
      <c r="F706" s="1">
        <v>9.7432870370370371E-4</v>
      </c>
      <c r="G706" s="37">
        <v>2.14</v>
      </c>
      <c r="H706">
        <v>2.79</v>
      </c>
      <c r="I706" s="37">
        <v>0.995</v>
      </c>
      <c r="J706">
        <f t="shared" si="10"/>
        <v>2.7760500000000001</v>
      </c>
    </row>
    <row r="707" spans="1:10" x14ac:dyDescent="0.3">
      <c r="A707" t="s">
        <v>104</v>
      </c>
      <c r="B707" t="s">
        <v>105</v>
      </c>
      <c r="C707" t="s">
        <v>138</v>
      </c>
      <c r="D707" t="s">
        <v>160</v>
      </c>
      <c r="E707" t="s">
        <v>46</v>
      </c>
      <c r="F707" s="1">
        <v>9.7398148148148149E-4</v>
      </c>
      <c r="G707" s="37">
        <v>2.11</v>
      </c>
      <c r="H707">
        <v>2.74</v>
      </c>
      <c r="I707" s="37">
        <v>0.995</v>
      </c>
      <c r="J707">
        <f t="shared" si="10"/>
        <v>2.7263000000000002</v>
      </c>
    </row>
    <row r="708" spans="1:10" x14ac:dyDescent="0.3">
      <c r="A708" t="s">
        <v>104</v>
      </c>
      <c r="B708" t="s">
        <v>105</v>
      </c>
      <c r="C708" t="s">
        <v>138</v>
      </c>
      <c r="D708" t="s">
        <v>160</v>
      </c>
      <c r="E708" t="s">
        <v>47</v>
      </c>
      <c r="F708" s="1">
        <v>9.703819444444445E-4</v>
      </c>
      <c r="G708" s="37">
        <v>2.13</v>
      </c>
      <c r="H708">
        <v>2.79</v>
      </c>
      <c r="I708" s="37">
        <v>0.995</v>
      </c>
      <c r="J708">
        <f t="shared" ref="J708:J732" si="11">H708*I708</f>
        <v>2.7760500000000001</v>
      </c>
    </row>
    <row r="709" spans="1:10" x14ac:dyDescent="0.3">
      <c r="A709" t="s">
        <v>104</v>
      </c>
      <c r="B709" t="s">
        <v>105</v>
      </c>
      <c r="C709" t="s">
        <v>138</v>
      </c>
      <c r="D709" t="s">
        <v>160</v>
      </c>
      <c r="E709" t="s">
        <v>48</v>
      </c>
      <c r="F709" s="1">
        <v>9.7085648148148151E-4</v>
      </c>
      <c r="G709" s="37">
        <v>2.14</v>
      </c>
      <c r="H709">
        <v>2.8</v>
      </c>
      <c r="I709" s="37">
        <v>0.995</v>
      </c>
      <c r="J709">
        <f t="shared" si="11"/>
        <v>2.786</v>
      </c>
    </row>
    <row r="710" spans="1:10" x14ac:dyDescent="0.3">
      <c r="A710" t="s">
        <v>104</v>
      </c>
      <c r="B710" t="s">
        <v>105</v>
      </c>
      <c r="C710" t="s">
        <v>138</v>
      </c>
      <c r="D710" t="s">
        <v>160</v>
      </c>
      <c r="E710" t="s">
        <v>49</v>
      </c>
      <c r="F710" s="1">
        <v>9.7201388888888891E-4</v>
      </c>
      <c r="G710" s="37">
        <v>2.15</v>
      </c>
      <c r="H710">
        <v>2.8</v>
      </c>
      <c r="I710" s="37">
        <v>0.995</v>
      </c>
      <c r="J710">
        <f t="shared" si="11"/>
        <v>2.786</v>
      </c>
    </row>
    <row r="711" spans="1:10" x14ac:dyDescent="0.3">
      <c r="A711" t="s">
        <v>104</v>
      </c>
      <c r="B711" t="s">
        <v>105</v>
      </c>
      <c r="C711" t="s">
        <v>138</v>
      </c>
      <c r="D711" t="s">
        <v>160</v>
      </c>
      <c r="E711" t="s">
        <v>50</v>
      </c>
      <c r="F711" s="1">
        <v>9.7241898148148144E-4</v>
      </c>
      <c r="G711" s="37">
        <v>2.12</v>
      </c>
      <c r="H711">
        <v>2.76</v>
      </c>
      <c r="I711" s="37">
        <v>0.995</v>
      </c>
      <c r="J711">
        <f t="shared" si="11"/>
        <v>2.7462</v>
      </c>
    </row>
    <row r="712" spans="1:10" x14ac:dyDescent="0.3">
      <c r="A712" t="s">
        <v>104</v>
      </c>
      <c r="B712" t="s">
        <v>105</v>
      </c>
      <c r="C712" t="s">
        <v>138</v>
      </c>
      <c r="D712" t="s">
        <v>160</v>
      </c>
      <c r="E712" t="s">
        <v>51</v>
      </c>
      <c r="F712" s="1">
        <v>9.7033564814814823E-4</v>
      </c>
      <c r="G712" s="37">
        <v>2.16</v>
      </c>
      <c r="H712">
        <v>2.81</v>
      </c>
      <c r="I712" s="37">
        <v>0.995</v>
      </c>
      <c r="J712">
        <f t="shared" si="11"/>
        <v>2.7959499999999999</v>
      </c>
    </row>
    <row r="713" spans="1:10" x14ac:dyDescent="0.3">
      <c r="A713" t="s">
        <v>104</v>
      </c>
      <c r="B713" t="s">
        <v>105</v>
      </c>
      <c r="C713" t="s">
        <v>138</v>
      </c>
      <c r="D713" t="s">
        <v>160</v>
      </c>
      <c r="E713" t="s">
        <v>53</v>
      </c>
      <c r="F713" s="1">
        <v>9.6421296296296283E-4</v>
      </c>
      <c r="G713" s="37">
        <v>2.13</v>
      </c>
      <c r="H713">
        <v>2.79</v>
      </c>
      <c r="I713" s="37">
        <v>0.995</v>
      </c>
      <c r="J713">
        <f t="shared" si="11"/>
        <v>2.7760500000000001</v>
      </c>
    </row>
    <row r="714" spans="1:10" x14ac:dyDescent="0.3">
      <c r="A714" t="s">
        <v>104</v>
      </c>
      <c r="B714" t="s">
        <v>105</v>
      </c>
      <c r="C714" t="s">
        <v>138</v>
      </c>
      <c r="D714" t="s">
        <v>160</v>
      </c>
      <c r="E714" t="s">
        <v>54</v>
      </c>
      <c r="F714" s="1">
        <v>9.6626157407407403E-4</v>
      </c>
      <c r="G714" s="37">
        <v>2.12</v>
      </c>
      <c r="H714">
        <v>2.77</v>
      </c>
      <c r="I714" s="37">
        <v>0.995</v>
      </c>
      <c r="J714">
        <f t="shared" si="11"/>
        <v>2.7561499999999999</v>
      </c>
    </row>
    <row r="715" spans="1:10" x14ac:dyDescent="0.3">
      <c r="A715" t="s">
        <v>104</v>
      </c>
      <c r="B715" t="s">
        <v>105</v>
      </c>
      <c r="C715" t="s">
        <v>138</v>
      </c>
      <c r="D715" t="s">
        <v>160</v>
      </c>
      <c r="E715" t="s">
        <v>55</v>
      </c>
      <c r="F715" s="1">
        <v>9.6605324074074074E-4</v>
      </c>
      <c r="G715" s="37">
        <v>2.13</v>
      </c>
      <c r="H715">
        <v>2.77</v>
      </c>
      <c r="I715" s="37">
        <v>0.995</v>
      </c>
      <c r="J715">
        <f t="shared" si="11"/>
        <v>2.7561499999999999</v>
      </c>
    </row>
    <row r="716" spans="1:10" x14ac:dyDescent="0.3">
      <c r="A716" t="s">
        <v>104</v>
      </c>
      <c r="B716" t="s">
        <v>105</v>
      </c>
      <c r="C716" t="s">
        <v>138</v>
      </c>
      <c r="D716" t="s">
        <v>160</v>
      </c>
      <c r="E716" t="s">
        <v>56</v>
      </c>
      <c r="F716" s="1">
        <v>9.7260416666666665E-4</v>
      </c>
      <c r="G716" s="37">
        <v>2.09</v>
      </c>
      <c r="H716">
        <v>2.73</v>
      </c>
      <c r="I716" s="37">
        <v>0.995</v>
      </c>
      <c r="J716">
        <f t="shared" si="11"/>
        <v>2.7163499999999998</v>
      </c>
    </row>
    <row r="717" spans="1:10" x14ac:dyDescent="0.3">
      <c r="A717" t="s">
        <v>104</v>
      </c>
      <c r="B717" t="s">
        <v>105</v>
      </c>
      <c r="C717" t="s">
        <v>138</v>
      </c>
      <c r="D717" t="s">
        <v>160</v>
      </c>
      <c r="E717" t="s">
        <v>57</v>
      </c>
      <c r="F717" s="1">
        <v>9.703819444444445E-4</v>
      </c>
      <c r="G717" s="37">
        <v>2.0699999999999998</v>
      </c>
      <c r="H717">
        <v>2.71</v>
      </c>
      <c r="I717" s="37">
        <v>0.995</v>
      </c>
      <c r="J717">
        <f t="shared" si="11"/>
        <v>2.69645</v>
      </c>
    </row>
    <row r="718" spans="1:10" x14ac:dyDescent="0.3">
      <c r="A718" t="s">
        <v>104</v>
      </c>
      <c r="B718" t="s">
        <v>105</v>
      </c>
      <c r="C718" t="s">
        <v>138</v>
      </c>
      <c r="D718" t="s">
        <v>160</v>
      </c>
      <c r="E718" t="s">
        <v>58</v>
      </c>
      <c r="F718" s="1">
        <v>9.7040509259259259E-4</v>
      </c>
      <c r="G718" s="37">
        <v>2.08</v>
      </c>
      <c r="H718">
        <v>2.72</v>
      </c>
      <c r="I718" s="37">
        <v>0.995</v>
      </c>
      <c r="J718">
        <f t="shared" si="11"/>
        <v>2.7064000000000004</v>
      </c>
    </row>
    <row r="719" spans="1:10" x14ac:dyDescent="0.3">
      <c r="A719" t="s">
        <v>104</v>
      </c>
      <c r="B719" t="s">
        <v>105</v>
      </c>
      <c r="C719" t="s">
        <v>138</v>
      </c>
      <c r="D719" t="s">
        <v>160</v>
      </c>
      <c r="E719" t="s">
        <v>72</v>
      </c>
      <c r="F719" s="1">
        <v>9.7281250000000004E-4</v>
      </c>
      <c r="G719" s="37">
        <v>2.08</v>
      </c>
      <c r="H719">
        <v>2.72</v>
      </c>
      <c r="I719" s="37">
        <v>0.995</v>
      </c>
      <c r="J719">
        <f t="shared" si="11"/>
        <v>2.7064000000000004</v>
      </c>
    </row>
    <row r="720" spans="1:10" x14ac:dyDescent="0.3">
      <c r="A720" t="s">
        <v>104</v>
      </c>
      <c r="B720" t="s">
        <v>105</v>
      </c>
      <c r="C720" t="s">
        <v>138</v>
      </c>
      <c r="D720" t="s">
        <v>160</v>
      </c>
      <c r="E720" t="s">
        <v>59</v>
      </c>
      <c r="F720" s="1">
        <v>9.7049768518518514E-4</v>
      </c>
      <c r="G720" s="37">
        <v>2.1</v>
      </c>
      <c r="H720">
        <v>2.75</v>
      </c>
      <c r="I720" s="37">
        <v>0.995</v>
      </c>
      <c r="J720">
        <f t="shared" si="11"/>
        <v>2.7362500000000001</v>
      </c>
    </row>
    <row r="721" spans="1:10" x14ac:dyDescent="0.3">
      <c r="A721" t="s">
        <v>104</v>
      </c>
      <c r="B721" t="s">
        <v>105</v>
      </c>
      <c r="C721" t="s">
        <v>138</v>
      </c>
      <c r="D721" t="s">
        <v>160</v>
      </c>
      <c r="E721" t="s">
        <v>60</v>
      </c>
      <c r="F721" s="1">
        <v>9.7016203703703706E-4</v>
      </c>
      <c r="G721" s="37">
        <v>2.09</v>
      </c>
      <c r="H721">
        <v>2.72</v>
      </c>
      <c r="I721" s="37">
        <v>0.995</v>
      </c>
      <c r="J721">
        <f t="shared" si="11"/>
        <v>2.7064000000000004</v>
      </c>
    </row>
    <row r="722" spans="1:10" x14ac:dyDescent="0.3">
      <c r="A722" t="s">
        <v>104</v>
      </c>
      <c r="B722" t="s">
        <v>105</v>
      </c>
      <c r="C722" t="s">
        <v>138</v>
      </c>
      <c r="D722" t="s">
        <v>160</v>
      </c>
      <c r="E722" t="s">
        <v>61</v>
      </c>
      <c r="F722" s="1">
        <v>9.7369212962962958E-4</v>
      </c>
      <c r="G722" s="37">
        <v>2.1</v>
      </c>
      <c r="H722">
        <v>2.74</v>
      </c>
      <c r="I722" s="37">
        <v>0.995</v>
      </c>
      <c r="J722">
        <f t="shared" si="11"/>
        <v>2.7263000000000002</v>
      </c>
    </row>
    <row r="723" spans="1:10" x14ac:dyDescent="0.3">
      <c r="A723" t="s">
        <v>104</v>
      </c>
      <c r="B723" t="s">
        <v>105</v>
      </c>
      <c r="C723" t="s">
        <v>138</v>
      </c>
      <c r="D723" t="s">
        <v>160</v>
      </c>
      <c r="E723" t="s">
        <v>62</v>
      </c>
      <c r="F723" s="1">
        <v>9.7079861111111108E-4</v>
      </c>
      <c r="G723" s="37">
        <v>2.1</v>
      </c>
      <c r="H723">
        <v>2.76</v>
      </c>
      <c r="I723" s="37">
        <v>0.995</v>
      </c>
      <c r="J723">
        <f t="shared" si="11"/>
        <v>2.7462</v>
      </c>
    </row>
    <row r="724" spans="1:10" x14ac:dyDescent="0.3">
      <c r="A724" t="s">
        <v>104</v>
      </c>
      <c r="B724" t="s">
        <v>105</v>
      </c>
      <c r="C724" t="s">
        <v>138</v>
      </c>
      <c r="D724" t="s">
        <v>160</v>
      </c>
      <c r="E724" t="s">
        <v>63</v>
      </c>
      <c r="F724" s="1">
        <v>9.7333333333333343E-4</v>
      </c>
      <c r="G724" s="37">
        <v>2.11</v>
      </c>
      <c r="H724">
        <v>2.77</v>
      </c>
      <c r="I724" s="37">
        <v>0.995</v>
      </c>
      <c r="J724">
        <f t="shared" si="11"/>
        <v>2.7561499999999999</v>
      </c>
    </row>
    <row r="725" spans="1:10" x14ac:dyDescent="0.3">
      <c r="A725" t="s">
        <v>104</v>
      </c>
      <c r="B725" t="s">
        <v>105</v>
      </c>
      <c r="C725" t="s">
        <v>138</v>
      </c>
      <c r="D725" t="s">
        <v>160</v>
      </c>
      <c r="E725" t="s">
        <v>64</v>
      </c>
      <c r="F725" s="1">
        <v>9.734606481481481E-4</v>
      </c>
      <c r="G725" s="37">
        <v>2.12</v>
      </c>
      <c r="H725">
        <v>2.77</v>
      </c>
      <c r="I725" s="37">
        <v>0.995</v>
      </c>
      <c r="J725">
        <f t="shared" si="11"/>
        <v>2.7561499999999999</v>
      </c>
    </row>
    <row r="726" spans="1:10" x14ac:dyDescent="0.3">
      <c r="A726" t="s">
        <v>104</v>
      </c>
      <c r="B726" t="s">
        <v>105</v>
      </c>
      <c r="C726" t="s">
        <v>138</v>
      </c>
      <c r="D726" t="s">
        <v>160</v>
      </c>
      <c r="E726" t="s">
        <v>65</v>
      </c>
      <c r="F726" s="1">
        <v>9.7178240740740743E-4</v>
      </c>
      <c r="G726" s="37">
        <v>2.12</v>
      </c>
      <c r="H726">
        <v>2.78</v>
      </c>
      <c r="I726" s="37">
        <v>0.995</v>
      </c>
      <c r="J726">
        <f t="shared" si="11"/>
        <v>2.7660999999999998</v>
      </c>
    </row>
    <row r="727" spans="1:10" x14ac:dyDescent="0.3">
      <c r="A727" t="s">
        <v>104</v>
      </c>
      <c r="B727" t="s">
        <v>105</v>
      </c>
      <c r="C727" t="s">
        <v>138</v>
      </c>
      <c r="D727" t="s">
        <v>160</v>
      </c>
      <c r="E727" t="s">
        <v>66</v>
      </c>
      <c r="F727" s="1">
        <v>9.7196759259259274E-4</v>
      </c>
      <c r="G727" s="37">
        <v>2.09</v>
      </c>
      <c r="H727">
        <v>2.73</v>
      </c>
      <c r="I727" s="37">
        <v>0.995</v>
      </c>
      <c r="J727">
        <f t="shared" si="11"/>
        <v>2.7163499999999998</v>
      </c>
    </row>
    <row r="728" spans="1:10" x14ac:dyDescent="0.3">
      <c r="A728" t="s">
        <v>104</v>
      </c>
      <c r="B728" t="s">
        <v>105</v>
      </c>
      <c r="C728" t="s">
        <v>138</v>
      </c>
      <c r="D728" t="s">
        <v>160</v>
      </c>
      <c r="E728" t="s">
        <v>67</v>
      </c>
      <c r="F728" s="1">
        <v>9.7413194444444435E-4</v>
      </c>
      <c r="G728" s="37">
        <v>2.11</v>
      </c>
      <c r="H728">
        <v>2.76</v>
      </c>
      <c r="I728" s="37">
        <v>0.995</v>
      </c>
      <c r="J728">
        <f t="shared" si="11"/>
        <v>2.7462</v>
      </c>
    </row>
    <row r="729" spans="1:10" x14ac:dyDescent="0.3">
      <c r="A729" t="s">
        <v>104</v>
      </c>
      <c r="B729" t="s">
        <v>105</v>
      </c>
      <c r="C729" t="s">
        <v>138</v>
      </c>
      <c r="D729" t="s">
        <v>160</v>
      </c>
      <c r="E729" t="s">
        <v>68</v>
      </c>
      <c r="F729" s="1">
        <v>9.7328703703703705E-4</v>
      </c>
      <c r="G729" s="37">
        <v>2.13</v>
      </c>
      <c r="H729">
        <v>2.8</v>
      </c>
      <c r="I729" s="37">
        <v>0.995</v>
      </c>
      <c r="J729">
        <f t="shared" si="11"/>
        <v>2.786</v>
      </c>
    </row>
    <row r="730" spans="1:10" x14ac:dyDescent="0.3">
      <c r="A730" t="s">
        <v>104</v>
      </c>
      <c r="B730" t="s">
        <v>105</v>
      </c>
      <c r="C730" t="s">
        <v>138</v>
      </c>
      <c r="D730" t="s">
        <v>160</v>
      </c>
      <c r="E730" t="s">
        <v>69</v>
      </c>
      <c r="F730" s="1">
        <v>9.7351851851851842E-4</v>
      </c>
      <c r="G730" s="37">
        <v>2.11</v>
      </c>
      <c r="H730">
        <v>2.77</v>
      </c>
      <c r="I730" s="37">
        <v>0.995</v>
      </c>
      <c r="J730">
        <f t="shared" si="11"/>
        <v>2.7561499999999999</v>
      </c>
    </row>
    <row r="731" spans="1:10" x14ac:dyDescent="0.3">
      <c r="A731" t="s">
        <v>104</v>
      </c>
      <c r="B731" t="s">
        <v>105</v>
      </c>
      <c r="C731" t="s">
        <v>138</v>
      </c>
      <c r="D731" t="s">
        <v>160</v>
      </c>
      <c r="E731" t="s">
        <v>70</v>
      </c>
      <c r="F731" s="1">
        <v>9.7535879629629633E-4</v>
      </c>
      <c r="G731" s="37">
        <v>2.1</v>
      </c>
      <c r="H731">
        <v>2.76</v>
      </c>
      <c r="I731" s="37">
        <v>0.995</v>
      </c>
      <c r="J731">
        <f t="shared" si="11"/>
        <v>2.7462</v>
      </c>
    </row>
    <row r="732" spans="1:10" x14ac:dyDescent="0.3">
      <c r="A732" t="s">
        <v>104</v>
      </c>
      <c r="B732" t="s">
        <v>105</v>
      </c>
      <c r="C732" t="s">
        <v>138</v>
      </c>
      <c r="D732" t="s">
        <v>160</v>
      </c>
      <c r="E732" t="s">
        <v>71</v>
      </c>
      <c r="F732" s="1">
        <v>9.7361111111111118E-4</v>
      </c>
      <c r="G732" s="37">
        <v>2.11</v>
      </c>
      <c r="H732">
        <v>2.78</v>
      </c>
      <c r="I732" s="37">
        <v>0.995</v>
      </c>
      <c r="J732">
        <f t="shared" si="11"/>
        <v>2.7660999999999998</v>
      </c>
    </row>
    <row r="733" spans="1:10" x14ac:dyDescent="0.3">
      <c r="F733" s="1"/>
    </row>
    <row r="734" spans="1:10" x14ac:dyDescent="0.3">
      <c r="F734" s="1"/>
    </row>
    <row r="735" spans="1:10" x14ac:dyDescent="0.3">
      <c r="F735" s="1"/>
    </row>
    <row r="736" spans="1:10" x14ac:dyDescent="0.3">
      <c r="F736" s="1"/>
    </row>
    <row r="737" spans="6:6" x14ac:dyDescent="0.3">
      <c r="F737" s="1"/>
    </row>
    <row r="738" spans="6:6" x14ac:dyDescent="0.3">
      <c r="F738" s="1"/>
    </row>
    <row r="739" spans="6:6" x14ac:dyDescent="0.3">
      <c r="F739" s="1"/>
    </row>
    <row r="740" spans="6:6" x14ac:dyDescent="0.3">
      <c r="F740" s="1"/>
    </row>
    <row r="741" spans="6:6" x14ac:dyDescent="0.3">
      <c r="F741" s="1"/>
    </row>
    <row r="742" spans="6:6" x14ac:dyDescent="0.3">
      <c r="F742" s="1"/>
    </row>
    <row r="743" spans="6:6" x14ac:dyDescent="0.3">
      <c r="F743" s="1"/>
    </row>
    <row r="744" spans="6:6" x14ac:dyDescent="0.3">
      <c r="F744" s="1"/>
    </row>
    <row r="745" spans="6:6" x14ac:dyDescent="0.3">
      <c r="F745" s="1"/>
    </row>
    <row r="746" spans="6:6" x14ac:dyDescent="0.3">
      <c r="F746" s="1"/>
    </row>
    <row r="747" spans="6:6" x14ac:dyDescent="0.3">
      <c r="F747" s="1"/>
    </row>
    <row r="748" spans="6:6" x14ac:dyDescent="0.3">
      <c r="F748" s="1"/>
    </row>
    <row r="749" spans="6:6" x14ac:dyDescent="0.3">
      <c r="F749" s="1"/>
    </row>
    <row r="750" spans="6:6" x14ac:dyDescent="0.3">
      <c r="F750" s="1"/>
    </row>
    <row r="751" spans="6:6" x14ac:dyDescent="0.3">
      <c r="F751" s="1"/>
    </row>
    <row r="752" spans="6:6" x14ac:dyDescent="0.3">
      <c r="F752" s="1"/>
    </row>
    <row r="753" spans="6:6" x14ac:dyDescent="0.3">
      <c r="F753" s="1"/>
    </row>
    <row r="754" spans="6:6" x14ac:dyDescent="0.3">
      <c r="F754" s="1"/>
    </row>
    <row r="755" spans="6:6" x14ac:dyDescent="0.3">
      <c r="F755" s="1"/>
    </row>
    <row r="756" spans="6:6" x14ac:dyDescent="0.3">
      <c r="F756" s="1"/>
    </row>
    <row r="757" spans="6:6" x14ac:dyDescent="0.3">
      <c r="F757" s="1"/>
    </row>
    <row r="758" spans="6:6" x14ac:dyDescent="0.3">
      <c r="F758" s="1"/>
    </row>
    <row r="759" spans="6:6" x14ac:dyDescent="0.3">
      <c r="F759" s="1"/>
    </row>
    <row r="760" spans="6:6" x14ac:dyDescent="0.3">
      <c r="F760" s="1"/>
    </row>
    <row r="761" spans="6:6" x14ac:dyDescent="0.3">
      <c r="F761" s="1"/>
    </row>
    <row r="762" spans="6:6" x14ac:dyDescent="0.3">
      <c r="F762" s="1"/>
    </row>
    <row r="763" spans="6:6" x14ac:dyDescent="0.3">
      <c r="F763" s="1"/>
    </row>
    <row r="764" spans="6:6" x14ac:dyDescent="0.3">
      <c r="F764" s="1"/>
    </row>
    <row r="765" spans="6:6" x14ac:dyDescent="0.3">
      <c r="F765" s="1"/>
    </row>
    <row r="766" spans="6:6" x14ac:dyDescent="0.3">
      <c r="F766" s="1"/>
    </row>
    <row r="767" spans="6:6" x14ac:dyDescent="0.3">
      <c r="F767" s="1"/>
    </row>
    <row r="768" spans="6:6" x14ac:dyDescent="0.3">
      <c r="F768" s="1"/>
    </row>
    <row r="769" spans="6:6" x14ac:dyDescent="0.3">
      <c r="F769" s="1"/>
    </row>
    <row r="770" spans="6:6" x14ac:dyDescent="0.3">
      <c r="F770" s="1"/>
    </row>
    <row r="771" spans="6:6" x14ac:dyDescent="0.3">
      <c r="F771" s="1"/>
    </row>
    <row r="772" spans="6:6" x14ac:dyDescent="0.3">
      <c r="F772" s="1"/>
    </row>
    <row r="773" spans="6:6" x14ac:dyDescent="0.3">
      <c r="F773" s="1"/>
    </row>
    <row r="774" spans="6:6" x14ac:dyDescent="0.3">
      <c r="F774" s="1"/>
    </row>
    <row r="775" spans="6:6" x14ac:dyDescent="0.3">
      <c r="F775" s="1"/>
    </row>
    <row r="776" spans="6:6" x14ac:dyDescent="0.3">
      <c r="F776" s="1"/>
    </row>
    <row r="777" spans="6:6" x14ac:dyDescent="0.3">
      <c r="F777" s="1"/>
    </row>
    <row r="778" spans="6:6" x14ac:dyDescent="0.3">
      <c r="F778" s="1"/>
    </row>
    <row r="779" spans="6:6" x14ac:dyDescent="0.3">
      <c r="F779" s="1"/>
    </row>
    <row r="780" spans="6:6" x14ac:dyDescent="0.3">
      <c r="F780" s="1"/>
    </row>
    <row r="781" spans="6:6" x14ac:dyDescent="0.3">
      <c r="F781" s="1"/>
    </row>
    <row r="782" spans="6:6" x14ac:dyDescent="0.3">
      <c r="F782" s="1"/>
    </row>
    <row r="783" spans="6:6" x14ac:dyDescent="0.3">
      <c r="F783" s="1"/>
    </row>
    <row r="784" spans="6:6" x14ac:dyDescent="0.3">
      <c r="F784" s="1"/>
    </row>
    <row r="785" spans="6:6" x14ac:dyDescent="0.3">
      <c r="F785" s="1"/>
    </row>
    <row r="786" spans="6:6" x14ac:dyDescent="0.3">
      <c r="F786" s="1"/>
    </row>
    <row r="787" spans="6:6" x14ac:dyDescent="0.3">
      <c r="F787" s="1"/>
    </row>
    <row r="788" spans="6:6" x14ac:dyDescent="0.3">
      <c r="F788" s="1"/>
    </row>
    <row r="789" spans="6:6" x14ac:dyDescent="0.3">
      <c r="F789" s="1"/>
    </row>
    <row r="790" spans="6:6" x14ac:dyDescent="0.3">
      <c r="F790" s="1"/>
    </row>
    <row r="791" spans="6:6" x14ac:dyDescent="0.3">
      <c r="F791" s="1"/>
    </row>
    <row r="792" spans="6:6" x14ac:dyDescent="0.3">
      <c r="F792" s="1"/>
    </row>
    <row r="793" spans="6:6" x14ac:dyDescent="0.3">
      <c r="F793" s="1"/>
    </row>
    <row r="794" spans="6:6" x14ac:dyDescent="0.3">
      <c r="F794" s="1"/>
    </row>
    <row r="795" spans="6:6" x14ac:dyDescent="0.3">
      <c r="F795" s="1"/>
    </row>
    <row r="796" spans="6:6" x14ac:dyDescent="0.3">
      <c r="F796" s="1"/>
    </row>
    <row r="797" spans="6:6" x14ac:dyDescent="0.3">
      <c r="F797" s="1"/>
    </row>
    <row r="798" spans="6:6" x14ac:dyDescent="0.3">
      <c r="F798" s="1"/>
    </row>
    <row r="799" spans="6:6" x14ac:dyDescent="0.3">
      <c r="F799" s="1"/>
    </row>
    <row r="800" spans="6:6" x14ac:dyDescent="0.3">
      <c r="F800" s="1"/>
    </row>
  </sheetData>
  <conditionalFormatting sqref="G1:G1048576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B16B-EC52-413D-9167-446648D4890C}">
  <sheetPr>
    <tabColor theme="0"/>
  </sheetPr>
  <dimension ref="B2:AV64"/>
  <sheetViews>
    <sheetView showGridLines="0" zoomScaleNormal="100" workbookViewId="0">
      <selection activeCell="K17" sqref="K17:K19"/>
    </sheetView>
  </sheetViews>
  <sheetFormatPr defaultRowHeight="14.4" x14ac:dyDescent="0.3"/>
  <cols>
    <col min="2" max="2" width="23.109375" customWidth="1"/>
    <col min="5" max="5" width="8.77734375" customWidth="1"/>
    <col min="6" max="6" width="9.6640625" customWidth="1"/>
    <col min="10" max="10" width="9.21875" customWidth="1"/>
    <col min="12" max="12" width="10.109375" customWidth="1"/>
    <col min="13" max="13" width="10.33203125" customWidth="1"/>
    <col min="14" max="14" width="9.77734375" customWidth="1"/>
    <col min="16" max="16" width="9.21875" customWidth="1"/>
    <col min="17" max="17" width="9.5546875" customWidth="1"/>
    <col min="20" max="20" width="8.77734375" customWidth="1"/>
    <col min="24" max="24" width="25.88671875" customWidth="1"/>
    <col min="25" max="25" width="16.21875" customWidth="1"/>
    <col min="26" max="26" width="4.44140625" customWidth="1"/>
    <col min="27" max="27" width="16.88671875" bestFit="1" customWidth="1"/>
    <col min="28" max="28" width="13.88671875" customWidth="1"/>
    <col min="29" max="29" width="3.6640625" customWidth="1"/>
    <col min="30" max="30" width="13.44140625" customWidth="1"/>
    <col min="31" max="36" width="9" customWidth="1"/>
  </cols>
  <sheetData>
    <row r="2" spans="2:48" ht="21" x14ac:dyDescent="0.4">
      <c r="B2" s="2" t="s">
        <v>28</v>
      </c>
    </row>
    <row r="3" spans="2:48" ht="21" x14ac:dyDescent="0.4">
      <c r="B3" s="2"/>
    </row>
    <row r="4" spans="2:48" x14ac:dyDescent="0.3">
      <c r="B4" s="81" t="s">
        <v>124</v>
      </c>
      <c r="C4" s="50">
        <v>61</v>
      </c>
      <c r="AA4" s="23"/>
      <c r="AB4" s="60"/>
    </row>
    <row r="5" spans="2:48" x14ac:dyDescent="0.3">
      <c r="B5" s="81" t="s">
        <v>161</v>
      </c>
      <c r="C5" s="50">
        <v>1.5</v>
      </c>
      <c r="AA5" s="23"/>
      <c r="AB5" s="60"/>
    </row>
    <row r="6" spans="2:48" ht="15" thickBot="1" x14ac:dyDescent="0.35">
      <c r="B6" s="81" t="s">
        <v>128</v>
      </c>
      <c r="C6" s="50">
        <v>131.5</v>
      </c>
      <c r="AA6" s="23"/>
      <c r="AB6" s="60"/>
    </row>
    <row r="7" spans="2:48" ht="15" thickBot="1" x14ac:dyDescent="0.35">
      <c r="B7" s="81" t="s">
        <v>127</v>
      </c>
      <c r="C7" s="50">
        <v>25</v>
      </c>
      <c r="AS7" s="19" t="s">
        <v>30</v>
      </c>
      <c r="AT7" s="7" t="s">
        <v>31</v>
      </c>
      <c r="AU7" s="8" t="s">
        <v>29</v>
      </c>
    </row>
    <row r="8" spans="2:48" x14ac:dyDescent="0.3">
      <c r="B8" s="81" t="s">
        <v>126</v>
      </c>
      <c r="C8" s="50">
        <v>2</v>
      </c>
      <c r="AS8" s="20"/>
      <c r="AT8" s="20"/>
      <c r="AU8" s="20"/>
    </row>
    <row r="9" spans="2:48" s="38" customFormat="1" x14ac:dyDescent="0.3">
      <c r="B9" s="81" t="s">
        <v>116</v>
      </c>
      <c r="C9" s="82">
        <f>FuelDensity/1000</f>
        <v>0.78964600000000007</v>
      </c>
      <c r="F9" s="41"/>
      <c r="V9"/>
      <c r="AP9" s="41"/>
      <c r="AQ9" s="42"/>
      <c r="AR9" s="41" t="s">
        <v>7</v>
      </c>
      <c r="AS9" s="42" t="e">
        <f>#REF!</f>
        <v>#REF!</v>
      </c>
      <c r="AT9" s="42" t="e">
        <f>#REF!</f>
        <v>#REF!</v>
      </c>
      <c r="AU9" s="42" t="e">
        <f>#REF!</f>
        <v>#REF!</v>
      </c>
    </row>
    <row r="10" spans="2:48" ht="17.399999999999999" customHeight="1" x14ac:dyDescent="0.3"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AP10" s="20"/>
      <c r="AQ10" s="3"/>
      <c r="AR10" s="20" t="s">
        <v>8</v>
      </c>
      <c r="AS10" s="3" t="e">
        <f>#REF!</f>
        <v>#REF!</v>
      </c>
      <c r="AT10" s="3" t="e">
        <f>#REF!</f>
        <v>#REF!</v>
      </c>
      <c r="AU10" s="3" t="e">
        <f>#REF!</f>
        <v>#REF!</v>
      </c>
    </row>
    <row r="11" spans="2:48" ht="17.399999999999999" customHeight="1" x14ac:dyDescent="0.35">
      <c r="B11" s="84" t="s">
        <v>135</v>
      </c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AP11" s="20"/>
      <c r="AQ11" s="3"/>
      <c r="AR11" s="20"/>
      <c r="AS11" s="3"/>
      <c r="AT11" s="3"/>
      <c r="AU11" s="3"/>
    </row>
    <row r="12" spans="2:48" ht="17.399999999999999" customHeight="1" x14ac:dyDescent="0.3">
      <c r="B12" t="s">
        <v>172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AP12" s="20"/>
      <c r="AQ12" s="3"/>
      <c r="AR12" s="20"/>
      <c r="AS12" s="3"/>
      <c r="AT12" s="3"/>
      <c r="AU12" s="3"/>
    </row>
    <row r="13" spans="2:48" ht="17.399999999999999" customHeight="1" x14ac:dyDescent="0.3">
      <c r="B13" s="23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AP13" s="20"/>
      <c r="AQ13" s="3"/>
      <c r="AR13" s="20"/>
      <c r="AS13" s="3"/>
      <c r="AT13" s="3"/>
      <c r="AU13" s="3"/>
    </row>
    <row r="14" spans="2:48" ht="17.399999999999999" customHeight="1" thickBot="1" x14ac:dyDescent="0.35">
      <c r="B14" s="23"/>
      <c r="C14" s="23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AQ14" s="20"/>
      <c r="AR14" s="3"/>
      <c r="AS14" s="20"/>
      <c r="AT14" s="3"/>
      <c r="AU14" s="3"/>
      <c r="AV14" s="3"/>
    </row>
    <row r="15" spans="2:48" ht="21.6" thickBot="1" x14ac:dyDescent="0.35">
      <c r="F15" s="38"/>
      <c r="G15" s="89" t="s">
        <v>123</v>
      </c>
      <c r="H15" s="90"/>
      <c r="I15" s="90"/>
      <c r="J15" s="90"/>
      <c r="K15" s="91"/>
      <c r="L15" s="38"/>
      <c r="M15" s="89" t="s">
        <v>122</v>
      </c>
      <c r="N15" s="90"/>
      <c r="O15" s="90"/>
      <c r="P15" s="90"/>
      <c r="Q15" s="91"/>
      <c r="AQ15" s="20"/>
      <c r="AR15" s="3"/>
      <c r="AS15" s="20" t="s">
        <v>9</v>
      </c>
      <c r="AT15" s="3" t="e">
        <f>#REF!</f>
        <v>#REF!</v>
      </c>
      <c r="AU15" s="3" t="e">
        <f>#REF!</f>
        <v>#REF!</v>
      </c>
      <c r="AV15" s="3" t="e">
        <f>#REF!</f>
        <v>#REF!</v>
      </c>
    </row>
    <row r="16" spans="2:48" ht="43.8" thickBot="1" x14ac:dyDescent="0.35">
      <c r="B16" s="80" t="s">
        <v>130</v>
      </c>
      <c r="C16" s="39" t="s">
        <v>137</v>
      </c>
      <c r="D16" s="39" t="s">
        <v>108</v>
      </c>
      <c r="E16" s="58" t="s">
        <v>129</v>
      </c>
      <c r="F16" s="38"/>
      <c r="G16" s="76" t="s">
        <v>125</v>
      </c>
      <c r="H16" s="40" t="s">
        <v>118</v>
      </c>
      <c r="I16" s="40" t="s">
        <v>119</v>
      </c>
      <c r="J16" s="40" t="s">
        <v>120</v>
      </c>
      <c r="K16" s="58" t="s">
        <v>121</v>
      </c>
      <c r="L16" s="38"/>
      <c r="M16" s="76" t="s">
        <v>125</v>
      </c>
      <c r="N16" s="40" t="s">
        <v>118</v>
      </c>
      <c r="O16" s="40" t="s">
        <v>119</v>
      </c>
      <c r="P16" s="40" t="s">
        <v>120</v>
      </c>
      <c r="Q16" s="58" t="s">
        <v>121</v>
      </c>
      <c r="AQ16" s="20"/>
      <c r="AR16" s="3"/>
      <c r="AS16" s="20" t="s">
        <v>10</v>
      </c>
      <c r="AT16" s="3" t="e">
        <f>#REF!</f>
        <v>#REF!</v>
      </c>
      <c r="AU16" s="3" t="e">
        <f>#REF!</f>
        <v>#REF!</v>
      </c>
      <c r="AV16" s="3" t="e">
        <f>#REF!</f>
        <v>#REF!</v>
      </c>
    </row>
    <row r="17" spans="2:48" x14ac:dyDescent="0.3">
      <c r="B17" s="61" t="s">
        <v>30</v>
      </c>
      <c r="C17" s="66" cm="1">
        <f t="array" ref="C17">_xlfn.LET(_xlpm.data, $W$43:$AB$62,
     _xlpm.filtered, _xlfn._xlws.FILTER(_xlpm.data, $W$43:$W$62='FC R12'!$B17),
     _xlpm.EOL, _xlfn.CHOOSECOLS(_xlpm.filtered,3),
AVERAGE(_xlpm.EOL))</f>
        <v>2.139577205882353</v>
      </c>
      <c r="D17" s="66" cm="1">
        <f t="array" ref="D17">_xlfn.LET(_xlpm.data, $W$43:$AB$62,
     _xlpm.filtered, _xlfn._xlws.FILTER(_xlpm.data, $W$43:$W$62='FC R12'!$B17),
     _xlpm.EOL, _xlfn.CHOOSECOLS(_xlpm.filtered,5),
AVERAGE(_xlpm.EOL))</f>
        <v>2.70953972524695</v>
      </c>
      <c r="E17" s="43" cm="1">
        <f t="array" ref="E17">_xlfn.LET(_xlpm.data, $W$43:$AB$62,
     _xlpm.filtered, _xlfn._xlws.FILTER(_xlpm.data, $W$43:$W$62='FC R12'!$B17),
     _xlpm.EOL, _xlfn.CHOOSECOLS(_xlpm.filtered,5),
MAX(_xlpm.EOL))</f>
        <v>2.7879209015625914</v>
      </c>
      <c r="F17" s="38"/>
      <c r="G17" s="77">
        <f>D17*$C$4</f>
        <v>165.28192324006395</v>
      </c>
      <c r="H17" s="67">
        <f>D17*$C$5</f>
        <v>4.064309587870425</v>
      </c>
      <c r="I17" s="68">
        <f>SUM(G17:H17)</f>
        <v>169.34623282793436</v>
      </c>
      <c r="J17" s="67">
        <f>I17-$C$6</f>
        <v>37.846232827934358</v>
      </c>
      <c r="K17" s="69">
        <f>J17/$C$7</f>
        <v>1.5138493131173743</v>
      </c>
      <c r="L17" s="38"/>
      <c r="M17" s="77">
        <f>E17*$C$4</f>
        <v>170.06317499531806</v>
      </c>
      <c r="N17" s="67">
        <f>E17*1.5</f>
        <v>4.1818813523438871</v>
      </c>
      <c r="O17" s="68">
        <f>SUM(M17:N17)</f>
        <v>174.24505634766194</v>
      </c>
      <c r="P17" s="67">
        <f>O17-$C$6</f>
        <v>42.745056347661944</v>
      </c>
      <c r="Q17" s="69">
        <f>P17/$C$7</f>
        <v>1.7098022539064777</v>
      </c>
      <c r="AQ17" s="20"/>
      <c r="AR17" s="3"/>
      <c r="AS17" s="20" t="s">
        <v>15</v>
      </c>
      <c r="AT17" s="3" t="e">
        <f>#REF!</f>
        <v>#REF!</v>
      </c>
      <c r="AU17" s="3" t="e">
        <f>#REF!</f>
        <v>#REF!</v>
      </c>
      <c r="AV17" s="3" t="e">
        <f>#REF!</f>
        <v>#REF!</v>
      </c>
    </row>
    <row r="18" spans="2:48" x14ac:dyDescent="0.3">
      <c r="B18" s="62" t="s">
        <v>31</v>
      </c>
      <c r="C18" s="70" cm="1">
        <f t="array" ref="C18">_xlfn.LET(_xlpm.data, $W$43:$AB$62,
     _xlpm.filtered, _xlfn._xlws.FILTER(_xlpm.data, $W$43:$W$62='FC R12'!$B18),
     _xlpm.EOL, _xlfn.CHOOSECOLS(_xlpm.filtered,3),
AVERAGE(_xlpm.EOL))</f>
        <v>2.1655034377387321</v>
      </c>
      <c r="D18" s="70" cm="1">
        <f t="array" ref="D18">_xlfn.LET(_xlpm.data, $W$43:$AB$62,
     _xlpm.filtered, _xlfn._xlws.FILTER(_xlpm.data, $W$43:$W$62='FC R12'!$B18),
     _xlpm.EOL, _xlfn.CHOOSECOLS(_xlpm.filtered,5),
AVERAGE(_xlpm.EOL))</f>
        <v>2.7423724526417304</v>
      </c>
      <c r="E18" s="44" cm="1">
        <f t="array" ref="E18">_xlfn.LET(_xlpm.data, $W$43:$AB$62,
     _xlpm.filtered, _xlfn._xlws.FILTER(_xlpm.data, $W$43:$W$62='FC R12'!$B18),
     _xlpm.EOL, _xlfn.CHOOSECOLS(_xlpm.filtered,5),
MAX(_xlpm.EOL))</f>
        <v>2.7901557078965085</v>
      </c>
      <c r="F18" s="38"/>
      <c r="G18" s="78">
        <f>D18*$C$4</f>
        <v>167.28471961114556</v>
      </c>
      <c r="H18" s="64">
        <f t="shared" ref="H18:H19" si="0">D18*$C$5</f>
        <v>4.1135586789625957</v>
      </c>
      <c r="I18" s="65">
        <f t="shared" ref="I18:I19" si="1">SUM(G18:H18)</f>
        <v>171.39827829010815</v>
      </c>
      <c r="J18" s="64">
        <f>I18-$C$6</f>
        <v>39.898278290108152</v>
      </c>
      <c r="K18" s="71">
        <f>J18/$C$7</f>
        <v>1.5959311316043261</v>
      </c>
      <c r="L18" s="38"/>
      <c r="M18" s="78">
        <f>E18*$C$4</f>
        <v>170.19949818168701</v>
      </c>
      <c r="N18" s="64">
        <f t="shared" ref="N18:N19" si="2">E18*1.5</f>
        <v>4.1852335618447629</v>
      </c>
      <c r="O18" s="65">
        <f t="shared" ref="O18:O19" si="3">SUM(M18:N18)</f>
        <v>174.38473174353177</v>
      </c>
      <c r="P18" s="64">
        <f>O18-$C$6</f>
        <v>42.884731743531773</v>
      </c>
      <c r="Q18" s="71">
        <f>P18/$C$7</f>
        <v>1.7153892697412709</v>
      </c>
      <c r="AQ18" s="20"/>
      <c r="AR18" s="3"/>
      <c r="AS18" s="20" t="s">
        <v>16</v>
      </c>
      <c r="AT18" s="3" t="e">
        <f>#REF!</f>
        <v>#REF!</v>
      </c>
      <c r="AU18" s="3" t="e">
        <f>#REF!</f>
        <v>#REF!</v>
      </c>
      <c r="AV18" s="3" t="e">
        <f>#REF!</f>
        <v>#REF!</v>
      </c>
    </row>
    <row r="19" spans="2:48" ht="15" thickBot="1" x14ac:dyDescent="0.35">
      <c r="B19" s="63" t="s">
        <v>29</v>
      </c>
      <c r="C19" s="72" cm="1">
        <f t="array" ref="C19">_xlfn.LET(_xlpm.data, $W$43:$AB$62,
     _xlpm.filtered, _xlfn._xlws.FILTER(_xlpm.data, $W$43:$W$62='FC R12'!$B19),
     _xlpm.EOL, _xlfn.CHOOSECOLS(_xlpm.filtered,3),
AVERAGE(_xlpm.EOL))</f>
        <v>2.1879745989304813</v>
      </c>
      <c r="D19" s="72" cm="1">
        <f t="array" ref="D19">_xlfn.LET(_xlpm.data, $W$43:$AB$62,
     _xlpm.filtered, _xlfn._xlws.FILTER(_xlpm.data, $W$43:$W$62='FC R12'!$B19),
     _xlpm.EOL, _xlfn.CHOOSECOLS(_xlpm.filtered,5),
AVERAGE(_xlpm.EOL))</f>
        <v>2.7708297122134238</v>
      </c>
      <c r="E19" s="45" cm="1">
        <f t="array" ref="E19">_xlfn.LET(_xlpm.data, $W$43:$AB$62,
     _xlpm.filtered, _xlfn._xlws.FILTER(_xlpm.data, $W$43:$W$62='FC R12'!$B19),
     _xlpm.EOL, _xlfn.CHOOSECOLS(_xlpm.filtered,5),
MAX(_xlpm.EOL))</f>
        <v>2.8031920781776973</v>
      </c>
      <c r="F19" s="38"/>
      <c r="G19" s="79">
        <f>D19*$C$4</f>
        <v>169.02061244501886</v>
      </c>
      <c r="H19" s="73">
        <f t="shared" si="0"/>
        <v>4.1562445683201359</v>
      </c>
      <c r="I19" s="74">
        <f t="shared" si="1"/>
        <v>173.176857013339</v>
      </c>
      <c r="J19" s="73">
        <f>I19-$C$6</f>
        <v>41.676857013339003</v>
      </c>
      <c r="K19" s="75">
        <f>J19/$C$7</f>
        <v>1.6670742805335601</v>
      </c>
      <c r="L19" s="38"/>
      <c r="M19" s="79">
        <f>E19*$C$4</f>
        <v>170.99471676883954</v>
      </c>
      <c r="N19" s="73">
        <f t="shared" si="2"/>
        <v>4.2047881172665456</v>
      </c>
      <c r="O19" s="74">
        <f t="shared" si="3"/>
        <v>175.19950488610607</v>
      </c>
      <c r="P19" s="73">
        <f>O19-$C$6</f>
        <v>43.69950488610607</v>
      </c>
      <c r="Q19" s="75">
        <f>P19/$C$7</f>
        <v>1.7479801954442429</v>
      </c>
      <c r="AQ19" s="20"/>
      <c r="AR19" s="3"/>
      <c r="AS19" s="20" t="s">
        <v>17</v>
      </c>
      <c r="AT19" s="3" t="e">
        <f>#REF!</f>
        <v>#REF!</v>
      </c>
      <c r="AU19" s="3" t="e">
        <f>#REF!</f>
        <v>#REF!</v>
      </c>
      <c r="AV19" s="3" t="e">
        <f>#REF!</f>
        <v>#REF!</v>
      </c>
    </row>
    <row r="20" spans="2:48" x14ac:dyDescent="0.3">
      <c r="B20" t="s">
        <v>133</v>
      </c>
      <c r="L20" s="38"/>
      <c r="AQ20" s="20"/>
      <c r="AR20" s="3"/>
      <c r="AS20" s="20" t="s">
        <v>18</v>
      </c>
      <c r="AT20" s="3" t="e">
        <f>#REF!</f>
        <v>#REF!</v>
      </c>
      <c r="AU20" s="3" t="e">
        <f>#REF!</f>
        <v>#REF!</v>
      </c>
      <c r="AV20" s="3" t="e">
        <f>#REF!</f>
        <v>#REF!</v>
      </c>
    </row>
    <row r="21" spans="2:48" x14ac:dyDescent="0.3">
      <c r="AQ21" s="20"/>
      <c r="AR21" s="3"/>
      <c r="AS21" s="20" t="s">
        <v>19</v>
      </c>
      <c r="AT21" s="3" t="e">
        <f>#REF!</f>
        <v>#REF!</v>
      </c>
      <c r="AU21" s="3" t="e">
        <f>#REF!</f>
        <v>#REF!</v>
      </c>
      <c r="AV21" s="3" t="e">
        <f>#REF!</f>
        <v>#REF!</v>
      </c>
    </row>
    <row r="22" spans="2:48" x14ac:dyDescent="0.3">
      <c r="AQ22" s="20"/>
      <c r="AR22" s="3"/>
      <c r="AS22" s="20"/>
      <c r="AT22" s="3"/>
      <c r="AU22" s="3"/>
      <c r="AV22" s="3"/>
    </row>
    <row r="23" spans="2:48" x14ac:dyDescent="0.3">
      <c r="AQ23" s="20"/>
      <c r="AR23" s="3"/>
      <c r="AS23" s="20"/>
      <c r="AT23" s="3"/>
      <c r="AU23" s="3"/>
      <c r="AV23" s="3"/>
    </row>
    <row r="24" spans="2:48" x14ac:dyDescent="0.3">
      <c r="AQ24" s="20"/>
      <c r="AR24" s="3"/>
      <c r="AS24" s="20"/>
      <c r="AT24" s="3"/>
      <c r="AU24" s="3"/>
      <c r="AV24" s="3"/>
    </row>
    <row r="25" spans="2:48" x14ac:dyDescent="0.3">
      <c r="AQ25" s="20"/>
      <c r="AR25" s="3"/>
      <c r="AS25" s="20"/>
      <c r="AT25" s="3"/>
      <c r="AU25" s="3"/>
      <c r="AV25" s="3"/>
    </row>
    <row r="26" spans="2:48" x14ac:dyDescent="0.3">
      <c r="AQ26" s="20"/>
      <c r="AR26" s="3"/>
      <c r="AS26" s="20"/>
      <c r="AT26" s="3"/>
      <c r="AU26" s="3"/>
      <c r="AV26" s="3"/>
    </row>
    <row r="27" spans="2:48" ht="15" thickBot="1" x14ac:dyDescent="0.35">
      <c r="AQ27" s="20"/>
      <c r="AR27" s="3"/>
      <c r="AS27" s="20"/>
      <c r="AT27" s="3"/>
      <c r="AU27" s="3"/>
      <c r="AV27" s="3"/>
    </row>
    <row r="28" spans="2:48" ht="21.6" thickBot="1" x14ac:dyDescent="0.35">
      <c r="F28" s="38"/>
      <c r="G28" s="89" t="s">
        <v>123</v>
      </c>
      <c r="H28" s="90"/>
      <c r="I28" s="90"/>
      <c r="J28" s="90"/>
      <c r="K28" s="91"/>
      <c r="L28" s="38"/>
      <c r="M28" s="89" t="s">
        <v>122</v>
      </c>
      <c r="N28" s="90"/>
      <c r="O28" s="90"/>
      <c r="P28" s="90"/>
      <c r="Q28" s="91"/>
    </row>
    <row r="29" spans="2:48" ht="43.8" thickBot="1" x14ac:dyDescent="0.35">
      <c r="B29" s="80" t="s">
        <v>117</v>
      </c>
      <c r="C29" s="80"/>
      <c r="D29" s="39" t="s">
        <v>108</v>
      </c>
      <c r="E29" s="58" t="s">
        <v>129</v>
      </c>
      <c r="F29" s="38"/>
      <c r="G29" s="76" t="s">
        <v>125</v>
      </c>
      <c r="H29" s="40" t="s">
        <v>118</v>
      </c>
      <c r="I29" s="40" t="s">
        <v>119</v>
      </c>
      <c r="J29" s="40" t="s">
        <v>120</v>
      </c>
      <c r="K29" s="58" t="s">
        <v>121</v>
      </c>
      <c r="L29" s="38"/>
      <c r="M29" s="76" t="s">
        <v>125</v>
      </c>
      <c r="N29" s="40" t="s">
        <v>118</v>
      </c>
      <c r="O29" s="40" t="s">
        <v>119</v>
      </c>
      <c r="P29" s="40" t="s">
        <v>120</v>
      </c>
      <c r="Q29" s="58" t="s">
        <v>121</v>
      </c>
      <c r="R29" s="20"/>
      <c r="S29" s="20"/>
      <c r="T29" s="20"/>
      <c r="U29" s="20"/>
    </row>
    <row r="30" spans="2:48" x14ac:dyDescent="0.3">
      <c r="B30" s="61" t="s">
        <v>30</v>
      </c>
      <c r="C30" s="85"/>
      <c r="D30" s="66" cm="1">
        <f t="array" ref="D30">_xlfn.LET(_xlpm.data, $W$43:$AB$62,
     _xlpm.filtered, _xlfn._xlws.FILTER(_xlpm.data, $W$43:$W$62='FC R12'!$B30),
     _xlpm.EOL, _xlfn.CHOOSECOLS(_xlpm.filtered,6),
AVERAGE(_xlpm.EOL))</f>
        <v>2.7398191249999999</v>
      </c>
      <c r="E30" s="43" cm="1">
        <f t="array" ref="E30">_xlfn.LET(_xlpm.data, $W$43:$AB$62,
     _xlpm.filtered, _xlfn._xlws.FILTER(_xlpm.data, $W$43:$W$62='FC R12'!$B30),
     _xlpm.EOL, _xlfn.CHOOSECOLS(_xlpm.filtered,6),
MAX(_xlpm.EOL))</f>
        <v>2.7616470588235287</v>
      </c>
      <c r="F30" s="38"/>
      <c r="G30" s="77">
        <f>D30*$C$4</f>
        <v>167.128966625</v>
      </c>
      <c r="H30" s="67">
        <f>D30*$C$5</f>
        <v>4.1097286874999996</v>
      </c>
      <c r="I30" s="68">
        <f>SUM(G30:H30)</f>
        <v>171.2386953125</v>
      </c>
      <c r="J30" s="67">
        <f>I30-$C$6</f>
        <v>39.738695312499999</v>
      </c>
      <c r="K30" s="69">
        <f>J30/$C$7</f>
        <v>1.5895478125</v>
      </c>
      <c r="L30" s="38"/>
      <c r="M30" s="77">
        <f>E30*$C$4</f>
        <v>168.46047058823524</v>
      </c>
      <c r="N30" s="67">
        <f>E30*1.5</f>
        <v>4.1424705882352928</v>
      </c>
      <c r="O30" s="68">
        <f>SUM(M30:N30)</f>
        <v>172.60294117647052</v>
      </c>
      <c r="P30" s="67">
        <f>O30-$C$6</f>
        <v>41.102941176470523</v>
      </c>
      <c r="Q30" s="69">
        <f>P30/$C$7</f>
        <v>1.644117647058821</v>
      </c>
      <c r="R30" s="59"/>
      <c r="S30" s="59"/>
      <c r="T30" s="59"/>
      <c r="U30" s="59"/>
    </row>
    <row r="31" spans="2:48" x14ac:dyDescent="0.3">
      <c r="B31" s="62" t="s">
        <v>31</v>
      </c>
      <c r="C31" s="86"/>
      <c r="D31" s="70" cm="1">
        <f t="array" ref="D31">_xlfn.LET(_xlpm.data, $W$43:$AB$62,
     _xlpm.filtered, _xlfn._xlws.FILTER(_xlpm.data, $W$43:$W$62='FC R12'!$B31),
     _xlpm.EOL, _xlfn.CHOOSECOLS(_xlpm.filtered,6),
AVERAGE(_xlpm.EOL))</f>
        <v>2.7979112615495962</v>
      </c>
      <c r="E31" s="44" cm="1">
        <f t="array" ref="E31">_xlfn.LET(_xlpm.data, $W$43:$AB$62,
     _xlpm.filtered, _xlfn._xlws.FILTER(_xlpm.data, $W$43:$W$62='FC R12'!$B31),
     _xlpm.EOL, _xlfn.CHOOSECOLS(_xlpm.filtered,6),
MAX(_xlpm.EOL))</f>
        <v>2.8950188235294116</v>
      </c>
      <c r="F31" s="38"/>
      <c r="G31" s="78">
        <f>D31*$C$4</f>
        <v>170.67258695452537</v>
      </c>
      <c r="H31" s="64">
        <f t="shared" ref="H31:H32" si="4">D31*$C$5</f>
        <v>4.1968668923243939</v>
      </c>
      <c r="I31" s="65">
        <f t="shared" ref="I31:I32" si="5">SUM(G31:H31)</f>
        <v>174.86945384684975</v>
      </c>
      <c r="J31" s="64">
        <f>I31-$C$6</f>
        <v>43.369453846849751</v>
      </c>
      <c r="K31" s="71">
        <f>J31/$C$7</f>
        <v>1.7347781538739901</v>
      </c>
      <c r="L31" s="38"/>
      <c r="M31" s="78">
        <f>E31*$C$4</f>
        <v>176.59614823529412</v>
      </c>
      <c r="N31" s="64">
        <f t="shared" ref="N31:N32" si="6">E31*1.5</f>
        <v>4.3425282352941172</v>
      </c>
      <c r="O31" s="65">
        <f t="shared" ref="O31:O32" si="7">SUM(M31:N31)</f>
        <v>180.93867647058823</v>
      </c>
      <c r="P31" s="64">
        <f>O31-$C$6</f>
        <v>49.438676470588234</v>
      </c>
      <c r="Q31" s="71">
        <f>P31/$C$7</f>
        <v>1.9775470588235293</v>
      </c>
    </row>
    <row r="32" spans="2:48" ht="15" thickBot="1" x14ac:dyDescent="0.35">
      <c r="B32" s="63" t="s">
        <v>29</v>
      </c>
      <c r="C32" s="87"/>
      <c r="D32" s="72" cm="1">
        <f t="array" ref="D32">_xlfn.LET(_xlpm.data, $W$43:$AB$62,
     _xlpm.filtered, _xlfn._xlws.FILTER(_xlpm.data, $W$43:$W$62='FC R12'!$B32),
     _xlpm.EOL, _xlfn.CHOOSECOLS(_xlpm.filtered,6),
AVERAGE(_xlpm.EOL))</f>
        <v>2.8240292780748666</v>
      </c>
      <c r="E32" s="45" cm="1">
        <f t="array" ref="E32">_xlfn.LET(_xlpm.data, $W$43:$AB$62,
     _xlpm.filtered, _xlfn._xlws.FILTER(_xlpm.data, $W$43:$W$62='FC R12'!$B32),
     _xlpm.EOL, _xlfn.CHOOSECOLS(_xlpm.filtered,6),
MAX(_xlpm.EOL))</f>
        <v>2.8784676470588231</v>
      </c>
      <c r="F32" s="38"/>
      <c r="G32" s="79">
        <f>D32*$C$4</f>
        <v>172.26578596256687</v>
      </c>
      <c r="H32" s="73">
        <f t="shared" si="4"/>
        <v>4.2360439171122994</v>
      </c>
      <c r="I32" s="74">
        <f t="shared" si="5"/>
        <v>176.50182987967918</v>
      </c>
      <c r="J32" s="73">
        <f>I32-$C$6</f>
        <v>45.001829879679178</v>
      </c>
      <c r="K32" s="75">
        <f>J32/$C$7</f>
        <v>1.8000731951871671</v>
      </c>
      <c r="L32" s="38"/>
      <c r="M32" s="79">
        <f>E32*$C$4</f>
        <v>175.58652647058821</v>
      </c>
      <c r="N32" s="73">
        <f t="shared" si="6"/>
        <v>4.3177014705882346</v>
      </c>
      <c r="O32" s="74">
        <f t="shared" si="7"/>
        <v>179.90422794117646</v>
      </c>
      <c r="P32" s="73">
        <f>O32-$C$6</f>
        <v>48.404227941176458</v>
      </c>
      <c r="Q32" s="75">
        <f>P32/$C$7</f>
        <v>1.9361691176470583</v>
      </c>
    </row>
    <row r="33" spans="2:30" x14ac:dyDescent="0.3">
      <c r="B33" t="s">
        <v>132</v>
      </c>
    </row>
    <row r="34" spans="2:30" x14ac:dyDescent="0.3">
      <c r="B34" s="83" t="s">
        <v>134</v>
      </c>
      <c r="C34" s="83"/>
    </row>
    <row r="41" spans="2:30" ht="15" thickBot="1" x14ac:dyDescent="0.35"/>
    <row r="42" spans="2:30" ht="29.4" thickBot="1" x14ac:dyDescent="0.35">
      <c r="W42" s="39" t="s">
        <v>34</v>
      </c>
      <c r="X42" s="51" t="s">
        <v>33</v>
      </c>
      <c r="Y42" s="46" t="s">
        <v>110</v>
      </c>
      <c r="AA42" s="57" t="s">
        <v>115</v>
      </c>
      <c r="AB42" s="58" t="s">
        <v>109</v>
      </c>
      <c r="AC42" s="38"/>
      <c r="AD42" s="46" t="s">
        <v>111</v>
      </c>
    </row>
    <row r="43" spans="2:30" x14ac:dyDescent="0.3">
      <c r="W43" s="9" t="s">
        <v>29</v>
      </c>
      <c r="X43" s="52" t="str" cm="1">
        <f t="array" ref="X43:X64">_xlfn._xlws.FILTER(_xlfn.UNIQUE('DUMP R12'!B:B),_xlfn.UNIQUE('DUMP R12'!B:B)&lt;&gt;0)</f>
        <v>Zach Bates, MSR-006</v>
      </c>
      <c r="Y43" s="54" cm="1">
        <f t="array" ref="Y43">_xlfn.LET(_xlpm.data, 'DUMP R12'!$A$3:$J$10000,
     _xlpm.filtered, _xlfn._xlws.FILTER(_xlpm.data,'DUMP R12'!$B$3:$B$10000=$X43),
     _xlpm.EOL_Dash, _xlfn.CHOOSECOLS(_xlpm.filtered,7),
AVERAGE(_xlpm.EOL_Dash))</f>
        <v>2.2135294117647062</v>
      </c>
      <c r="AA43" s="54">
        <f t="shared" ref="AA43:AA62" si="8">Y43/$C$9</f>
        <v>2.8031920781776973</v>
      </c>
      <c r="AB43" s="12" cm="1">
        <f t="array" ref="AB43">_xlfn.LET(_xlpm.data, 'DUMP R12'!$A$3:$J$10000,
     _xlpm.filtered, _xlfn._xlws.FILTER(_xlpm.data,'DUMP R12'!$B$3:$B$10000=$X43),
     _xlpm.EOL_w_Error, _xlfn.CHOOSECOLS(_xlpm.filtered,10),
AVERAGE(_xlpm.EOL_w_Error))</f>
        <v>2.7653170588235301</v>
      </c>
      <c r="AD43" s="47">
        <f t="shared" ref="AD43:AD62" si="9">1-AB43/AA43</f>
        <v>1.3511389265479457E-2</v>
      </c>
    </row>
    <row r="44" spans="2:30" x14ac:dyDescent="0.3">
      <c r="W44" s="13" t="s">
        <v>31</v>
      </c>
      <c r="X44" s="21" t="str">
        <v>David Reynolds, T18-003</v>
      </c>
      <c r="Y44" s="55" cm="1">
        <f t="array" ref="Y44">_xlfn.LET(_xlpm.data, 'DUMP R12'!$A$3:$J$10000,
     _xlpm.filtered, _xlfn._xlws.FILTER(_xlpm.data,'DUMP R12'!$B$3:$B$10000=$X44),
     _xlpm.EOL_Dash, _xlfn.CHOOSECOLS(_xlpm.filtered,7),
AVERAGE(_xlpm.EOL_Dash))</f>
        <v>2.1920588235294121</v>
      </c>
      <c r="AA44" s="55">
        <f t="shared" si="8"/>
        <v>2.7760019344483626</v>
      </c>
      <c r="AB44" s="14" cm="1">
        <f t="array" ref="AB44">_xlfn.LET(_xlpm.data, 'DUMP R12'!$A$3:$J$10000,
     _xlpm.filtered, _xlfn._xlws.FILTER(_xlpm.data,'DUMP R12'!$B$3:$B$10000=X44),
     _xlpm.EOL_w_Error, _xlfn.CHOOSECOLS(_xlpm.filtered,10),
AVERAGE(_xlpm.EOL_w_Error))</f>
        <v>2.7429044117647048</v>
      </c>
      <c r="AD44" s="48">
        <f t="shared" si="9"/>
        <v>1.1922730410573346E-2</v>
      </c>
    </row>
    <row r="45" spans="2:30" x14ac:dyDescent="0.3">
      <c r="W45" s="13" t="s">
        <v>31</v>
      </c>
      <c r="X45" s="21" t="str">
        <v>Jayden Ojeda, 888A-064</v>
      </c>
      <c r="Y45" s="55" cm="1">
        <f t="array" ref="Y45">_xlfn.LET(_xlpm.data, 'DUMP R12'!$A$3:$J$10000,
     _xlpm.filtered, _xlfn._xlws.FILTER(_xlpm.data,'DUMP R12'!$B$3:$B$10000=$X45),
     _xlpm.EOL_Dash, _xlfn.CHOOSECOLS(_xlpm.filtered,7),
AVERAGE(_xlpm.EOL_Dash))</f>
        <v>2.1491176470588242</v>
      </c>
      <c r="AA45" s="55">
        <f t="shared" si="8"/>
        <v>2.7216216469896941</v>
      </c>
      <c r="AB45" s="14" cm="1">
        <f t="array" ref="AB45">_xlfn.LET(_xlpm.data, 'DUMP R12'!$A$3:$J$10000,
     _xlpm.filtered, _xlfn._xlws.FILTER(_xlpm.data,'DUMP R12'!$B$3:$B$10000=X45),
     _xlpm.EOL_w_Error, _xlfn.CHOOSECOLS(_xlpm.filtered,10),
AVERAGE(_xlpm.EOL_w_Error))</f>
        <v>2.6901397058823537</v>
      </c>
      <c r="AD45" s="48">
        <f t="shared" si="9"/>
        <v>1.1567346674421719E-2</v>
      </c>
    </row>
    <row r="46" spans="2:30" x14ac:dyDescent="0.3">
      <c r="W46" s="13" t="s">
        <v>31</v>
      </c>
      <c r="X46" s="21" t="str">
        <v>Jack Le Brocq, MSR-005</v>
      </c>
      <c r="Y46" s="55" cm="1">
        <f t="array" ref="Y46">_xlfn.LET(_xlpm.data, 'DUMP R12'!$A$3:$J$10000,
     _xlpm.filtered, _xlfn._xlws.FILTER(_xlpm.data,'DUMP R12'!$B$3:$B$10000=$X46),
     _xlpm.EOL_Dash, _xlfn.CHOOSECOLS(_xlpm.filtered,7),
AVERAGE(_xlpm.EOL_Dash))</f>
        <v>2.1629411764705879</v>
      </c>
      <c r="AA46" s="55">
        <f t="shared" si="8"/>
        <v>2.7391276299387166</v>
      </c>
      <c r="AB46" s="14" cm="1">
        <f t="array" ref="AB46">_xlfn.LET(_xlpm.data, 'DUMP R12'!$A$3:$J$10000,
     _xlpm.filtered, _xlfn._xlws.FILTER(_xlpm.data,'DUMP R12'!$B$3:$B$10000=X46),
     _xlpm.EOL_w_Error, _xlfn.CHOOSECOLS(_xlpm.filtered,10),
AVERAGE(_xlpm.EOL_w_Error))</f>
        <v>2.713352941176471</v>
      </c>
      <c r="AD46" s="48">
        <f t="shared" si="9"/>
        <v>9.4098166440029773E-3</v>
      </c>
    </row>
    <row r="47" spans="2:30" x14ac:dyDescent="0.3">
      <c r="W47" s="13" t="s">
        <v>30</v>
      </c>
      <c r="X47" s="21" t="str">
        <v>Declan Fraser, 888A-062</v>
      </c>
      <c r="Y47" s="55" cm="1">
        <f t="array" ref="Y47">_xlfn.LET(_xlpm.data, 'DUMP R12'!$A$3:$J$10000,
     _xlpm.filtered, _xlfn._xlws.FILTER(_xlpm.data,'DUMP R12'!$B$3:$B$10000=$X47),
     _xlpm.EOL_Dash, _xlfn.CHOOSECOLS(_xlpm.filtered,7),
AVERAGE(_xlpm.EOL_Dash))</f>
        <v>2.1800000000000006</v>
      </c>
      <c r="AA47" s="55">
        <f t="shared" si="8"/>
        <v>2.7607307578332576</v>
      </c>
      <c r="AB47" s="14" cm="1">
        <f t="array" ref="AB47">_xlfn.LET(_xlpm.data, 'DUMP R12'!$A$3:$J$10000,
     _xlpm.filtered, _xlfn._xlws.FILTER(_xlpm.data,'DUMP R12'!$B$3:$B$10000=X47),
     _xlpm.EOL_w_Error, _xlfn.CHOOSECOLS(_xlpm.filtered,10),
AVERAGE(_xlpm.EOL_w_Error))</f>
        <v>2.7345882352941171</v>
      </c>
      <c r="AD47" s="48">
        <f t="shared" si="9"/>
        <v>9.4694212628174679E-3</v>
      </c>
    </row>
    <row r="48" spans="2:30" x14ac:dyDescent="0.3">
      <c r="W48" s="13" t="s">
        <v>31</v>
      </c>
      <c r="X48" s="21" t="str">
        <v>Ryan Wood, WR-030</v>
      </c>
      <c r="Y48" s="55" cm="1">
        <f t="array" ref="Y48">_xlfn.LET(_xlpm.data, 'DUMP R12'!$A$3:$J$10000,
     _xlpm.filtered, _xlfn._xlws.FILTER(_xlpm.data,'DUMP R12'!$B$3:$B$10000=$X48),
     _xlpm.EOL_Dash, _xlfn.CHOOSECOLS(_xlpm.filtered,7),
AVERAGE(_xlpm.EOL_Dash))</f>
        <v>2.19764705882353</v>
      </c>
      <c r="AA48" s="55">
        <f t="shared" si="8"/>
        <v>2.7830788211724364</v>
      </c>
      <c r="AB48" s="14" cm="1">
        <f t="array" ref="AB48">_xlfn.LET(_xlpm.data, 'DUMP R12'!$A$3:$J$10000,
     _xlpm.filtered, _xlfn._xlws.FILTER(_xlpm.data,'DUMP R12'!$B$3:$B$10000=X48),
     _xlpm.EOL_w_Error, _xlfn.CHOOSECOLS(_xlpm.filtered,10),
AVERAGE(_xlpm.EOL_w_Error))</f>
        <v>2.8950188235294116</v>
      </c>
      <c r="AD48" s="48">
        <f t="shared" si="9"/>
        <v>-4.022164284582419E-2</v>
      </c>
    </row>
    <row r="49" spans="23:30" x14ac:dyDescent="0.3">
      <c r="W49" s="13" t="s">
        <v>30</v>
      </c>
      <c r="X49" s="21" t="str">
        <v>Anton De Pasquale, T18-004</v>
      </c>
      <c r="Y49" s="55" cm="1">
        <f t="array" ref="Y49">_xlfn.LET(_xlpm.data, 'DUMP R12'!$A$3:$J$10000,
     _xlpm.filtered, _xlfn._xlws.FILTER(_xlpm.data,'DUMP R12'!$B$3:$B$10000=$X49),
     _xlpm.EOL_Dash, _xlfn.CHOOSECOLS(_xlpm.filtered,7),
AVERAGE(_xlpm.EOL_Dash))</f>
        <v>2.2014705882352943</v>
      </c>
      <c r="AA49" s="55">
        <f t="shared" si="8"/>
        <v>2.7879209015625914</v>
      </c>
      <c r="AB49" s="14" cm="1">
        <f t="array" ref="AB49">_xlfn.LET(_xlpm.data, 'DUMP R12'!$A$3:$J$10000,
     _xlpm.filtered, _xlfn._xlws.FILTER(_xlpm.data,'DUMP R12'!$B$3:$B$10000=X49),
     _xlpm.EOL_w_Error, _xlfn.CHOOSECOLS(_xlpm.filtered,10),
AVERAGE(_xlpm.EOL_w_Error))</f>
        <v>2.7616470588235287</v>
      </c>
      <c r="AD49" s="48">
        <f t="shared" si="9"/>
        <v>9.4241707949234144E-3</v>
      </c>
    </row>
    <row r="50" spans="23:30" x14ac:dyDescent="0.3">
      <c r="W50" s="13" t="s">
        <v>31</v>
      </c>
      <c r="X50" s="21" t="str">
        <v>Rylan Gray, DJRS08-MR</v>
      </c>
      <c r="Y50" s="55" cm="1">
        <f t="array" ref="Y50">_xlfn.LET(_xlpm.data, 'DUMP R12'!$A$3:$J$10000,
     _xlpm.filtered, _xlfn._xlws.FILTER(_xlpm.data,'DUMP R12'!$B$3:$B$10000=$X50),
     _xlpm.EOL_Dash, _xlfn.CHOOSECOLS(_xlpm.filtered,7),
AVERAGE(_xlpm.EOL_Dash))</f>
        <v>2.130882352941176</v>
      </c>
      <c r="AA50" s="55">
        <f t="shared" si="8"/>
        <v>2.6985286482058743</v>
      </c>
      <c r="AB50" s="14" cm="1">
        <f t="array" ref="AB50">_xlfn.LET(_xlpm.data, 'DUMP R12'!$A$3:$J$10000,
     _xlpm.filtered, _xlfn._xlws.FILTER(_xlpm.data,'DUMP R12'!$B$3:$B$10000=X50),
     _xlpm.EOL_w_Error, _xlfn.CHOOSECOLS(_xlpm.filtered,10),
AVERAGE(_xlpm.EOL_w_Error))</f>
        <v>2.7670588235294113</v>
      </c>
      <c r="AD50" s="48">
        <f t="shared" si="9"/>
        <v>-2.5395385507246626E-2</v>
      </c>
    </row>
    <row r="51" spans="23:30" x14ac:dyDescent="0.3">
      <c r="W51" s="13" t="s">
        <v>30</v>
      </c>
      <c r="X51" s="21" t="str">
        <v>Brodie Kostecki, DJRS09-MR</v>
      </c>
      <c r="Y51" s="55" cm="1">
        <f t="array" ref="Y51">_xlfn.LET(_xlpm.data, 'DUMP R12'!$A$3:$J$10000,
     _xlpm.filtered, _xlfn._xlws.FILTER(_xlpm.data,'DUMP R12'!$B$3:$B$10000=$X51),
     _xlpm.EOL_Dash, _xlfn.CHOOSECOLS(_xlpm.filtered,7),
AVERAGE(_xlpm.EOL_Dash))</f>
        <v>2.0829411764705883</v>
      </c>
      <c r="AA51" s="55">
        <f t="shared" si="8"/>
        <v>2.6378164094677716</v>
      </c>
      <c r="AB51" s="14" cm="1">
        <f t="array" ref="AB51">_xlfn.LET(_xlpm.data, 'DUMP R12'!$A$3:$J$10000,
     _xlpm.filtered, _xlfn._xlws.FILTER(_xlpm.data,'DUMP R12'!$B$3:$B$10000=X51),
     _xlpm.EOL_w_Error, _xlfn.CHOOSECOLS(_xlpm.filtered,10),
AVERAGE(_xlpm.EOL_w_Error))</f>
        <v>2.7058823529411766</v>
      </c>
      <c r="AD51" s="48">
        <f t="shared" si="9"/>
        <v>-2.580389720417986E-2</v>
      </c>
    </row>
    <row r="52" spans="23:30" x14ac:dyDescent="0.3">
      <c r="W52" s="13" t="s">
        <v>31</v>
      </c>
      <c r="X52" s="21" t="str">
        <v>Chaz Mostert, WR-032</v>
      </c>
      <c r="Y52" s="55" cm="1">
        <f t="array" ref="Y52">_xlfn.LET(_xlpm.data, 'DUMP R12'!$A$3:$J$10000,
     _xlpm.filtered, _xlfn._xlws.FILTER(_xlpm.data,'DUMP R12'!$B$3:$B$10000=$X52),
     _xlpm.EOL_Dash, _xlfn.CHOOSECOLS(_xlpm.filtered,7),
AVERAGE(_xlpm.EOL_Dash))</f>
        <v>2.1679411764705883</v>
      </c>
      <c r="AA52" s="55">
        <f t="shared" si="8"/>
        <v>2.7454595812181508</v>
      </c>
      <c r="AB52" s="14" cm="1">
        <f t="array" ref="AB52">_xlfn.LET(_xlpm.data, 'DUMP R12'!$A$3:$J$10000,
     _xlpm.filtered, _xlfn._xlws.FILTER(_xlpm.data,'DUMP R12'!$B$3:$B$10000=X52),
     _xlpm.EOL_w_Error, _xlfn.CHOOSECOLS(_xlpm.filtered,10),
AVERAGE(_xlpm.EOL_w_Error))</f>
        <v>2.8500894117647055</v>
      </c>
      <c r="AD52" s="48">
        <f t="shared" si="9"/>
        <v>-3.8110133276896052E-2</v>
      </c>
    </row>
    <row r="53" spans="23:30" x14ac:dyDescent="0.3">
      <c r="W53" s="13" t="s">
        <v>31</v>
      </c>
      <c r="X53" s="21" t="str">
        <v>Cam Waters, TR28</v>
      </c>
      <c r="Y53" s="55" cm="1">
        <f t="array" ref="Y53">_xlfn.LET(_xlpm.data, 'DUMP R12'!$A$3:$J$10000,
     _xlpm.filtered, _xlfn._xlws.FILTER(_xlpm.data,'DUMP R12'!$B$3:$B$10000=$X53),
     _xlpm.EOL_Dash, _xlfn.CHOOSECOLS(_xlpm.filtered,7),
AVERAGE(_xlpm.EOL_Dash))</f>
        <v>2.2032352941176465</v>
      </c>
      <c r="AA53" s="55">
        <f t="shared" si="8"/>
        <v>2.7901557078965085</v>
      </c>
      <c r="AB53" s="14" cm="1">
        <f t="array" ref="AB53">_xlfn.LET(_xlpm.data, 'DUMP R12'!$A$3:$J$10000,
     _xlpm.filtered, _xlfn._xlws.FILTER(_xlpm.data,'DUMP R12'!$B$3:$B$10000=X53),
     _xlpm.EOL_w_Error, _xlfn.CHOOSECOLS(_xlpm.filtered,10),
AVERAGE(_xlpm.EOL_w_Error))</f>
        <v>2.8591976470588243</v>
      </c>
      <c r="AD53" s="48">
        <f t="shared" si="9"/>
        <v>-2.4744833762115226E-2</v>
      </c>
    </row>
    <row r="54" spans="23:30" x14ac:dyDescent="0.3">
      <c r="W54" s="13" t="s">
        <v>29</v>
      </c>
      <c r="X54" s="21" t="str">
        <v>Aaron Cameron, BRT-001</v>
      </c>
      <c r="Y54" s="55" cm="1">
        <f t="array" ref="Y54">_xlfn.LET(_xlpm.data, 'DUMP R12'!$A$3:$J$10000,
     _xlpm.filtered, _xlfn._xlws.FILTER(_xlpm.data,'DUMP R12'!$B$3:$B$10000=$X54),
     _xlpm.EOL_Dash, _xlfn.CHOOSECOLS(_xlpm.filtered,7),
AVERAGE(_xlpm.EOL_Dash))</f>
        <v>2.1745454545454539</v>
      </c>
      <c r="AA54" s="55">
        <f t="shared" si="8"/>
        <v>2.7538231746193276</v>
      </c>
      <c r="AB54" s="14" cm="1">
        <f t="array" ref="AB54">_xlfn.LET(_xlpm.data, 'DUMP R12'!$A$3:$J$10000,
     _xlpm.filtered, _xlfn._xlws.FILTER(_xlpm.data,'DUMP R12'!$B$3:$B$10000=X54),
     _xlpm.EOL_w_Error, _xlfn.CHOOSECOLS(_xlpm.filtered,10),
AVERAGE(_xlpm.EOL_w_Error))</f>
        <v>2.8198618181818187</v>
      </c>
      <c r="AD54" s="48">
        <f t="shared" si="9"/>
        <v>-2.3980713130435483E-2</v>
      </c>
    </row>
    <row r="55" spans="23:30" x14ac:dyDescent="0.3">
      <c r="W55" s="13" t="s">
        <v>31</v>
      </c>
      <c r="X55" s="21" t="str">
        <v>Will Brown, 888A-073</v>
      </c>
      <c r="Y55" s="55" cm="1">
        <f t="array" ref="Y55">_xlfn.LET(_xlpm.data, 'DUMP R12'!$A$3:$J$10000,
     _xlpm.filtered, _xlfn._xlws.FILTER(_xlpm.data,'DUMP R12'!$B$3:$B$10000=$X55),
     _xlpm.EOL_Dash, _xlfn.CHOOSECOLS(_xlpm.filtered,7),
AVERAGE(_xlpm.EOL_Dash))</f>
        <v>2.1020588235294118</v>
      </c>
      <c r="AA55" s="55">
        <f t="shared" si="8"/>
        <v>2.6620268114185492</v>
      </c>
      <c r="AB55" s="14" cm="1">
        <f t="array" ref="AB55">_xlfn.LET(_xlpm.data, 'DUMP R12'!$A$3:$J$10000,
     _xlpm.filtered, _xlfn._xlws.FILTER(_xlpm.data,'DUMP R12'!$B$3:$B$10000=X55),
     _xlpm.EOL_w_Error, _xlfn.CHOOSECOLS(_xlpm.filtered,10),
AVERAGE(_xlpm.EOL_w_Error))</f>
        <v>2.7319317647058825</v>
      </c>
      <c r="AD55" s="48">
        <f t="shared" si="9"/>
        <v>-2.626004854176589E-2</v>
      </c>
    </row>
    <row r="56" spans="23:30" x14ac:dyDescent="0.3">
      <c r="W56" s="13" t="s">
        <v>30</v>
      </c>
      <c r="X56" s="21" t="str">
        <v>Thomas Randle, TR26</v>
      </c>
      <c r="Y56" s="55" cm="1">
        <f t="array" ref="Y56">_xlfn.LET(_xlpm.data, 'DUMP R12'!$A$3:$J$10000,
     _xlpm.filtered, _xlfn._xlws.FILTER(_xlpm.data,'DUMP R12'!$B$3:$B$10000=$X56),
     _xlpm.EOL_Dash, _xlfn.CHOOSECOLS(_xlpm.filtered,7),
AVERAGE(_xlpm.EOL_Dash))</f>
        <v>2.1144117647058827</v>
      </c>
      <c r="AA56" s="55">
        <f t="shared" si="8"/>
        <v>2.6776704557559747</v>
      </c>
      <c r="AB56" s="14" cm="1">
        <f t="array" ref="AB56">_xlfn.LET(_xlpm.data, 'DUMP R12'!$A$3:$J$10000,
     _xlpm.filtered, _xlfn._xlws.FILTER(_xlpm.data,'DUMP R12'!$B$3:$B$10000=X56),
     _xlpm.EOL_w_Error, _xlfn.CHOOSECOLS(_xlpm.filtered,10),
AVERAGE(_xlpm.EOL_w_Error))</f>
        <v>2.7458823529411767</v>
      </c>
      <c r="AD56" s="48">
        <f t="shared" si="9"/>
        <v>-2.5474343580470293E-2</v>
      </c>
    </row>
    <row r="57" spans="23:30" x14ac:dyDescent="0.3">
      <c r="W57" s="13" t="s">
        <v>30</v>
      </c>
      <c r="X57" s="21" t="str">
        <v>Jackson Walls, 888A-074</v>
      </c>
      <c r="Y57" s="55" cm="1">
        <f t="array" ref="Y57">_xlfn.LET(_xlpm.data, 'DUMP R12'!$A$3:$J$10000,
     _xlpm.filtered, _xlfn._xlws.FILTER(_xlpm.data,'DUMP R12'!$B$3:$B$10000=$X57),
     _xlpm.EOL_Dash, _xlfn.CHOOSECOLS(_xlpm.filtered,7),
AVERAGE(_xlpm.EOL_Dash))</f>
        <v>2.1190624999999996</v>
      </c>
      <c r="AA57" s="55">
        <f t="shared" si="8"/>
        <v>2.6835601016151536</v>
      </c>
      <c r="AB57" s="14" cm="1">
        <f t="array" ref="AB57">_xlfn.LET(_xlpm.data, 'DUMP R12'!$A$3:$J$10000,
     _xlpm.filtered, _xlfn._xlws.FILTER(_xlpm.data,'DUMP R12'!$B$3:$B$10000=X57),
     _xlpm.EOL_w_Error, _xlfn.CHOOSECOLS(_xlpm.filtered,10),
AVERAGE(_xlpm.EOL_w_Error))</f>
        <v>2.751095625</v>
      </c>
      <c r="AD57" s="48">
        <f t="shared" si="9"/>
        <v>-2.5166391221943973E-2</v>
      </c>
    </row>
    <row r="58" spans="23:30" x14ac:dyDescent="0.3">
      <c r="W58" s="13" t="s">
        <v>31</v>
      </c>
      <c r="X58" s="21" t="str">
        <v>Broc Feeney, 888A-072</v>
      </c>
      <c r="Y58" s="55" cm="1">
        <f t="array" ref="Y58">_xlfn.LET(_xlpm.data, 'DUMP R12'!$A$3:$J$10000,
     _xlpm.filtered, _xlfn._xlws.FILTER(_xlpm.data,'DUMP R12'!$B$3:$B$10000=$X58),
     _xlpm.EOL_Dash, _xlfn.CHOOSECOLS(_xlpm.filtered,7),
AVERAGE(_xlpm.EOL_Dash))</f>
        <v>2.2017142857142864</v>
      </c>
      <c r="AA58" s="55">
        <f t="shared" si="8"/>
        <v>2.7882295176753713</v>
      </c>
      <c r="AB58" s="14" cm="1">
        <f t="array" ref="AB58">_xlfn.LET(_xlpm.data, 'DUMP R12'!$A$3:$J$10000,
     _xlpm.filtered, _xlfn._xlws.FILTER(_xlpm.data,'DUMP R12'!$B$3:$B$10000=X58),
     _xlpm.EOL_w_Error, _xlfn.CHOOSECOLS(_xlpm.filtered,10),
AVERAGE(_xlpm.EOL_w_Error))</f>
        <v>2.852830285714286</v>
      </c>
      <c r="AD58" s="48">
        <f t="shared" si="9"/>
        <v>-2.3169099828185713E-2</v>
      </c>
    </row>
    <row r="59" spans="23:30" x14ac:dyDescent="0.3">
      <c r="W59" s="13" t="s">
        <v>29</v>
      </c>
      <c r="X59" s="21" t="str">
        <v>James Golding, BRT-002</v>
      </c>
      <c r="Y59" s="55" cm="1">
        <f t="array" ref="Y59">_xlfn.LET(_xlpm.data, 'DUMP R12'!$A$3:$J$10000,
     _xlpm.filtered, _xlfn._xlws.FILTER(_xlpm.data,'DUMP R12'!$B$3:$B$10000=$X59),
     _xlpm.EOL_Dash, _xlfn.CHOOSECOLS(_xlpm.filtered,7),
AVERAGE(_xlpm.EOL_Dash))</f>
        <v>2.1858823529411771</v>
      </c>
      <c r="AA59" s="55">
        <f t="shared" si="8"/>
        <v>2.7681801122796506</v>
      </c>
      <c r="AB59" s="14" cm="1">
        <f t="array" ref="AB59">_xlfn.LET(_xlpm.data, 'DUMP R12'!$A$3:$J$10000,
     _xlpm.filtered, _xlfn._xlws.FILTER(_xlpm.data,'DUMP R12'!$B$3:$B$10000=X59),
     _xlpm.EOL_w_Error, _xlfn.CHOOSECOLS(_xlpm.filtered,10),
AVERAGE(_xlpm.EOL_w_Error))</f>
        <v>2.8324705882352945</v>
      </c>
      <c r="AD59" s="48">
        <f t="shared" si="9"/>
        <v>-2.3224816792249747E-2</v>
      </c>
    </row>
    <row r="60" spans="23:30" x14ac:dyDescent="0.3">
      <c r="W60" s="13" t="s">
        <v>29</v>
      </c>
      <c r="X60" s="21" t="str">
        <v>Cam Hill, BJR020</v>
      </c>
      <c r="Y60" s="55" cm="1">
        <f t="array" ref="Y60">_xlfn.LET(_xlpm.data, 'DUMP R12'!$A$3:$J$10000,
     _xlpm.filtered, _xlfn._xlws.FILTER(_xlpm.data,'DUMP R12'!$B$3:$B$10000=$X60),
     _xlpm.EOL_Dash, _xlfn.CHOOSECOLS(_xlpm.filtered,7),
AVERAGE(_xlpm.EOL_Dash))</f>
        <v>2.1779411764705885</v>
      </c>
      <c r="AA60" s="55">
        <f t="shared" si="8"/>
        <v>2.7581234837770197</v>
      </c>
      <c r="AB60" s="14" cm="1">
        <f t="array" ref="AB60">_xlfn.LET(_xlpm.data, 'DUMP R12'!$A$3:$J$10000,
     _xlpm.filtered, _xlfn._xlws.FILTER(_xlpm.data,'DUMP R12'!$B$3:$B$10000=X60),
     _xlpm.EOL_w_Error, _xlfn.CHOOSECOLS(_xlpm.filtered,10),
AVERAGE(_xlpm.EOL_w_Error))</f>
        <v>2.8784676470588231</v>
      </c>
      <c r="AD60" s="48">
        <f t="shared" si="9"/>
        <v>-4.3632623408507598E-2</v>
      </c>
    </row>
    <row r="61" spans="23:30" x14ac:dyDescent="0.3">
      <c r="W61" s="13" t="s">
        <v>31</v>
      </c>
      <c r="X61" s="21" t="str">
        <v>Andre Heimgartner, BJR019</v>
      </c>
      <c r="Y61" s="55" cm="1">
        <f t="array" ref="Y61">_xlfn.LET(_xlpm.data, 'DUMP R12'!$A$3:$J$10000,
     _xlpm.filtered, _xlfn._xlws.FILTER(_xlpm.data,'DUMP R12'!$B$3:$B$10000=$X61),
     _xlpm.EOL_Dash, _xlfn.CHOOSECOLS(_xlpm.filtered,7),
AVERAGE(_xlpm.EOL_Dash))</f>
        <v>2.1802941176470587</v>
      </c>
      <c r="AA61" s="55">
        <f t="shared" si="8"/>
        <v>2.7611032255555763</v>
      </c>
      <c r="AB61" s="14" cm="1">
        <f t="array" ref="AB61">_xlfn.LET(_xlpm.data, 'DUMP R12'!$A$3:$J$10000,
     _xlpm.filtered, _xlfn._xlws.FILTER(_xlpm.data,'DUMP R12'!$B$3:$B$10000=X61),
     _xlpm.EOL_w_Error, _xlfn.CHOOSECOLS(_xlpm.filtered,10),
AVERAGE(_xlpm.EOL_w_Error))</f>
        <v>2.8787105882352946</v>
      </c>
      <c r="AD61" s="48">
        <f t="shared" si="9"/>
        <v>-4.2594337506542734E-2</v>
      </c>
    </row>
    <row r="62" spans="23:30" ht="15" thickBot="1" x14ac:dyDescent="0.35">
      <c r="W62" s="15" t="s">
        <v>31</v>
      </c>
      <c r="X62" s="53" t="str">
        <v>Kai Allen, GR-03</v>
      </c>
      <c r="Y62" s="56" cm="1">
        <f t="array" ref="Y62">_xlfn.LET(_xlpm.data, 'DUMP R12'!$A$3:$J$10000,
     _xlpm.filtered, _xlfn._xlws.FILTER(_xlpm.data,'DUMP R12'!$B$3:$B$10000=$X62),
     _xlpm.EOL_Dash, _xlfn.CHOOSECOLS(_xlpm.filtered,7),
AVERAGE(_xlpm.EOL_Dash))</f>
        <v>2.1326470588235291</v>
      </c>
      <c r="AA62" s="56">
        <f t="shared" si="8"/>
        <v>2.7007634545397923</v>
      </c>
      <c r="AB62" s="18" cm="1">
        <f t="array" ref="AB62">_xlfn.LET(_xlpm.data, 'DUMP R12'!$A$3:$J$10000,
     _xlpm.filtered, _xlfn._xlws.FILTER(_xlpm.data,'DUMP R12'!$B$3:$B$10000=X62),
     _xlpm.EOL_w_Error, _xlfn.CHOOSECOLS(_xlpm.filtered,10),
AVERAGE(_xlpm.EOL_w_Error))</f>
        <v>2.7957894736842106</v>
      </c>
      <c r="AD62" s="49">
        <f t="shared" si="9"/>
        <v>-3.5184872997554129E-2</v>
      </c>
    </row>
    <row r="63" spans="23:30" x14ac:dyDescent="0.3">
      <c r="X63" t="str">
        <v>Macauley Jones, BJR018</v>
      </c>
    </row>
    <row r="64" spans="23:30" x14ac:dyDescent="0.3">
      <c r="X64" t="str">
        <v>Matt Payne, GR02</v>
      </c>
    </row>
  </sheetData>
  <mergeCells count="4">
    <mergeCell ref="G15:K15"/>
    <mergeCell ref="M15:Q15"/>
    <mergeCell ref="G28:K28"/>
    <mergeCell ref="M28:Q28"/>
  </mergeCells>
  <conditionalFormatting sqref="AD43:AD62">
    <cfRule type="colorScale" priority="1">
      <colorScale>
        <cfvo type="min"/>
        <cfvo type="num" val="0"/>
        <cfvo type="max"/>
        <color rgb="FFFF0000"/>
        <color theme="0" tint="-4.9989318521683403E-2"/>
        <color theme="6" tint="0.39997558519241921"/>
      </colorScale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9D6E-0C01-4706-AFC0-57A5757059CD}">
  <dimension ref="A1:J815"/>
  <sheetViews>
    <sheetView topLeftCell="A841" workbookViewId="0">
      <selection activeCell="A104" sqref="A104:I137"/>
    </sheetView>
  </sheetViews>
  <sheetFormatPr defaultRowHeight="14.4" x14ac:dyDescent="0.3"/>
  <cols>
    <col min="1" max="1" width="37.109375" customWidth="1"/>
    <col min="2" max="2" width="12.21875" customWidth="1"/>
    <col min="3" max="3" width="13" customWidth="1"/>
    <col min="4" max="4" width="23.88671875" customWidth="1"/>
    <col min="6" max="6" width="7.109375" bestFit="1" customWidth="1"/>
    <col min="7" max="7" width="20.33203125" style="37" bestFit="1" customWidth="1"/>
    <col min="8" max="8" width="18.33203125" bestFit="1" customWidth="1"/>
    <col min="9" max="9" width="8.88671875" style="37"/>
    <col min="10" max="10" width="15.6640625" bestFit="1" customWidth="1"/>
  </cols>
  <sheetData>
    <row r="1" spans="1:10" x14ac:dyDescent="0.3">
      <c r="A1" t="s">
        <v>0</v>
      </c>
      <c r="G1" s="37" t="s">
        <v>107</v>
      </c>
      <c r="H1" t="s">
        <v>1</v>
      </c>
      <c r="I1" s="37" t="s">
        <v>37</v>
      </c>
      <c r="J1" s="23" t="s">
        <v>114</v>
      </c>
    </row>
    <row r="2" spans="1:10" x14ac:dyDescent="0.3">
      <c r="G2" s="37" t="s">
        <v>2</v>
      </c>
      <c r="H2" t="s">
        <v>2</v>
      </c>
      <c r="I2" s="37" t="s">
        <v>2</v>
      </c>
    </row>
    <row r="3" spans="1:10" x14ac:dyDescent="0.3">
      <c r="F3" s="1"/>
      <c r="J3">
        <f>H3*I3</f>
        <v>0</v>
      </c>
    </row>
    <row r="4" spans="1:10" x14ac:dyDescent="0.3">
      <c r="F4" s="1"/>
      <c r="J4">
        <f t="shared" ref="J4:J67" si="0">H4*I4</f>
        <v>0</v>
      </c>
    </row>
    <row r="5" spans="1:10" x14ac:dyDescent="0.3">
      <c r="F5" s="1"/>
      <c r="J5">
        <f t="shared" si="0"/>
        <v>0</v>
      </c>
    </row>
    <row r="6" spans="1:10" x14ac:dyDescent="0.3">
      <c r="F6" s="1"/>
      <c r="J6">
        <f t="shared" si="0"/>
        <v>0</v>
      </c>
    </row>
    <row r="7" spans="1:10" x14ac:dyDescent="0.3">
      <c r="F7" s="1"/>
      <c r="J7">
        <f t="shared" si="0"/>
        <v>0</v>
      </c>
    </row>
    <row r="8" spans="1:10" x14ac:dyDescent="0.3">
      <c r="F8" s="1"/>
      <c r="J8">
        <f t="shared" si="0"/>
        <v>0</v>
      </c>
    </row>
    <row r="9" spans="1:10" x14ac:dyDescent="0.3">
      <c r="F9" s="1"/>
      <c r="J9">
        <f t="shared" si="0"/>
        <v>0</v>
      </c>
    </row>
    <row r="10" spans="1:10" x14ac:dyDescent="0.3">
      <c r="F10" s="1"/>
      <c r="J10">
        <f t="shared" si="0"/>
        <v>0</v>
      </c>
    </row>
    <row r="11" spans="1:10" x14ac:dyDescent="0.3">
      <c r="F11" s="1"/>
      <c r="J11">
        <f t="shared" si="0"/>
        <v>0</v>
      </c>
    </row>
    <row r="12" spans="1:10" x14ac:dyDescent="0.3">
      <c r="F12" s="1"/>
      <c r="J12">
        <f t="shared" si="0"/>
        <v>0</v>
      </c>
    </row>
    <row r="13" spans="1:10" x14ac:dyDescent="0.3">
      <c r="F13" s="1"/>
      <c r="J13">
        <f t="shared" si="0"/>
        <v>0</v>
      </c>
    </row>
    <row r="14" spans="1:10" x14ac:dyDescent="0.3">
      <c r="F14" s="1"/>
      <c r="J14">
        <f t="shared" si="0"/>
        <v>0</v>
      </c>
    </row>
    <row r="15" spans="1:10" x14ac:dyDescent="0.3">
      <c r="F15" s="1"/>
      <c r="J15">
        <f t="shared" si="0"/>
        <v>0</v>
      </c>
    </row>
    <row r="16" spans="1:10" x14ac:dyDescent="0.3">
      <c r="F16" s="1"/>
      <c r="J16">
        <f t="shared" si="0"/>
        <v>0</v>
      </c>
    </row>
    <row r="17" spans="6:10" x14ac:dyDescent="0.3">
      <c r="F17" s="1"/>
      <c r="J17">
        <f t="shared" si="0"/>
        <v>0</v>
      </c>
    </row>
    <row r="18" spans="6:10" x14ac:dyDescent="0.3">
      <c r="F18" s="1"/>
      <c r="J18">
        <f t="shared" si="0"/>
        <v>0</v>
      </c>
    </row>
    <row r="19" spans="6:10" x14ac:dyDescent="0.3">
      <c r="F19" s="1"/>
      <c r="J19">
        <f t="shared" si="0"/>
        <v>0</v>
      </c>
    </row>
    <row r="20" spans="6:10" x14ac:dyDescent="0.3">
      <c r="F20" s="1"/>
      <c r="J20">
        <f t="shared" si="0"/>
        <v>0</v>
      </c>
    </row>
    <row r="21" spans="6:10" x14ac:dyDescent="0.3">
      <c r="F21" s="1"/>
      <c r="J21">
        <f t="shared" si="0"/>
        <v>0</v>
      </c>
    </row>
    <row r="22" spans="6:10" x14ac:dyDescent="0.3">
      <c r="F22" s="1"/>
      <c r="J22">
        <f t="shared" si="0"/>
        <v>0</v>
      </c>
    </row>
    <row r="23" spans="6:10" x14ac:dyDescent="0.3">
      <c r="F23" s="1"/>
      <c r="J23">
        <f t="shared" si="0"/>
        <v>0</v>
      </c>
    </row>
    <row r="24" spans="6:10" x14ac:dyDescent="0.3">
      <c r="F24" s="1"/>
      <c r="J24">
        <f t="shared" si="0"/>
        <v>0</v>
      </c>
    </row>
    <row r="25" spans="6:10" x14ac:dyDescent="0.3">
      <c r="F25" s="1"/>
      <c r="J25">
        <f t="shared" si="0"/>
        <v>0</v>
      </c>
    </row>
    <row r="26" spans="6:10" x14ac:dyDescent="0.3">
      <c r="F26" s="1"/>
      <c r="J26">
        <f t="shared" si="0"/>
        <v>0</v>
      </c>
    </row>
    <row r="27" spans="6:10" x14ac:dyDescent="0.3">
      <c r="F27" s="1"/>
      <c r="J27">
        <f t="shared" si="0"/>
        <v>0</v>
      </c>
    </row>
    <row r="28" spans="6:10" x14ac:dyDescent="0.3">
      <c r="F28" s="1"/>
      <c r="J28">
        <f t="shared" si="0"/>
        <v>0</v>
      </c>
    </row>
    <row r="29" spans="6:10" x14ac:dyDescent="0.3">
      <c r="F29" s="1"/>
      <c r="J29">
        <f t="shared" si="0"/>
        <v>0</v>
      </c>
    </row>
    <row r="30" spans="6:10" x14ac:dyDescent="0.3">
      <c r="F30" s="1"/>
      <c r="J30">
        <f t="shared" si="0"/>
        <v>0</v>
      </c>
    </row>
    <row r="31" spans="6:10" x14ac:dyDescent="0.3">
      <c r="F31" s="1"/>
      <c r="J31">
        <f t="shared" si="0"/>
        <v>0</v>
      </c>
    </row>
    <row r="32" spans="6:10" x14ac:dyDescent="0.3">
      <c r="F32" s="1"/>
      <c r="J32">
        <f t="shared" si="0"/>
        <v>0</v>
      </c>
    </row>
    <row r="33" spans="1:10" x14ac:dyDescent="0.3">
      <c r="F33" s="1"/>
      <c r="J33">
        <f t="shared" si="0"/>
        <v>0</v>
      </c>
    </row>
    <row r="34" spans="1:10" x14ac:dyDescent="0.3">
      <c r="F34" s="1"/>
      <c r="J34">
        <f t="shared" si="0"/>
        <v>0</v>
      </c>
    </row>
    <row r="35" spans="1:10" x14ac:dyDescent="0.3">
      <c r="F35" s="1"/>
      <c r="J35">
        <f t="shared" si="0"/>
        <v>0</v>
      </c>
    </row>
    <row r="36" spans="1:10" x14ac:dyDescent="0.3">
      <c r="A36" t="s">
        <v>3</v>
      </c>
      <c r="B36" t="s">
        <v>81</v>
      </c>
      <c r="C36" t="s">
        <v>151</v>
      </c>
      <c r="D36" t="s">
        <v>173</v>
      </c>
      <c r="E36" t="s">
        <v>9</v>
      </c>
      <c r="F36" s="1">
        <v>9.919444444444446E-4</v>
      </c>
      <c r="G36" s="37">
        <v>2.0499999999999998</v>
      </c>
      <c r="H36">
        <v>2.64</v>
      </c>
      <c r="I36" s="37">
        <v>0.96599999999999997</v>
      </c>
      <c r="J36">
        <f t="shared" si="0"/>
        <v>2.5502400000000001</v>
      </c>
    </row>
    <row r="37" spans="1:10" x14ac:dyDescent="0.3">
      <c r="A37" t="s">
        <v>3</v>
      </c>
      <c r="B37" t="s">
        <v>81</v>
      </c>
      <c r="C37" t="s">
        <v>151</v>
      </c>
      <c r="D37" t="s">
        <v>173</v>
      </c>
      <c r="E37" t="s">
        <v>10</v>
      </c>
      <c r="F37" s="1">
        <v>9.7539351851851856E-4</v>
      </c>
      <c r="G37" s="37">
        <v>2.12</v>
      </c>
      <c r="H37">
        <v>2.73</v>
      </c>
      <c r="I37" s="37">
        <v>0.96599999999999997</v>
      </c>
      <c r="J37">
        <f t="shared" si="0"/>
        <v>2.6371799999999999</v>
      </c>
    </row>
    <row r="38" spans="1:10" x14ac:dyDescent="0.3">
      <c r="A38" t="s">
        <v>3</v>
      </c>
      <c r="B38" t="s">
        <v>81</v>
      </c>
      <c r="C38" t="s">
        <v>151</v>
      </c>
      <c r="D38" t="s">
        <v>173</v>
      </c>
      <c r="E38" t="s">
        <v>15</v>
      </c>
      <c r="F38" s="1">
        <v>9.7591435185185183E-4</v>
      </c>
      <c r="G38" s="37">
        <v>2.2200000000000002</v>
      </c>
      <c r="H38">
        <v>2.86</v>
      </c>
      <c r="I38" s="37">
        <v>0.96599999999999997</v>
      </c>
      <c r="J38">
        <f t="shared" si="0"/>
        <v>2.7627599999999997</v>
      </c>
    </row>
    <row r="39" spans="1:10" x14ac:dyDescent="0.3">
      <c r="A39" t="s">
        <v>3</v>
      </c>
      <c r="B39" t="s">
        <v>81</v>
      </c>
      <c r="C39" t="s">
        <v>151</v>
      </c>
      <c r="D39" t="s">
        <v>173</v>
      </c>
      <c r="E39" t="s">
        <v>16</v>
      </c>
      <c r="F39" s="1">
        <v>9.7481481481481486E-4</v>
      </c>
      <c r="G39" s="37">
        <v>2.23</v>
      </c>
      <c r="H39">
        <v>2.88</v>
      </c>
      <c r="I39" s="37">
        <v>0.96599999999999997</v>
      </c>
      <c r="J39">
        <f t="shared" si="0"/>
        <v>2.7820799999999997</v>
      </c>
    </row>
    <row r="40" spans="1:10" x14ac:dyDescent="0.3">
      <c r="A40" t="s">
        <v>3</v>
      </c>
      <c r="B40" t="s">
        <v>81</v>
      </c>
      <c r="C40" t="s">
        <v>151</v>
      </c>
      <c r="D40" t="s">
        <v>173</v>
      </c>
      <c r="E40" t="s">
        <v>17</v>
      </c>
      <c r="F40" s="1">
        <v>9.8349537037037047E-4</v>
      </c>
      <c r="G40" s="37">
        <v>2.16</v>
      </c>
      <c r="H40">
        <v>2.8</v>
      </c>
      <c r="I40" s="37">
        <v>0.96599999999999997</v>
      </c>
      <c r="J40">
        <f t="shared" si="0"/>
        <v>2.7047999999999996</v>
      </c>
    </row>
    <row r="41" spans="1:10" x14ac:dyDescent="0.3">
      <c r="A41" t="s">
        <v>3</v>
      </c>
      <c r="B41" t="s">
        <v>81</v>
      </c>
      <c r="C41" t="s">
        <v>151</v>
      </c>
      <c r="D41" t="s">
        <v>173</v>
      </c>
      <c r="E41" t="s">
        <v>18</v>
      </c>
      <c r="F41" s="1">
        <v>9.759837962962963E-4</v>
      </c>
      <c r="G41" s="37">
        <v>2.2000000000000002</v>
      </c>
      <c r="H41">
        <v>2.85</v>
      </c>
      <c r="I41" s="37">
        <v>0.96599999999999997</v>
      </c>
      <c r="J41">
        <f t="shared" si="0"/>
        <v>2.7530999999999999</v>
      </c>
    </row>
    <row r="42" spans="1:10" x14ac:dyDescent="0.3">
      <c r="A42" t="s">
        <v>3</v>
      </c>
      <c r="B42" t="s">
        <v>81</v>
      </c>
      <c r="C42" t="s">
        <v>151</v>
      </c>
      <c r="D42" t="s">
        <v>173</v>
      </c>
      <c r="E42" t="s">
        <v>19</v>
      </c>
      <c r="F42" s="1">
        <v>9.7494212962962964E-4</v>
      </c>
      <c r="G42" s="37">
        <v>2.21</v>
      </c>
      <c r="H42">
        <v>2.86</v>
      </c>
      <c r="I42" s="37">
        <v>0.96599999999999997</v>
      </c>
      <c r="J42">
        <f t="shared" si="0"/>
        <v>2.7627599999999997</v>
      </c>
    </row>
    <row r="43" spans="1:10" x14ac:dyDescent="0.3">
      <c r="A43" t="s">
        <v>3</v>
      </c>
      <c r="B43" t="s">
        <v>81</v>
      </c>
      <c r="C43" t="s">
        <v>151</v>
      </c>
      <c r="D43" t="s">
        <v>173</v>
      </c>
      <c r="E43" t="s">
        <v>45</v>
      </c>
      <c r="F43" s="1">
        <v>9.7700231481481488E-4</v>
      </c>
      <c r="G43" s="37">
        <v>2.1800000000000002</v>
      </c>
      <c r="H43">
        <v>2.82</v>
      </c>
      <c r="I43" s="37">
        <v>0.96599999999999997</v>
      </c>
      <c r="J43">
        <f t="shared" si="0"/>
        <v>2.7241199999999997</v>
      </c>
    </row>
    <row r="44" spans="1:10" x14ac:dyDescent="0.3">
      <c r="A44" t="s">
        <v>3</v>
      </c>
      <c r="B44" t="s">
        <v>81</v>
      </c>
      <c r="C44" t="s">
        <v>151</v>
      </c>
      <c r="D44" t="s">
        <v>173</v>
      </c>
      <c r="E44" t="s">
        <v>46</v>
      </c>
      <c r="F44" s="1">
        <v>9.9344907407407411E-4</v>
      </c>
      <c r="G44" s="37">
        <v>2.14</v>
      </c>
      <c r="H44">
        <v>2.77</v>
      </c>
      <c r="I44" s="37">
        <v>0.96599999999999997</v>
      </c>
      <c r="J44">
        <f t="shared" si="0"/>
        <v>2.6758199999999999</v>
      </c>
    </row>
    <row r="45" spans="1:10" x14ac:dyDescent="0.3">
      <c r="A45" t="s">
        <v>3</v>
      </c>
      <c r="B45" t="s">
        <v>81</v>
      </c>
      <c r="C45" t="s">
        <v>151</v>
      </c>
      <c r="D45" t="s">
        <v>173</v>
      </c>
      <c r="E45" t="s">
        <v>47</v>
      </c>
      <c r="F45" s="1">
        <v>9.8281249999999996E-4</v>
      </c>
      <c r="G45" s="37">
        <v>2.21</v>
      </c>
      <c r="H45">
        <v>2.86</v>
      </c>
      <c r="I45" s="37">
        <v>0.96599999999999997</v>
      </c>
      <c r="J45">
        <f t="shared" si="0"/>
        <v>2.7627599999999997</v>
      </c>
    </row>
    <row r="46" spans="1:10" x14ac:dyDescent="0.3">
      <c r="A46" t="s">
        <v>3</v>
      </c>
      <c r="B46" t="s">
        <v>81</v>
      </c>
      <c r="C46" t="s">
        <v>151</v>
      </c>
      <c r="D46" t="s">
        <v>173</v>
      </c>
      <c r="E46" t="s">
        <v>48</v>
      </c>
      <c r="F46" s="1">
        <v>9.7365740740740735E-4</v>
      </c>
      <c r="G46" s="37">
        <v>2.27</v>
      </c>
      <c r="H46">
        <v>2.93</v>
      </c>
      <c r="I46" s="37">
        <v>0.96599999999999997</v>
      </c>
      <c r="J46">
        <f t="shared" si="0"/>
        <v>2.8303799999999999</v>
      </c>
    </row>
    <row r="47" spans="1:10" x14ac:dyDescent="0.3">
      <c r="A47" t="s">
        <v>3</v>
      </c>
      <c r="B47" t="s">
        <v>81</v>
      </c>
      <c r="C47" t="s">
        <v>151</v>
      </c>
      <c r="D47" t="s">
        <v>173</v>
      </c>
      <c r="E47" t="s">
        <v>49</v>
      </c>
      <c r="F47" s="1">
        <v>9.7371527777777788E-4</v>
      </c>
      <c r="G47" s="37">
        <v>2.2799999999999998</v>
      </c>
      <c r="H47">
        <v>2.96</v>
      </c>
      <c r="I47" s="37">
        <v>0.96599999999999997</v>
      </c>
      <c r="J47">
        <f t="shared" si="0"/>
        <v>2.8593599999999997</v>
      </c>
    </row>
    <row r="48" spans="1:10" x14ac:dyDescent="0.3">
      <c r="A48" t="s">
        <v>3</v>
      </c>
      <c r="B48" t="s">
        <v>81</v>
      </c>
      <c r="C48" t="s">
        <v>151</v>
      </c>
      <c r="D48" t="s">
        <v>173</v>
      </c>
      <c r="E48" t="s">
        <v>50</v>
      </c>
      <c r="F48" s="1">
        <v>9.742476851851852E-4</v>
      </c>
      <c r="G48" s="37">
        <v>2.27</v>
      </c>
      <c r="H48">
        <v>2.94</v>
      </c>
      <c r="I48" s="37">
        <v>0.96599999999999997</v>
      </c>
      <c r="J48">
        <f t="shared" si="0"/>
        <v>2.8400399999999997</v>
      </c>
    </row>
    <row r="49" spans="1:10" x14ac:dyDescent="0.3">
      <c r="A49" t="s">
        <v>3</v>
      </c>
      <c r="B49" t="s">
        <v>81</v>
      </c>
      <c r="C49" t="s">
        <v>151</v>
      </c>
      <c r="D49" t="s">
        <v>173</v>
      </c>
      <c r="E49" t="s">
        <v>51</v>
      </c>
      <c r="F49" s="1">
        <v>9.7655092592592585E-4</v>
      </c>
      <c r="G49" s="37">
        <v>2.25</v>
      </c>
      <c r="H49">
        <v>2.92</v>
      </c>
      <c r="I49" s="37">
        <v>0.96599999999999997</v>
      </c>
      <c r="J49">
        <f t="shared" si="0"/>
        <v>2.8207199999999997</v>
      </c>
    </row>
    <row r="50" spans="1:10" x14ac:dyDescent="0.3">
      <c r="A50" t="s">
        <v>3</v>
      </c>
      <c r="B50" t="s">
        <v>81</v>
      </c>
      <c r="C50" t="s">
        <v>151</v>
      </c>
      <c r="D50" t="s">
        <v>173</v>
      </c>
      <c r="E50" t="s">
        <v>52</v>
      </c>
      <c r="F50" s="1">
        <v>9.7946759259259254E-4</v>
      </c>
      <c r="G50" s="37">
        <v>2.2000000000000002</v>
      </c>
      <c r="H50">
        <v>2.86</v>
      </c>
      <c r="I50" s="37">
        <v>0.96599999999999997</v>
      </c>
      <c r="J50">
        <f t="shared" si="0"/>
        <v>2.7627599999999997</v>
      </c>
    </row>
    <row r="51" spans="1:10" x14ac:dyDescent="0.3">
      <c r="A51" t="s">
        <v>3</v>
      </c>
      <c r="B51" t="s">
        <v>81</v>
      </c>
      <c r="C51" t="s">
        <v>151</v>
      </c>
      <c r="D51" t="s">
        <v>173</v>
      </c>
      <c r="E51" t="s">
        <v>53</v>
      </c>
      <c r="F51" s="1">
        <v>9.7503472222222219E-4</v>
      </c>
      <c r="G51" s="37">
        <v>2.2400000000000002</v>
      </c>
      <c r="H51">
        <v>2.91</v>
      </c>
      <c r="I51" s="37">
        <v>0.96599999999999997</v>
      </c>
      <c r="J51">
        <f t="shared" si="0"/>
        <v>2.8110599999999999</v>
      </c>
    </row>
    <row r="52" spans="1:10" x14ac:dyDescent="0.3">
      <c r="A52" t="s">
        <v>3</v>
      </c>
      <c r="B52" t="s">
        <v>81</v>
      </c>
      <c r="C52" t="s">
        <v>151</v>
      </c>
      <c r="D52" t="s">
        <v>173</v>
      </c>
      <c r="E52" t="s">
        <v>54</v>
      </c>
      <c r="F52" s="1">
        <v>9.7574074074074078E-4</v>
      </c>
      <c r="G52" s="37">
        <v>2.2200000000000002</v>
      </c>
      <c r="H52">
        <v>2.87</v>
      </c>
      <c r="I52" s="37">
        <v>0.96599999999999997</v>
      </c>
      <c r="J52">
        <f t="shared" si="0"/>
        <v>2.7724199999999999</v>
      </c>
    </row>
    <row r="53" spans="1:10" x14ac:dyDescent="0.3">
      <c r="A53" t="s">
        <v>3</v>
      </c>
      <c r="B53" t="s">
        <v>81</v>
      </c>
      <c r="C53" t="s">
        <v>151</v>
      </c>
      <c r="D53" t="s">
        <v>173</v>
      </c>
      <c r="E53" t="s">
        <v>55</v>
      </c>
      <c r="F53" s="1">
        <v>9.7365740740740735E-4</v>
      </c>
      <c r="G53" s="37">
        <v>2.2000000000000002</v>
      </c>
      <c r="H53">
        <v>2.85</v>
      </c>
      <c r="I53" s="37">
        <v>0.96599999999999997</v>
      </c>
      <c r="J53">
        <f t="shared" si="0"/>
        <v>2.7530999999999999</v>
      </c>
    </row>
    <row r="54" spans="1:10" x14ac:dyDescent="0.3">
      <c r="A54" t="s">
        <v>3</v>
      </c>
      <c r="B54" t="s">
        <v>81</v>
      </c>
      <c r="C54" t="s">
        <v>151</v>
      </c>
      <c r="D54" t="s">
        <v>173</v>
      </c>
      <c r="E54" t="s">
        <v>57</v>
      </c>
      <c r="F54" s="1">
        <v>9.6336805555555553E-4</v>
      </c>
      <c r="G54" s="37">
        <v>2.2999999999999998</v>
      </c>
      <c r="H54">
        <v>2.96</v>
      </c>
      <c r="I54" s="37">
        <v>0.96599999999999997</v>
      </c>
      <c r="J54">
        <f t="shared" si="0"/>
        <v>2.8593599999999997</v>
      </c>
    </row>
    <row r="55" spans="1:10" x14ac:dyDescent="0.3">
      <c r="A55" t="s">
        <v>3</v>
      </c>
      <c r="B55" t="s">
        <v>81</v>
      </c>
      <c r="C55" t="s">
        <v>151</v>
      </c>
      <c r="D55" t="s">
        <v>173</v>
      </c>
      <c r="E55" t="s">
        <v>58</v>
      </c>
      <c r="F55" s="1">
        <v>9.6156250000000007E-4</v>
      </c>
      <c r="G55" s="37">
        <v>2.31</v>
      </c>
      <c r="H55">
        <v>2.98</v>
      </c>
      <c r="I55" s="37">
        <v>0.96599999999999997</v>
      </c>
      <c r="J55">
        <f t="shared" si="0"/>
        <v>2.8786799999999997</v>
      </c>
    </row>
    <row r="56" spans="1:10" x14ac:dyDescent="0.3">
      <c r="A56" t="s">
        <v>3</v>
      </c>
      <c r="B56" t="s">
        <v>81</v>
      </c>
      <c r="C56" t="s">
        <v>151</v>
      </c>
      <c r="D56" t="s">
        <v>173</v>
      </c>
      <c r="E56" t="s">
        <v>72</v>
      </c>
      <c r="F56" s="1">
        <v>9.6192129629629633E-4</v>
      </c>
      <c r="G56" s="37">
        <v>2.31</v>
      </c>
      <c r="H56">
        <v>2.98</v>
      </c>
      <c r="I56" s="37">
        <v>0.96599999999999997</v>
      </c>
      <c r="J56">
        <f t="shared" si="0"/>
        <v>2.8786799999999997</v>
      </c>
    </row>
    <row r="57" spans="1:10" x14ac:dyDescent="0.3">
      <c r="A57" t="s">
        <v>3</v>
      </c>
      <c r="B57" t="s">
        <v>81</v>
      </c>
      <c r="C57" t="s">
        <v>151</v>
      </c>
      <c r="D57" t="s">
        <v>173</v>
      </c>
      <c r="E57" t="s">
        <v>59</v>
      </c>
      <c r="F57" s="1">
        <v>9.6144675925925933E-4</v>
      </c>
      <c r="G57" s="37">
        <v>2.2599999999999998</v>
      </c>
      <c r="H57">
        <v>2.92</v>
      </c>
      <c r="I57" s="37">
        <v>0.96599999999999997</v>
      </c>
      <c r="J57">
        <f t="shared" si="0"/>
        <v>2.8207199999999997</v>
      </c>
    </row>
    <row r="58" spans="1:10" x14ac:dyDescent="0.3">
      <c r="A58" t="s">
        <v>3</v>
      </c>
      <c r="B58" t="s">
        <v>81</v>
      </c>
      <c r="C58" t="s">
        <v>151</v>
      </c>
      <c r="D58" t="s">
        <v>173</v>
      </c>
      <c r="E58" t="s">
        <v>60</v>
      </c>
      <c r="F58" s="1">
        <v>9.6151620370370369E-4</v>
      </c>
      <c r="G58" s="37">
        <v>2.25</v>
      </c>
      <c r="H58">
        <v>2.91</v>
      </c>
      <c r="I58" s="37">
        <v>0.96599999999999997</v>
      </c>
      <c r="J58">
        <f t="shared" si="0"/>
        <v>2.8110599999999999</v>
      </c>
    </row>
    <row r="59" spans="1:10" x14ac:dyDescent="0.3">
      <c r="A59" t="s">
        <v>3</v>
      </c>
      <c r="B59" t="s">
        <v>81</v>
      </c>
      <c r="C59" t="s">
        <v>151</v>
      </c>
      <c r="D59" t="s">
        <v>173</v>
      </c>
      <c r="E59" t="s">
        <v>61</v>
      </c>
      <c r="F59" s="1">
        <v>9.6532407407407407E-4</v>
      </c>
      <c r="G59" s="37">
        <v>2.25</v>
      </c>
      <c r="H59">
        <v>2.92</v>
      </c>
      <c r="I59" s="37">
        <v>0.96599999999999997</v>
      </c>
      <c r="J59">
        <f t="shared" si="0"/>
        <v>2.8207199999999997</v>
      </c>
    </row>
    <row r="60" spans="1:10" x14ac:dyDescent="0.3">
      <c r="A60" t="s">
        <v>3</v>
      </c>
      <c r="B60" t="s">
        <v>81</v>
      </c>
      <c r="C60" t="s">
        <v>151</v>
      </c>
      <c r="D60" t="s">
        <v>173</v>
      </c>
      <c r="E60" t="s">
        <v>62</v>
      </c>
      <c r="F60" s="1">
        <v>9.6337962962962968E-4</v>
      </c>
      <c r="G60" s="37">
        <v>2.2599999999999998</v>
      </c>
      <c r="H60">
        <v>2.92</v>
      </c>
      <c r="I60" s="37">
        <v>0.96599999999999997</v>
      </c>
      <c r="J60">
        <f t="shared" si="0"/>
        <v>2.8207199999999997</v>
      </c>
    </row>
    <row r="61" spans="1:10" x14ac:dyDescent="0.3">
      <c r="A61" t="s">
        <v>3</v>
      </c>
      <c r="B61" t="s">
        <v>81</v>
      </c>
      <c r="C61" t="s">
        <v>151</v>
      </c>
      <c r="D61" t="s">
        <v>173</v>
      </c>
      <c r="E61" t="s">
        <v>63</v>
      </c>
      <c r="F61" s="1">
        <v>9.6446759259259261E-4</v>
      </c>
      <c r="G61" s="37">
        <v>2.25</v>
      </c>
      <c r="H61">
        <v>2.9</v>
      </c>
      <c r="I61" s="37">
        <v>0.96599999999999997</v>
      </c>
      <c r="J61">
        <f t="shared" si="0"/>
        <v>2.8013999999999997</v>
      </c>
    </row>
    <row r="62" spans="1:10" x14ac:dyDescent="0.3">
      <c r="A62" t="s">
        <v>3</v>
      </c>
      <c r="B62" t="s">
        <v>81</v>
      </c>
      <c r="C62" t="s">
        <v>151</v>
      </c>
      <c r="D62" t="s">
        <v>173</v>
      </c>
      <c r="E62" t="s">
        <v>64</v>
      </c>
      <c r="F62" s="1">
        <v>9.6512731481481482E-4</v>
      </c>
      <c r="G62" s="37">
        <v>2.2400000000000002</v>
      </c>
      <c r="H62">
        <v>2.9</v>
      </c>
      <c r="I62" s="37">
        <v>0.96599999999999997</v>
      </c>
      <c r="J62">
        <f t="shared" si="0"/>
        <v>2.8013999999999997</v>
      </c>
    </row>
    <row r="63" spans="1:10" x14ac:dyDescent="0.3">
      <c r="A63" t="s">
        <v>3</v>
      </c>
      <c r="B63" t="s">
        <v>81</v>
      </c>
      <c r="C63" t="s">
        <v>151</v>
      </c>
      <c r="D63" t="s">
        <v>173</v>
      </c>
      <c r="E63" t="s">
        <v>65</v>
      </c>
      <c r="F63" s="1">
        <v>9.6539351851851853E-4</v>
      </c>
      <c r="G63" s="37">
        <v>2.2400000000000002</v>
      </c>
      <c r="H63">
        <v>2.88</v>
      </c>
      <c r="I63" s="37">
        <v>0.96599999999999997</v>
      </c>
      <c r="J63">
        <f t="shared" si="0"/>
        <v>2.7820799999999997</v>
      </c>
    </row>
    <row r="64" spans="1:10" x14ac:dyDescent="0.3">
      <c r="A64" t="s">
        <v>3</v>
      </c>
      <c r="B64" t="s">
        <v>81</v>
      </c>
      <c r="C64" t="s">
        <v>151</v>
      </c>
      <c r="D64" t="s">
        <v>173</v>
      </c>
      <c r="E64" t="s">
        <v>66</v>
      </c>
      <c r="F64" s="1">
        <v>9.7336805555555555E-4</v>
      </c>
      <c r="G64" s="37">
        <v>2.2000000000000002</v>
      </c>
      <c r="H64">
        <v>2.84</v>
      </c>
      <c r="I64" s="37">
        <v>0.96599999999999997</v>
      </c>
      <c r="J64">
        <f t="shared" si="0"/>
        <v>2.7434399999999997</v>
      </c>
    </row>
    <row r="65" spans="1:10" x14ac:dyDescent="0.3">
      <c r="A65" t="s">
        <v>3</v>
      </c>
      <c r="B65" t="s">
        <v>81</v>
      </c>
      <c r="C65" t="s">
        <v>151</v>
      </c>
      <c r="D65" t="s">
        <v>173</v>
      </c>
      <c r="E65" t="s">
        <v>67</v>
      </c>
      <c r="F65" s="1">
        <v>9.7487268518518517E-4</v>
      </c>
      <c r="G65" s="37">
        <v>2.21</v>
      </c>
      <c r="H65">
        <v>2.85</v>
      </c>
      <c r="I65" s="37">
        <v>0.96599999999999997</v>
      </c>
      <c r="J65">
        <f t="shared" si="0"/>
        <v>2.7530999999999999</v>
      </c>
    </row>
    <row r="66" spans="1:10" x14ac:dyDescent="0.3">
      <c r="A66" t="s">
        <v>3</v>
      </c>
      <c r="B66" t="s">
        <v>81</v>
      </c>
      <c r="C66" t="s">
        <v>151</v>
      </c>
      <c r="D66" t="s">
        <v>173</v>
      </c>
      <c r="E66" t="s">
        <v>68</v>
      </c>
      <c r="F66" s="1">
        <v>9.7314814814814811E-4</v>
      </c>
      <c r="G66" s="37">
        <v>2.21</v>
      </c>
      <c r="H66">
        <v>2.86</v>
      </c>
      <c r="I66" s="37">
        <v>0.96599999999999997</v>
      </c>
      <c r="J66">
        <f t="shared" si="0"/>
        <v>2.7627599999999997</v>
      </c>
    </row>
    <row r="67" spans="1:10" x14ac:dyDescent="0.3">
      <c r="A67" t="s">
        <v>3</v>
      </c>
      <c r="B67" t="s">
        <v>81</v>
      </c>
      <c r="C67" t="s">
        <v>151</v>
      </c>
      <c r="D67" t="s">
        <v>173</v>
      </c>
      <c r="E67" t="s">
        <v>69</v>
      </c>
      <c r="F67" s="1">
        <v>9.7105324074074075E-4</v>
      </c>
      <c r="G67" s="37">
        <v>2.1800000000000002</v>
      </c>
      <c r="H67">
        <v>2.81</v>
      </c>
      <c r="I67" s="37">
        <v>0.96599999999999997</v>
      </c>
      <c r="J67">
        <f t="shared" si="0"/>
        <v>2.7144599999999999</v>
      </c>
    </row>
    <row r="68" spans="1:10" x14ac:dyDescent="0.3">
      <c r="A68" t="s">
        <v>3</v>
      </c>
      <c r="B68" t="s">
        <v>81</v>
      </c>
      <c r="C68" t="s">
        <v>151</v>
      </c>
      <c r="D68" t="s">
        <v>173</v>
      </c>
      <c r="E68" t="s">
        <v>70</v>
      </c>
      <c r="F68" s="1">
        <v>9.991782407407408E-4</v>
      </c>
      <c r="G68" s="37">
        <v>2.0499999999999998</v>
      </c>
      <c r="H68">
        <v>2.67</v>
      </c>
      <c r="I68" s="37">
        <v>0.96599999999999997</v>
      </c>
      <c r="J68">
        <f t="shared" ref="J68:J131" si="1">H68*I68</f>
        <v>2.5792199999999998</v>
      </c>
    </row>
    <row r="69" spans="1:10" x14ac:dyDescent="0.3">
      <c r="A69" t="s">
        <v>3</v>
      </c>
      <c r="B69" t="s">
        <v>81</v>
      </c>
      <c r="C69" t="s">
        <v>151</v>
      </c>
      <c r="D69" t="s">
        <v>173</v>
      </c>
      <c r="E69" t="s">
        <v>71</v>
      </c>
      <c r="F69" s="1">
        <v>9.8954861111111118E-4</v>
      </c>
      <c r="G69" s="37">
        <v>2.09</v>
      </c>
      <c r="H69">
        <v>2.72</v>
      </c>
      <c r="I69" s="37">
        <v>0.96599999999999997</v>
      </c>
      <c r="J69">
        <f t="shared" si="1"/>
        <v>2.6275200000000001</v>
      </c>
    </row>
    <row r="70" spans="1:10" x14ac:dyDescent="0.3">
      <c r="A70" t="s">
        <v>3</v>
      </c>
      <c r="B70" t="s">
        <v>11</v>
      </c>
      <c r="C70" t="s">
        <v>151</v>
      </c>
      <c r="D70" t="s">
        <v>174</v>
      </c>
      <c r="E70" t="s">
        <v>9</v>
      </c>
      <c r="F70" s="1">
        <v>9.9067129629629614E-4</v>
      </c>
      <c r="G70" s="37">
        <v>2.1</v>
      </c>
      <c r="H70">
        <v>2.69</v>
      </c>
      <c r="I70" s="37">
        <v>0.97499999999999998</v>
      </c>
      <c r="J70">
        <f t="shared" si="1"/>
        <v>2.6227499999999999</v>
      </c>
    </row>
    <row r="71" spans="1:10" x14ac:dyDescent="0.3">
      <c r="A71" t="s">
        <v>3</v>
      </c>
      <c r="B71" t="s">
        <v>11</v>
      </c>
      <c r="C71" t="s">
        <v>151</v>
      </c>
      <c r="D71" t="s">
        <v>174</v>
      </c>
      <c r="E71" t="s">
        <v>10</v>
      </c>
      <c r="F71" s="1">
        <v>9.710648148148149E-4</v>
      </c>
      <c r="G71" s="37">
        <v>2.16</v>
      </c>
      <c r="H71">
        <v>2.78</v>
      </c>
      <c r="I71" s="37">
        <v>0.97499999999999998</v>
      </c>
      <c r="J71">
        <f t="shared" si="1"/>
        <v>2.7104999999999997</v>
      </c>
    </row>
    <row r="72" spans="1:10" x14ac:dyDescent="0.3">
      <c r="A72" t="s">
        <v>3</v>
      </c>
      <c r="B72" t="s">
        <v>11</v>
      </c>
      <c r="C72" t="s">
        <v>151</v>
      </c>
      <c r="D72" t="s">
        <v>174</v>
      </c>
      <c r="E72" t="s">
        <v>15</v>
      </c>
      <c r="F72" s="1">
        <v>9.7587962962962971E-4</v>
      </c>
      <c r="G72" s="37">
        <v>2.13</v>
      </c>
      <c r="H72">
        <v>2.74</v>
      </c>
      <c r="I72" s="37">
        <v>0.97499999999999998</v>
      </c>
      <c r="J72">
        <f t="shared" si="1"/>
        <v>2.6715</v>
      </c>
    </row>
    <row r="73" spans="1:10" x14ac:dyDescent="0.3">
      <c r="A73" t="s">
        <v>3</v>
      </c>
      <c r="B73" t="s">
        <v>11</v>
      </c>
      <c r="C73" t="s">
        <v>151</v>
      </c>
      <c r="D73" t="s">
        <v>174</v>
      </c>
      <c r="E73" t="s">
        <v>16</v>
      </c>
      <c r="F73" s="1">
        <v>9.7524305555555548E-4</v>
      </c>
      <c r="G73" s="37">
        <v>2.1</v>
      </c>
      <c r="H73">
        <v>2.69</v>
      </c>
      <c r="I73" s="37">
        <v>0.97499999999999998</v>
      </c>
      <c r="J73">
        <f t="shared" si="1"/>
        <v>2.6227499999999999</v>
      </c>
    </row>
    <row r="74" spans="1:10" x14ac:dyDescent="0.3">
      <c r="A74" t="s">
        <v>3</v>
      </c>
      <c r="B74" t="s">
        <v>11</v>
      </c>
      <c r="C74" t="s">
        <v>151</v>
      </c>
      <c r="D74" t="s">
        <v>174</v>
      </c>
      <c r="E74" t="s">
        <v>17</v>
      </c>
      <c r="F74" s="1">
        <v>9.8697916666666682E-4</v>
      </c>
      <c r="G74" s="37">
        <v>2.16</v>
      </c>
      <c r="H74">
        <v>2.77</v>
      </c>
      <c r="I74" s="37">
        <v>0.97499999999999998</v>
      </c>
      <c r="J74">
        <f t="shared" si="1"/>
        <v>2.7007499999999998</v>
      </c>
    </row>
    <row r="75" spans="1:10" x14ac:dyDescent="0.3">
      <c r="A75" t="s">
        <v>3</v>
      </c>
      <c r="B75" t="s">
        <v>11</v>
      </c>
      <c r="C75" t="s">
        <v>151</v>
      </c>
      <c r="D75" t="s">
        <v>174</v>
      </c>
      <c r="E75" t="s">
        <v>18</v>
      </c>
      <c r="F75" s="1">
        <v>9.755902777777777E-4</v>
      </c>
      <c r="G75" s="37">
        <v>2.2200000000000002</v>
      </c>
      <c r="H75">
        <v>2.85</v>
      </c>
      <c r="I75" s="37">
        <v>0.97499999999999998</v>
      </c>
      <c r="J75">
        <f t="shared" si="1"/>
        <v>2.7787500000000001</v>
      </c>
    </row>
    <row r="76" spans="1:10" x14ac:dyDescent="0.3">
      <c r="A76" t="s">
        <v>3</v>
      </c>
      <c r="B76" t="s">
        <v>11</v>
      </c>
      <c r="C76" t="s">
        <v>151</v>
      </c>
      <c r="D76" t="s">
        <v>174</v>
      </c>
      <c r="E76" t="s">
        <v>19</v>
      </c>
      <c r="F76" s="1">
        <v>9.739583333333334E-4</v>
      </c>
      <c r="G76" s="37">
        <v>2.2400000000000002</v>
      </c>
      <c r="H76">
        <v>2.86</v>
      </c>
      <c r="I76" s="37">
        <v>0.97499999999999998</v>
      </c>
      <c r="J76">
        <f t="shared" si="1"/>
        <v>2.7885</v>
      </c>
    </row>
    <row r="77" spans="1:10" x14ac:dyDescent="0.3">
      <c r="A77" t="s">
        <v>3</v>
      </c>
      <c r="B77" t="s">
        <v>11</v>
      </c>
      <c r="C77" t="s">
        <v>151</v>
      </c>
      <c r="D77" t="s">
        <v>174</v>
      </c>
      <c r="E77" t="s">
        <v>45</v>
      </c>
      <c r="F77" s="1">
        <v>9.7988425925925934E-4</v>
      </c>
      <c r="G77" s="37">
        <v>2.2599999999999998</v>
      </c>
      <c r="H77">
        <v>2.88</v>
      </c>
      <c r="I77" s="37">
        <v>0.97499999999999998</v>
      </c>
      <c r="J77">
        <f t="shared" si="1"/>
        <v>2.8079999999999998</v>
      </c>
    </row>
    <row r="78" spans="1:10" x14ac:dyDescent="0.3">
      <c r="A78" t="s">
        <v>3</v>
      </c>
      <c r="B78" t="s">
        <v>11</v>
      </c>
      <c r="C78" t="s">
        <v>151</v>
      </c>
      <c r="D78" t="s">
        <v>174</v>
      </c>
      <c r="E78" t="s">
        <v>46</v>
      </c>
      <c r="F78" s="1">
        <v>9.9354166666666666E-4</v>
      </c>
      <c r="G78" s="37">
        <v>2.19</v>
      </c>
      <c r="H78">
        <v>2.81</v>
      </c>
      <c r="I78" s="37">
        <v>0.97499999999999998</v>
      </c>
      <c r="J78">
        <f t="shared" si="1"/>
        <v>2.7397499999999999</v>
      </c>
    </row>
    <row r="79" spans="1:10" x14ac:dyDescent="0.3">
      <c r="A79" t="s">
        <v>3</v>
      </c>
      <c r="B79" t="s">
        <v>11</v>
      </c>
      <c r="C79" t="s">
        <v>151</v>
      </c>
      <c r="D79" t="s">
        <v>174</v>
      </c>
      <c r="E79" t="s">
        <v>47</v>
      </c>
      <c r="F79" s="1">
        <v>1.0054166666666666E-3</v>
      </c>
      <c r="G79" s="37">
        <v>2.2000000000000002</v>
      </c>
      <c r="H79">
        <v>2.82</v>
      </c>
      <c r="I79" s="37">
        <v>0.97499999999999998</v>
      </c>
      <c r="J79">
        <f t="shared" si="1"/>
        <v>2.7494999999999998</v>
      </c>
    </row>
    <row r="80" spans="1:10" x14ac:dyDescent="0.3">
      <c r="A80" t="s">
        <v>3</v>
      </c>
      <c r="B80" t="s">
        <v>11</v>
      </c>
      <c r="C80" t="s">
        <v>151</v>
      </c>
      <c r="D80" t="s">
        <v>174</v>
      </c>
      <c r="E80" t="s">
        <v>48</v>
      </c>
      <c r="F80" s="1">
        <v>9.9237268518518511E-4</v>
      </c>
      <c r="G80" s="37">
        <v>2.19</v>
      </c>
      <c r="H80">
        <v>2.82</v>
      </c>
      <c r="I80" s="37">
        <v>0.97499999999999998</v>
      </c>
      <c r="J80">
        <f t="shared" si="1"/>
        <v>2.7494999999999998</v>
      </c>
    </row>
    <row r="81" spans="1:10" x14ac:dyDescent="0.3">
      <c r="A81" t="s">
        <v>3</v>
      </c>
      <c r="B81" t="s">
        <v>11</v>
      </c>
      <c r="C81" t="s">
        <v>151</v>
      </c>
      <c r="D81" t="s">
        <v>174</v>
      </c>
      <c r="E81" t="s">
        <v>49</v>
      </c>
      <c r="F81" s="1">
        <v>9.8454861111111117E-4</v>
      </c>
      <c r="G81" s="37">
        <v>2.21</v>
      </c>
      <c r="H81">
        <v>2.83</v>
      </c>
      <c r="I81" s="37">
        <v>0.97499999999999998</v>
      </c>
      <c r="J81">
        <f t="shared" si="1"/>
        <v>2.7592500000000002</v>
      </c>
    </row>
    <row r="82" spans="1:10" x14ac:dyDescent="0.3">
      <c r="A82" t="s">
        <v>3</v>
      </c>
      <c r="B82" t="s">
        <v>11</v>
      </c>
      <c r="C82" t="s">
        <v>151</v>
      </c>
      <c r="D82" t="s">
        <v>174</v>
      </c>
      <c r="E82" t="s">
        <v>51</v>
      </c>
      <c r="F82" s="1">
        <v>9.7530092592592579E-4</v>
      </c>
      <c r="G82" s="37">
        <v>2.27</v>
      </c>
      <c r="H82">
        <v>2.91</v>
      </c>
      <c r="I82" s="37">
        <v>0.97499999999999998</v>
      </c>
      <c r="J82">
        <f t="shared" si="1"/>
        <v>2.83725</v>
      </c>
    </row>
    <row r="83" spans="1:10" x14ac:dyDescent="0.3">
      <c r="A83" t="s">
        <v>3</v>
      </c>
      <c r="B83" t="s">
        <v>11</v>
      </c>
      <c r="C83" t="s">
        <v>151</v>
      </c>
      <c r="D83" t="s">
        <v>174</v>
      </c>
      <c r="E83" t="s">
        <v>52</v>
      </c>
      <c r="F83" s="1">
        <v>9.7910879629629628E-4</v>
      </c>
      <c r="G83" s="37">
        <v>2.23</v>
      </c>
      <c r="H83">
        <v>2.85</v>
      </c>
      <c r="I83" s="37">
        <v>0.97499999999999998</v>
      </c>
      <c r="J83">
        <f t="shared" si="1"/>
        <v>2.7787500000000001</v>
      </c>
    </row>
    <row r="84" spans="1:10" x14ac:dyDescent="0.3">
      <c r="A84" t="s">
        <v>3</v>
      </c>
      <c r="B84" t="s">
        <v>11</v>
      </c>
      <c r="C84" t="s">
        <v>151</v>
      </c>
      <c r="D84" t="s">
        <v>174</v>
      </c>
      <c r="E84" t="s">
        <v>53</v>
      </c>
      <c r="F84" s="1">
        <v>9.7218749999999996E-4</v>
      </c>
      <c r="G84" s="37">
        <v>2.25</v>
      </c>
      <c r="H84">
        <v>2.89</v>
      </c>
      <c r="I84" s="37">
        <v>0.97499999999999998</v>
      </c>
      <c r="J84">
        <f t="shared" si="1"/>
        <v>2.8177500000000002</v>
      </c>
    </row>
    <row r="85" spans="1:10" x14ac:dyDescent="0.3">
      <c r="A85" t="s">
        <v>3</v>
      </c>
      <c r="B85" t="s">
        <v>11</v>
      </c>
      <c r="C85" t="s">
        <v>151</v>
      </c>
      <c r="D85" t="s">
        <v>174</v>
      </c>
      <c r="E85" t="s">
        <v>54</v>
      </c>
      <c r="F85" s="1">
        <v>9.710648148148149E-4</v>
      </c>
      <c r="G85" s="37">
        <v>2.25</v>
      </c>
      <c r="H85">
        <v>2.88</v>
      </c>
      <c r="I85" s="37">
        <v>0.97499999999999998</v>
      </c>
      <c r="J85">
        <f t="shared" si="1"/>
        <v>2.8079999999999998</v>
      </c>
    </row>
    <row r="86" spans="1:10" x14ac:dyDescent="0.3">
      <c r="A86" t="s">
        <v>3</v>
      </c>
      <c r="B86" t="s">
        <v>11</v>
      </c>
      <c r="C86" t="s">
        <v>151</v>
      </c>
      <c r="D86" t="s">
        <v>174</v>
      </c>
      <c r="E86" t="s">
        <v>55</v>
      </c>
      <c r="F86" s="1">
        <v>9.6765046296296302E-4</v>
      </c>
      <c r="G86" s="37">
        <v>2.2599999999999998</v>
      </c>
      <c r="H86">
        <v>2.89</v>
      </c>
      <c r="I86" s="37">
        <v>0.97499999999999998</v>
      </c>
      <c r="J86">
        <f t="shared" si="1"/>
        <v>2.8177500000000002</v>
      </c>
    </row>
    <row r="87" spans="1:10" x14ac:dyDescent="0.3">
      <c r="A87" t="s">
        <v>3</v>
      </c>
      <c r="B87" t="s">
        <v>11</v>
      </c>
      <c r="C87" t="s">
        <v>151</v>
      </c>
      <c r="D87" t="s">
        <v>174</v>
      </c>
      <c r="E87" t="s">
        <v>56</v>
      </c>
      <c r="F87" s="1">
        <v>9.9276620370370382E-4</v>
      </c>
      <c r="G87" s="37">
        <v>2.13</v>
      </c>
      <c r="H87">
        <v>2.73</v>
      </c>
      <c r="I87" s="37">
        <v>0.97499999999999998</v>
      </c>
      <c r="J87">
        <f t="shared" si="1"/>
        <v>2.6617500000000001</v>
      </c>
    </row>
    <row r="88" spans="1:10" x14ac:dyDescent="0.3">
      <c r="A88" t="s">
        <v>3</v>
      </c>
      <c r="B88" t="s">
        <v>11</v>
      </c>
      <c r="C88" t="s">
        <v>151</v>
      </c>
      <c r="D88" t="s">
        <v>174</v>
      </c>
      <c r="E88" t="s">
        <v>57</v>
      </c>
      <c r="F88" s="1">
        <v>9.7501157407407411E-4</v>
      </c>
      <c r="G88" s="37">
        <v>2.2000000000000002</v>
      </c>
      <c r="H88">
        <v>2.82</v>
      </c>
      <c r="I88" s="37">
        <v>0.97499999999999998</v>
      </c>
      <c r="J88">
        <f t="shared" si="1"/>
        <v>2.7494999999999998</v>
      </c>
    </row>
    <row r="89" spans="1:10" x14ac:dyDescent="0.3">
      <c r="A89" t="s">
        <v>3</v>
      </c>
      <c r="B89" t="s">
        <v>11</v>
      </c>
      <c r="C89" t="s">
        <v>151</v>
      </c>
      <c r="D89" t="s">
        <v>174</v>
      </c>
      <c r="E89" t="s">
        <v>58</v>
      </c>
      <c r="F89" s="1">
        <v>9.8677083333333342E-4</v>
      </c>
      <c r="G89" s="37">
        <v>2.11</v>
      </c>
      <c r="H89">
        <v>2.69</v>
      </c>
      <c r="I89" s="37">
        <v>0.97499999999999998</v>
      </c>
      <c r="J89">
        <f t="shared" si="1"/>
        <v>2.6227499999999999</v>
      </c>
    </row>
    <row r="90" spans="1:10" x14ac:dyDescent="0.3">
      <c r="A90" t="s">
        <v>3</v>
      </c>
      <c r="B90" t="s">
        <v>11</v>
      </c>
      <c r="C90" t="s">
        <v>151</v>
      </c>
      <c r="D90" t="s">
        <v>174</v>
      </c>
      <c r="E90" t="s">
        <v>72</v>
      </c>
      <c r="F90" s="1">
        <v>9.7226851851851858E-4</v>
      </c>
      <c r="G90" s="37">
        <v>2.1800000000000002</v>
      </c>
      <c r="H90">
        <v>2.79</v>
      </c>
      <c r="I90" s="37">
        <v>0.97499999999999998</v>
      </c>
      <c r="J90">
        <f t="shared" si="1"/>
        <v>2.7202500000000001</v>
      </c>
    </row>
    <row r="91" spans="1:10" x14ac:dyDescent="0.3">
      <c r="A91" t="s">
        <v>3</v>
      </c>
      <c r="B91" t="s">
        <v>11</v>
      </c>
      <c r="C91" t="s">
        <v>151</v>
      </c>
      <c r="D91" t="s">
        <v>174</v>
      </c>
      <c r="E91" t="s">
        <v>59</v>
      </c>
      <c r="F91" s="1">
        <v>9.7246527777777782E-4</v>
      </c>
      <c r="G91" s="37">
        <v>2.2000000000000002</v>
      </c>
      <c r="H91">
        <v>2.83</v>
      </c>
      <c r="I91" s="37">
        <v>0.97499999999999998</v>
      </c>
      <c r="J91">
        <f t="shared" si="1"/>
        <v>2.7592500000000002</v>
      </c>
    </row>
    <row r="92" spans="1:10" x14ac:dyDescent="0.3">
      <c r="A92" t="s">
        <v>3</v>
      </c>
      <c r="B92" t="s">
        <v>11</v>
      </c>
      <c r="C92" t="s">
        <v>151</v>
      </c>
      <c r="D92" t="s">
        <v>174</v>
      </c>
      <c r="E92" t="s">
        <v>60</v>
      </c>
      <c r="F92" s="1">
        <v>9.7031250000000015E-4</v>
      </c>
      <c r="G92" s="37">
        <v>2.23</v>
      </c>
      <c r="H92">
        <v>2.86</v>
      </c>
      <c r="I92" s="37">
        <v>0.97499999999999998</v>
      </c>
      <c r="J92">
        <f t="shared" si="1"/>
        <v>2.7885</v>
      </c>
    </row>
    <row r="93" spans="1:10" x14ac:dyDescent="0.3">
      <c r="A93" t="s">
        <v>3</v>
      </c>
      <c r="B93" t="s">
        <v>11</v>
      </c>
      <c r="C93" t="s">
        <v>151</v>
      </c>
      <c r="D93" t="s">
        <v>174</v>
      </c>
      <c r="E93" t="s">
        <v>61</v>
      </c>
      <c r="F93" s="1">
        <v>9.7703703703703689E-4</v>
      </c>
      <c r="G93" s="37">
        <v>2.21</v>
      </c>
      <c r="H93">
        <v>2.85</v>
      </c>
      <c r="I93" s="37">
        <v>0.97499999999999998</v>
      </c>
      <c r="J93">
        <f t="shared" si="1"/>
        <v>2.7787500000000001</v>
      </c>
    </row>
    <row r="94" spans="1:10" x14ac:dyDescent="0.3">
      <c r="A94" t="s">
        <v>3</v>
      </c>
      <c r="B94" t="s">
        <v>11</v>
      </c>
      <c r="C94" t="s">
        <v>151</v>
      </c>
      <c r="D94" t="s">
        <v>174</v>
      </c>
      <c r="E94" t="s">
        <v>62</v>
      </c>
      <c r="F94" s="1">
        <v>9.7344907407407406E-4</v>
      </c>
      <c r="G94" s="37">
        <v>2.21</v>
      </c>
      <c r="H94">
        <v>2.85</v>
      </c>
      <c r="I94" s="37">
        <v>0.97499999999999998</v>
      </c>
      <c r="J94">
        <f t="shared" si="1"/>
        <v>2.7787500000000001</v>
      </c>
    </row>
    <row r="95" spans="1:10" x14ac:dyDescent="0.3">
      <c r="A95" t="s">
        <v>3</v>
      </c>
      <c r="B95" t="s">
        <v>11</v>
      </c>
      <c r="C95" t="s">
        <v>151</v>
      </c>
      <c r="D95" t="s">
        <v>174</v>
      </c>
      <c r="E95" t="s">
        <v>63</v>
      </c>
      <c r="F95" s="1">
        <v>9.7494212962962964E-4</v>
      </c>
      <c r="G95" s="37">
        <v>2.23</v>
      </c>
      <c r="H95">
        <v>2.87</v>
      </c>
      <c r="I95" s="37">
        <v>0.97499999999999998</v>
      </c>
      <c r="J95">
        <f t="shared" si="1"/>
        <v>2.7982499999999999</v>
      </c>
    </row>
    <row r="96" spans="1:10" x14ac:dyDescent="0.3">
      <c r="A96" t="s">
        <v>3</v>
      </c>
      <c r="B96" t="s">
        <v>11</v>
      </c>
      <c r="C96" t="s">
        <v>151</v>
      </c>
      <c r="D96" t="s">
        <v>174</v>
      </c>
      <c r="E96" t="s">
        <v>64</v>
      </c>
      <c r="F96" s="1">
        <v>9.7812500000000004E-4</v>
      </c>
      <c r="G96" s="37">
        <v>2.2000000000000002</v>
      </c>
      <c r="H96">
        <v>2.84</v>
      </c>
      <c r="I96" s="37">
        <v>0.97499999999999998</v>
      </c>
      <c r="J96">
        <f t="shared" si="1"/>
        <v>2.7689999999999997</v>
      </c>
    </row>
    <row r="97" spans="1:10" x14ac:dyDescent="0.3">
      <c r="A97" t="s">
        <v>3</v>
      </c>
      <c r="B97" t="s">
        <v>11</v>
      </c>
      <c r="C97" t="s">
        <v>151</v>
      </c>
      <c r="D97" t="s">
        <v>174</v>
      </c>
      <c r="E97" t="s">
        <v>65</v>
      </c>
      <c r="F97" s="1">
        <v>9.9331018518518518E-4</v>
      </c>
      <c r="G97" s="37">
        <v>2.2200000000000002</v>
      </c>
      <c r="H97">
        <v>2.85</v>
      </c>
      <c r="I97" s="37">
        <v>0.97499999999999998</v>
      </c>
      <c r="J97">
        <f t="shared" si="1"/>
        <v>2.7787500000000001</v>
      </c>
    </row>
    <row r="98" spans="1:10" x14ac:dyDescent="0.3">
      <c r="A98" t="s">
        <v>3</v>
      </c>
      <c r="B98" t="s">
        <v>11</v>
      </c>
      <c r="C98" t="s">
        <v>151</v>
      </c>
      <c r="D98" t="s">
        <v>174</v>
      </c>
      <c r="E98" t="s">
        <v>66</v>
      </c>
      <c r="F98" s="1">
        <v>9.9920138888888888E-4</v>
      </c>
      <c r="G98" s="37">
        <v>2.14</v>
      </c>
      <c r="H98">
        <v>2.74</v>
      </c>
      <c r="I98" s="37">
        <v>0.97499999999999998</v>
      </c>
      <c r="J98">
        <f t="shared" si="1"/>
        <v>2.6715</v>
      </c>
    </row>
    <row r="99" spans="1:10" x14ac:dyDescent="0.3">
      <c r="A99" t="s">
        <v>3</v>
      </c>
      <c r="B99" t="s">
        <v>11</v>
      </c>
      <c r="C99" t="s">
        <v>151</v>
      </c>
      <c r="D99" t="s">
        <v>174</v>
      </c>
      <c r="E99" t="s">
        <v>67</v>
      </c>
      <c r="F99" s="1">
        <v>9.837962962962962E-4</v>
      </c>
      <c r="G99" s="37">
        <v>2.1800000000000002</v>
      </c>
      <c r="H99">
        <v>2.82</v>
      </c>
      <c r="I99" s="37">
        <v>0.97499999999999998</v>
      </c>
      <c r="J99">
        <f t="shared" si="1"/>
        <v>2.7494999999999998</v>
      </c>
    </row>
    <row r="100" spans="1:10" x14ac:dyDescent="0.3">
      <c r="A100" t="s">
        <v>3</v>
      </c>
      <c r="B100" t="s">
        <v>11</v>
      </c>
      <c r="C100" t="s">
        <v>151</v>
      </c>
      <c r="D100" t="s">
        <v>174</v>
      </c>
      <c r="E100" t="s">
        <v>68</v>
      </c>
      <c r="F100" s="1">
        <v>9.8037037037037038E-4</v>
      </c>
      <c r="G100" s="37">
        <v>2.1800000000000002</v>
      </c>
      <c r="H100">
        <v>2.79</v>
      </c>
      <c r="I100" s="37">
        <v>0.97499999999999998</v>
      </c>
      <c r="J100">
        <f t="shared" si="1"/>
        <v>2.7202500000000001</v>
      </c>
    </row>
    <row r="101" spans="1:10" x14ac:dyDescent="0.3">
      <c r="A101" t="s">
        <v>3</v>
      </c>
      <c r="B101" t="s">
        <v>11</v>
      </c>
      <c r="C101" t="s">
        <v>151</v>
      </c>
      <c r="D101" t="s">
        <v>174</v>
      </c>
      <c r="E101" t="s">
        <v>69</v>
      </c>
      <c r="F101" s="1">
        <v>9.8144675925925916E-4</v>
      </c>
      <c r="G101" s="37">
        <v>2.17</v>
      </c>
      <c r="H101">
        <v>2.79</v>
      </c>
      <c r="I101" s="37">
        <v>0.97499999999999998</v>
      </c>
      <c r="J101">
        <f t="shared" si="1"/>
        <v>2.7202500000000001</v>
      </c>
    </row>
    <row r="102" spans="1:10" x14ac:dyDescent="0.3">
      <c r="A102" t="s">
        <v>3</v>
      </c>
      <c r="B102" t="s">
        <v>11</v>
      </c>
      <c r="C102" t="s">
        <v>151</v>
      </c>
      <c r="D102" t="s">
        <v>174</v>
      </c>
      <c r="E102" t="s">
        <v>70</v>
      </c>
      <c r="F102" s="1">
        <v>9.8368055555555557E-4</v>
      </c>
      <c r="G102" s="37">
        <v>2.16</v>
      </c>
      <c r="H102">
        <v>2.79</v>
      </c>
      <c r="I102" s="37">
        <v>0.97499999999999998</v>
      </c>
      <c r="J102">
        <f t="shared" si="1"/>
        <v>2.7202500000000001</v>
      </c>
    </row>
    <row r="103" spans="1:10" x14ac:dyDescent="0.3">
      <c r="A103" t="s">
        <v>3</v>
      </c>
      <c r="B103" t="s">
        <v>11</v>
      </c>
      <c r="C103" t="s">
        <v>151</v>
      </c>
      <c r="D103" t="s">
        <v>174</v>
      </c>
      <c r="E103" t="s">
        <v>71</v>
      </c>
      <c r="F103" s="1">
        <v>9.8657407407407396E-4</v>
      </c>
      <c r="G103" s="37">
        <v>2.16</v>
      </c>
      <c r="H103">
        <v>2.78</v>
      </c>
      <c r="I103" s="37">
        <v>0.97499999999999998</v>
      </c>
      <c r="J103">
        <f t="shared" si="1"/>
        <v>2.7104999999999997</v>
      </c>
    </row>
    <row r="104" spans="1:10" x14ac:dyDescent="0.3">
      <c r="F104" s="1"/>
      <c r="J104">
        <f t="shared" si="1"/>
        <v>0</v>
      </c>
    </row>
    <row r="105" spans="1:10" x14ac:dyDescent="0.3">
      <c r="F105" s="1"/>
      <c r="J105">
        <f t="shared" si="1"/>
        <v>0</v>
      </c>
    </row>
    <row r="106" spans="1:10" x14ac:dyDescent="0.3">
      <c r="F106" s="1"/>
      <c r="J106">
        <f t="shared" si="1"/>
        <v>0</v>
      </c>
    </row>
    <row r="107" spans="1:10" x14ac:dyDescent="0.3">
      <c r="F107" s="1"/>
      <c r="J107">
        <f t="shared" si="1"/>
        <v>0</v>
      </c>
    </row>
    <row r="108" spans="1:10" x14ac:dyDescent="0.3">
      <c r="F108" s="1"/>
      <c r="J108">
        <f t="shared" si="1"/>
        <v>0</v>
      </c>
    </row>
    <row r="109" spans="1:10" x14ac:dyDescent="0.3">
      <c r="F109" s="1"/>
      <c r="J109">
        <f t="shared" si="1"/>
        <v>0</v>
      </c>
    </row>
    <row r="110" spans="1:10" x14ac:dyDescent="0.3">
      <c r="F110" s="1"/>
      <c r="J110">
        <f t="shared" si="1"/>
        <v>0</v>
      </c>
    </row>
    <row r="111" spans="1:10" x14ac:dyDescent="0.3">
      <c r="F111" s="1"/>
      <c r="J111">
        <f t="shared" si="1"/>
        <v>0</v>
      </c>
    </row>
    <row r="112" spans="1:10" x14ac:dyDescent="0.3">
      <c r="F112" s="1"/>
      <c r="J112">
        <f t="shared" si="1"/>
        <v>0</v>
      </c>
    </row>
    <row r="113" spans="6:10" x14ac:dyDescent="0.3">
      <c r="F113" s="1"/>
      <c r="J113">
        <f t="shared" si="1"/>
        <v>0</v>
      </c>
    </row>
    <row r="114" spans="6:10" x14ac:dyDescent="0.3">
      <c r="F114" s="1"/>
      <c r="J114">
        <f t="shared" si="1"/>
        <v>0</v>
      </c>
    </row>
    <row r="115" spans="6:10" x14ac:dyDescent="0.3">
      <c r="F115" s="1"/>
      <c r="J115">
        <f t="shared" si="1"/>
        <v>0</v>
      </c>
    </row>
    <row r="116" spans="6:10" x14ac:dyDescent="0.3">
      <c r="F116" s="1"/>
      <c r="J116">
        <f t="shared" si="1"/>
        <v>0</v>
      </c>
    </row>
    <row r="117" spans="6:10" x14ac:dyDescent="0.3">
      <c r="F117" s="1"/>
      <c r="J117">
        <f t="shared" si="1"/>
        <v>0</v>
      </c>
    </row>
    <row r="118" spans="6:10" x14ac:dyDescent="0.3">
      <c r="F118" s="1"/>
      <c r="J118">
        <f t="shared" si="1"/>
        <v>0</v>
      </c>
    </row>
    <row r="119" spans="6:10" x14ac:dyDescent="0.3">
      <c r="F119" s="1"/>
      <c r="J119">
        <f t="shared" si="1"/>
        <v>0</v>
      </c>
    </row>
    <row r="120" spans="6:10" x14ac:dyDescent="0.3">
      <c r="F120" s="1"/>
      <c r="J120">
        <f t="shared" si="1"/>
        <v>0</v>
      </c>
    </row>
    <row r="121" spans="6:10" x14ac:dyDescent="0.3">
      <c r="F121" s="1"/>
      <c r="J121">
        <f t="shared" si="1"/>
        <v>0</v>
      </c>
    </row>
    <row r="122" spans="6:10" x14ac:dyDescent="0.3">
      <c r="F122" s="1"/>
      <c r="J122">
        <f t="shared" si="1"/>
        <v>0</v>
      </c>
    </row>
    <row r="123" spans="6:10" x14ac:dyDescent="0.3">
      <c r="F123" s="1"/>
      <c r="J123">
        <f t="shared" si="1"/>
        <v>0</v>
      </c>
    </row>
    <row r="124" spans="6:10" x14ac:dyDescent="0.3">
      <c r="F124" s="1"/>
      <c r="J124">
        <f t="shared" si="1"/>
        <v>0</v>
      </c>
    </row>
    <row r="125" spans="6:10" x14ac:dyDescent="0.3">
      <c r="F125" s="1"/>
      <c r="J125">
        <f t="shared" si="1"/>
        <v>0</v>
      </c>
    </row>
    <row r="126" spans="6:10" x14ac:dyDescent="0.3">
      <c r="F126" s="1"/>
      <c r="J126">
        <f t="shared" si="1"/>
        <v>0</v>
      </c>
    </row>
    <row r="127" spans="6:10" x14ac:dyDescent="0.3">
      <c r="F127" s="1"/>
      <c r="J127">
        <f t="shared" si="1"/>
        <v>0</v>
      </c>
    </row>
    <row r="128" spans="6:10" x14ac:dyDescent="0.3">
      <c r="F128" s="1"/>
      <c r="J128">
        <f t="shared" si="1"/>
        <v>0</v>
      </c>
    </row>
    <row r="129" spans="1:10" x14ac:dyDescent="0.3">
      <c r="F129" s="1"/>
      <c r="J129">
        <f t="shared" si="1"/>
        <v>0</v>
      </c>
    </row>
    <row r="130" spans="1:10" x14ac:dyDescent="0.3">
      <c r="F130" s="1"/>
      <c r="J130">
        <f t="shared" si="1"/>
        <v>0</v>
      </c>
    </row>
    <row r="131" spans="1:10" x14ac:dyDescent="0.3">
      <c r="F131" s="1"/>
      <c r="J131">
        <f t="shared" si="1"/>
        <v>0</v>
      </c>
    </row>
    <row r="132" spans="1:10" x14ac:dyDescent="0.3">
      <c r="F132" s="1"/>
      <c r="J132">
        <f t="shared" ref="J132:J195" si="2">H132*I132</f>
        <v>0</v>
      </c>
    </row>
    <row r="133" spans="1:10" x14ac:dyDescent="0.3">
      <c r="F133" s="1"/>
      <c r="J133">
        <f t="shared" si="2"/>
        <v>0</v>
      </c>
    </row>
    <row r="134" spans="1:10" x14ac:dyDescent="0.3">
      <c r="F134" s="1"/>
      <c r="J134">
        <f t="shared" si="2"/>
        <v>0</v>
      </c>
    </row>
    <row r="135" spans="1:10" x14ac:dyDescent="0.3">
      <c r="F135" s="1"/>
      <c r="J135">
        <f t="shared" si="2"/>
        <v>0</v>
      </c>
    </row>
    <row r="136" spans="1:10" x14ac:dyDescent="0.3">
      <c r="F136" s="1"/>
      <c r="J136">
        <f t="shared" si="2"/>
        <v>0</v>
      </c>
    </row>
    <row r="137" spans="1:10" x14ac:dyDescent="0.3">
      <c r="F137" s="1"/>
      <c r="J137">
        <f t="shared" si="2"/>
        <v>0</v>
      </c>
    </row>
    <row r="138" spans="1:10" x14ac:dyDescent="0.3">
      <c r="A138" t="s">
        <v>3</v>
      </c>
      <c r="B138" t="s">
        <v>77</v>
      </c>
      <c r="C138" t="s">
        <v>151</v>
      </c>
      <c r="D138" t="s">
        <v>175</v>
      </c>
      <c r="E138" t="s">
        <v>9</v>
      </c>
      <c r="F138" s="1">
        <v>9.6842592592592586E-4</v>
      </c>
      <c r="G138" s="37">
        <v>2.14</v>
      </c>
      <c r="H138">
        <v>2.74</v>
      </c>
      <c r="I138" s="37">
        <v>0.97499999999999998</v>
      </c>
      <c r="J138">
        <f t="shared" si="2"/>
        <v>2.6715</v>
      </c>
    </row>
    <row r="139" spans="1:10" x14ac:dyDescent="0.3">
      <c r="A139" t="s">
        <v>3</v>
      </c>
      <c r="B139" t="s">
        <v>77</v>
      </c>
      <c r="C139" t="s">
        <v>151</v>
      </c>
      <c r="D139" t="s">
        <v>175</v>
      </c>
      <c r="E139" t="s">
        <v>10</v>
      </c>
      <c r="F139" s="1">
        <v>9.7224537037037028E-4</v>
      </c>
      <c r="G139" s="37">
        <v>2.08</v>
      </c>
      <c r="H139">
        <v>2.67</v>
      </c>
      <c r="I139" s="37">
        <v>0.97499999999999998</v>
      </c>
      <c r="J139">
        <f t="shared" si="2"/>
        <v>2.6032500000000001</v>
      </c>
    </row>
    <row r="140" spans="1:10" x14ac:dyDescent="0.3">
      <c r="A140" t="s">
        <v>3</v>
      </c>
      <c r="B140" t="s">
        <v>77</v>
      </c>
      <c r="C140" t="s">
        <v>151</v>
      </c>
      <c r="D140" t="s">
        <v>175</v>
      </c>
      <c r="E140" t="s">
        <v>15</v>
      </c>
      <c r="F140" s="1">
        <v>9.7127314814814819E-4</v>
      </c>
      <c r="G140" s="37">
        <v>2.12</v>
      </c>
      <c r="H140">
        <v>2.72</v>
      </c>
      <c r="I140" s="37">
        <v>0.97499999999999998</v>
      </c>
      <c r="J140">
        <f t="shared" si="2"/>
        <v>2.6520000000000001</v>
      </c>
    </row>
    <row r="141" spans="1:10" x14ac:dyDescent="0.3">
      <c r="A141" t="s">
        <v>3</v>
      </c>
      <c r="B141" t="s">
        <v>77</v>
      </c>
      <c r="C141" t="s">
        <v>151</v>
      </c>
      <c r="D141" t="s">
        <v>175</v>
      </c>
      <c r="E141" t="s">
        <v>16</v>
      </c>
      <c r="F141" s="1">
        <v>9.7131944444444436E-4</v>
      </c>
      <c r="G141" s="37">
        <v>2.1</v>
      </c>
      <c r="H141">
        <v>2.69</v>
      </c>
      <c r="I141" s="37">
        <v>0.97499999999999998</v>
      </c>
      <c r="J141">
        <f t="shared" si="2"/>
        <v>2.6227499999999999</v>
      </c>
    </row>
    <row r="142" spans="1:10" x14ac:dyDescent="0.3">
      <c r="A142" t="s">
        <v>3</v>
      </c>
      <c r="B142" t="s">
        <v>77</v>
      </c>
      <c r="C142" t="s">
        <v>151</v>
      </c>
      <c r="D142" t="s">
        <v>175</v>
      </c>
      <c r="E142" t="s">
        <v>17</v>
      </c>
      <c r="F142" s="1">
        <v>9.7490740740740741E-4</v>
      </c>
      <c r="G142" s="37">
        <v>2.08</v>
      </c>
      <c r="H142">
        <v>2.68</v>
      </c>
      <c r="I142" s="37">
        <v>0.97499999999999998</v>
      </c>
      <c r="J142">
        <f t="shared" si="2"/>
        <v>2.613</v>
      </c>
    </row>
    <row r="143" spans="1:10" x14ac:dyDescent="0.3">
      <c r="A143" t="s">
        <v>3</v>
      </c>
      <c r="B143" t="s">
        <v>77</v>
      </c>
      <c r="C143" t="s">
        <v>151</v>
      </c>
      <c r="D143" t="s">
        <v>175</v>
      </c>
      <c r="E143" t="s">
        <v>18</v>
      </c>
      <c r="F143" s="1">
        <v>9.737731481481482E-4</v>
      </c>
      <c r="G143" s="37">
        <v>2.12</v>
      </c>
      <c r="H143">
        <v>2.73</v>
      </c>
      <c r="I143" s="37">
        <v>0.97499999999999998</v>
      </c>
      <c r="J143">
        <f t="shared" si="2"/>
        <v>2.6617500000000001</v>
      </c>
    </row>
    <row r="144" spans="1:10" x14ac:dyDescent="0.3">
      <c r="A144" t="s">
        <v>3</v>
      </c>
      <c r="B144" t="s">
        <v>77</v>
      </c>
      <c r="C144" t="s">
        <v>151</v>
      </c>
      <c r="D144" t="s">
        <v>175</v>
      </c>
      <c r="E144" t="s">
        <v>19</v>
      </c>
      <c r="F144" s="1">
        <v>9.7576388888888886E-4</v>
      </c>
      <c r="G144" s="37">
        <v>2.08</v>
      </c>
      <c r="H144">
        <v>2.67</v>
      </c>
      <c r="I144" s="37">
        <v>0.97499999999999998</v>
      </c>
      <c r="J144">
        <f t="shared" si="2"/>
        <v>2.6032500000000001</v>
      </c>
    </row>
    <row r="145" spans="1:10" x14ac:dyDescent="0.3">
      <c r="A145" t="s">
        <v>3</v>
      </c>
      <c r="B145" t="s">
        <v>77</v>
      </c>
      <c r="C145" t="s">
        <v>151</v>
      </c>
      <c r="D145" t="s">
        <v>175</v>
      </c>
      <c r="E145" t="s">
        <v>45</v>
      </c>
      <c r="F145" s="1">
        <v>9.7678240740740755E-4</v>
      </c>
      <c r="G145" s="37">
        <v>2.11</v>
      </c>
      <c r="H145">
        <v>2.71</v>
      </c>
      <c r="I145" s="37">
        <v>0.97499999999999998</v>
      </c>
      <c r="J145">
        <f t="shared" si="2"/>
        <v>2.6422499999999998</v>
      </c>
    </row>
    <row r="146" spans="1:10" x14ac:dyDescent="0.3">
      <c r="A146" t="s">
        <v>3</v>
      </c>
      <c r="B146" t="s">
        <v>77</v>
      </c>
      <c r="C146" t="s">
        <v>151</v>
      </c>
      <c r="D146" t="s">
        <v>175</v>
      </c>
      <c r="E146" t="s">
        <v>46</v>
      </c>
      <c r="F146" s="1">
        <v>9.8450231481481479E-4</v>
      </c>
      <c r="G146" s="37">
        <v>2.09</v>
      </c>
      <c r="H146">
        <v>2.68</v>
      </c>
      <c r="I146" s="37">
        <v>0.97499999999999998</v>
      </c>
      <c r="J146">
        <f t="shared" si="2"/>
        <v>2.613</v>
      </c>
    </row>
    <row r="147" spans="1:10" x14ac:dyDescent="0.3">
      <c r="A147" t="s">
        <v>3</v>
      </c>
      <c r="B147" t="s">
        <v>77</v>
      </c>
      <c r="C147" t="s">
        <v>151</v>
      </c>
      <c r="D147" t="s">
        <v>175</v>
      </c>
      <c r="E147" t="s">
        <v>47</v>
      </c>
      <c r="F147" s="1">
        <v>9.810069444444445E-4</v>
      </c>
      <c r="G147" s="37">
        <v>2.12</v>
      </c>
      <c r="H147">
        <v>2.72</v>
      </c>
      <c r="I147" s="37">
        <v>0.97499999999999998</v>
      </c>
      <c r="J147">
        <f t="shared" si="2"/>
        <v>2.6520000000000001</v>
      </c>
    </row>
    <row r="148" spans="1:10" x14ac:dyDescent="0.3">
      <c r="A148" t="s">
        <v>3</v>
      </c>
      <c r="B148" t="s">
        <v>77</v>
      </c>
      <c r="C148" t="s">
        <v>151</v>
      </c>
      <c r="D148" t="s">
        <v>175</v>
      </c>
      <c r="E148" t="s">
        <v>48</v>
      </c>
      <c r="F148" s="1">
        <v>9.8004629629629635E-4</v>
      </c>
      <c r="G148" s="37">
        <v>2.12</v>
      </c>
      <c r="H148">
        <v>2.71</v>
      </c>
      <c r="I148" s="37">
        <v>0.97499999999999998</v>
      </c>
      <c r="J148">
        <f t="shared" si="2"/>
        <v>2.6422499999999998</v>
      </c>
    </row>
    <row r="149" spans="1:10" x14ac:dyDescent="0.3">
      <c r="A149" t="s">
        <v>3</v>
      </c>
      <c r="B149" t="s">
        <v>77</v>
      </c>
      <c r="C149" t="s">
        <v>151</v>
      </c>
      <c r="D149" t="s">
        <v>175</v>
      </c>
      <c r="E149" t="s">
        <v>49</v>
      </c>
      <c r="F149" s="1">
        <v>9.7670138888888893E-4</v>
      </c>
      <c r="G149" s="37">
        <v>2.14</v>
      </c>
      <c r="H149">
        <v>2.75</v>
      </c>
      <c r="I149" s="37">
        <v>0.97499999999999998</v>
      </c>
      <c r="J149">
        <f t="shared" si="2"/>
        <v>2.6812499999999999</v>
      </c>
    </row>
    <row r="150" spans="1:10" x14ac:dyDescent="0.3">
      <c r="A150" t="s">
        <v>3</v>
      </c>
      <c r="B150" t="s">
        <v>77</v>
      </c>
      <c r="C150" t="s">
        <v>151</v>
      </c>
      <c r="D150" t="s">
        <v>175</v>
      </c>
      <c r="E150" t="s">
        <v>50</v>
      </c>
      <c r="F150" s="1">
        <v>9.7827546296296291E-4</v>
      </c>
      <c r="G150" s="37">
        <v>2.17</v>
      </c>
      <c r="H150">
        <v>2.78</v>
      </c>
      <c r="I150" s="37">
        <v>0.97499999999999998</v>
      </c>
      <c r="J150">
        <f t="shared" si="2"/>
        <v>2.7104999999999997</v>
      </c>
    </row>
    <row r="151" spans="1:10" x14ac:dyDescent="0.3">
      <c r="A151" t="s">
        <v>3</v>
      </c>
      <c r="B151" t="s">
        <v>77</v>
      </c>
      <c r="C151" t="s">
        <v>151</v>
      </c>
      <c r="D151" t="s">
        <v>175</v>
      </c>
      <c r="E151" t="s">
        <v>51</v>
      </c>
      <c r="F151" s="1">
        <v>9.7601851851851853E-4</v>
      </c>
      <c r="G151" s="37">
        <v>2.17</v>
      </c>
      <c r="H151">
        <v>2.78</v>
      </c>
      <c r="I151" s="37">
        <v>0.97499999999999998</v>
      </c>
      <c r="J151">
        <f t="shared" si="2"/>
        <v>2.7104999999999997</v>
      </c>
    </row>
    <row r="152" spans="1:10" x14ac:dyDescent="0.3">
      <c r="A152" t="s">
        <v>3</v>
      </c>
      <c r="B152" t="s">
        <v>77</v>
      </c>
      <c r="C152" t="s">
        <v>151</v>
      </c>
      <c r="D152" t="s">
        <v>175</v>
      </c>
      <c r="E152" t="s">
        <v>52</v>
      </c>
      <c r="F152" s="1">
        <v>9.7589120370370375E-4</v>
      </c>
      <c r="G152" s="37">
        <v>2.1800000000000002</v>
      </c>
      <c r="H152">
        <v>2.8</v>
      </c>
      <c r="I152" s="37">
        <v>0.97499999999999998</v>
      </c>
      <c r="J152">
        <f t="shared" si="2"/>
        <v>2.73</v>
      </c>
    </row>
    <row r="153" spans="1:10" x14ac:dyDescent="0.3">
      <c r="A153" t="s">
        <v>3</v>
      </c>
      <c r="B153" t="s">
        <v>77</v>
      </c>
      <c r="C153" t="s">
        <v>151</v>
      </c>
      <c r="D153" t="s">
        <v>175</v>
      </c>
      <c r="E153" t="s">
        <v>53</v>
      </c>
      <c r="F153" s="1">
        <v>9.7589120370370375E-4</v>
      </c>
      <c r="G153" s="37">
        <v>2.17</v>
      </c>
      <c r="H153">
        <v>2.79</v>
      </c>
      <c r="I153" s="37">
        <v>0.97499999999999998</v>
      </c>
      <c r="J153">
        <f t="shared" si="2"/>
        <v>2.7202500000000001</v>
      </c>
    </row>
    <row r="154" spans="1:10" x14ac:dyDescent="0.3">
      <c r="A154" t="s">
        <v>3</v>
      </c>
      <c r="B154" t="s">
        <v>77</v>
      </c>
      <c r="C154" t="s">
        <v>151</v>
      </c>
      <c r="D154" t="s">
        <v>175</v>
      </c>
      <c r="E154" t="s">
        <v>54</v>
      </c>
      <c r="F154" s="1">
        <v>9.7665509259259255E-4</v>
      </c>
      <c r="G154" s="37">
        <v>2.15</v>
      </c>
      <c r="H154">
        <v>2.76</v>
      </c>
      <c r="I154" s="37">
        <v>0.97499999999999998</v>
      </c>
      <c r="J154">
        <f t="shared" si="2"/>
        <v>2.6909999999999998</v>
      </c>
    </row>
    <row r="155" spans="1:10" x14ac:dyDescent="0.3">
      <c r="A155" t="s">
        <v>3</v>
      </c>
      <c r="B155" t="s">
        <v>77</v>
      </c>
      <c r="C155" t="s">
        <v>151</v>
      </c>
      <c r="D155" t="s">
        <v>175</v>
      </c>
      <c r="E155" t="s">
        <v>56</v>
      </c>
      <c r="F155" s="1">
        <v>9.6045138888888894E-4</v>
      </c>
      <c r="G155" s="37">
        <v>2.2400000000000002</v>
      </c>
      <c r="H155">
        <v>2.87</v>
      </c>
      <c r="I155" s="37">
        <v>0.97499999999999998</v>
      </c>
      <c r="J155">
        <f t="shared" si="2"/>
        <v>2.7982499999999999</v>
      </c>
    </row>
    <row r="156" spans="1:10" x14ac:dyDescent="0.3">
      <c r="A156" t="s">
        <v>3</v>
      </c>
      <c r="B156" t="s">
        <v>77</v>
      </c>
      <c r="C156" t="s">
        <v>151</v>
      </c>
      <c r="D156" t="s">
        <v>175</v>
      </c>
      <c r="E156" t="s">
        <v>57</v>
      </c>
      <c r="F156" s="1">
        <v>9.6062500000000011E-4</v>
      </c>
      <c r="G156" s="37">
        <v>2.23</v>
      </c>
      <c r="H156">
        <v>2.86</v>
      </c>
      <c r="I156" s="37">
        <v>0.97499999999999998</v>
      </c>
      <c r="J156">
        <f t="shared" si="2"/>
        <v>2.7885</v>
      </c>
    </row>
    <row r="157" spans="1:10" x14ac:dyDescent="0.3">
      <c r="A157" t="s">
        <v>3</v>
      </c>
      <c r="B157" t="s">
        <v>77</v>
      </c>
      <c r="C157" t="s">
        <v>151</v>
      </c>
      <c r="D157" t="s">
        <v>175</v>
      </c>
      <c r="E157" t="s">
        <v>58</v>
      </c>
      <c r="F157" s="1">
        <v>9.6171296296296293E-4</v>
      </c>
      <c r="G157" s="37">
        <v>2.21</v>
      </c>
      <c r="H157">
        <v>2.83</v>
      </c>
      <c r="I157" s="37">
        <v>0.97499999999999998</v>
      </c>
      <c r="J157">
        <f t="shared" si="2"/>
        <v>2.7592500000000002</v>
      </c>
    </row>
    <row r="158" spans="1:10" x14ac:dyDescent="0.3">
      <c r="A158" t="s">
        <v>3</v>
      </c>
      <c r="B158" t="s">
        <v>77</v>
      </c>
      <c r="C158" t="s">
        <v>151</v>
      </c>
      <c r="D158" t="s">
        <v>175</v>
      </c>
      <c r="E158" t="s">
        <v>72</v>
      </c>
      <c r="F158" s="1">
        <v>9.6439814814814815E-4</v>
      </c>
      <c r="G158" s="37">
        <v>2.2000000000000002</v>
      </c>
      <c r="H158">
        <v>2.81</v>
      </c>
      <c r="I158" s="37">
        <v>0.97499999999999998</v>
      </c>
      <c r="J158">
        <f t="shared" si="2"/>
        <v>2.7397499999999999</v>
      </c>
    </row>
    <row r="159" spans="1:10" x14ac:dyDescent="0.3">
      <c r="A159" t="s">
        <v>3</v>
      </c>
      <c r="B159" t="s">
        <v>77</v>
      </c>
      <c r="C159" t="s">
        <v>151</v>
      </c>
      <c r="D159" t="s">
        <v>175</v>
      </c>
      <c r="E159" t="s">
        <v>59</v>
      </c>
      <c r="F159" s="1">
        <v>9.6442129629629623E-4</v>
      </c>
      <c r="G159" s="37">
        <v>2.19</v>
      </c>
      <c r="H159">
        <v>2.81</v>
      </c>
      <c r="I159" s="37">
        <v>0.97499999999999998</v>
      </c>
      <c r="J159">
        <f t="shared" si="2"/>
        <v>2.7397499999999999</v>
      </c>
    </row>
    <row r="160" spans="1:10" x14ac:dyDescent="0.3">
      <c r="A160" t="s">
        <v>3</v>
      </c>
      <c r="B160" t="s">
        <v>77</v>
      </c>
      <c r="C160" t="s">
        <v>151</v>
      </c>
      <c r="D160" t="s">
        <v>175</v>
      </c>
      <c r="E160" t="s">
        <v>60</v>
      </c>
      <c r="F160" s="1">
        <v>9.642013888888889E-4</v>
      </c>
      <c r="G160" s="37">
        <v>2.2000000000000002</v>
      </c>
      <c r="H160">
        <v>2.82</v>
      </c>
      <c r="I160" s="37">
        <v>0.97499999999999998</v>
      </c>
      <c r="J160">
        <f t="shared" si="2"/>
        <v>2.7494999999999998</v>
      </c>
    </row>
    <row r="161" spans="1:10" x14ac:dyDescent="0.3">
      <c r="A161" t="s">
        <v>3</v>
      </c>
      <c r="B161" t="s">
        <v>77</v>
      </c>
      <c r="C161" t="s">
        <v>151</v>
      </c>
      <c r="D161" t="s">
        <v>175</v>
      </c>
      <c r="E161" t="s">
        <v>61</v>
      </c>
      <c r="F161" s="1">
        <v>9.6826388888888895E-4</v>
      </c>
      <c r="G161" s="37">
        <v>2.2000000000000002</v>
      </c>
      <c r="H161">
        <v>2.82</v>
      </c>
      <c r="I161" s="37">
        <v>0.97499999999999998</v>
      </c>
      <c r="J161">
        <f t="shared" si="2"/>
        <v>2.7494999999999998</v>
      </c>
    </row>
    <row r="162" spans="1:10" x14ac:dyDescent="0.3">
      <c r="A162" t="s">
        <v>3</v>
      </c>
      <c r="B162" t="s">
        <v>77</v>
      </c>
      <c r="C162" t="s">
        <v>151</v>
      </c>
      <c r="D162" t="s">
        <v>175</v>
      </c>
      <c r="E162" t="s">
        <v>62</v>
      </c>
      <c r="F162" s="1">
        <v>9.6826388888888895E-4</v>
      </c>
      <c r="G162" s="37">
        <v>2.16</v>
      </c>
      <c r="H162">
        <v>2.77</v>
      </c>
      <c r="I162" s="37">
        <v>0.97499999999999998</v>
      </c>
      <c r="J162">
        <f t="shared" si="2"/>
        <v>2.7007499999999998</v>
      </c>
    </row>
    <row r="163" spans="1:10" x14ac:dyDescent="0.3">
      <c r="A163" t="s">
        <v>3</v>
      </c>
      <c r="B163" t="s">
        <v>77</v>
      </c>
      <c r="C163" t="s">
        <v>151</v>
      </c>
      <c r="D163" t="s">
        <v>175</v>
      </c>
      <c r="E163" t="s">
        <v>63</v>
      </c>
      <c r="F163" s="1">
        <v>9.7068287037037045E-4</v>
      </c>
      <c r="G163" s="37">
        <v>2.12</v>
      </c>
      <c r="H163">
        <v>2.72</v>
      </c>
      <c r="I163" s="37">
        <v>0.97499999999999998</v>
      </c>
      <c r="J163">
        <f t="shared" si="2"/>
        <v>2.6520000000000001</v>
      </c>
    </row>
    <row r="164" spans="1:10" x14ac:dyDescent="0.3">
      <c r="A164" t="s">
        <v>3</v>
      </c>
      <c r="B164" t="s">
        <v>77</v>
      </c>
      <c r="C164" t="s">
        <v>151</v>
      </c>
      <c r="D164" t="s">
        <v>175</v>
      </c>
      <c r="E164" t="s">
        <v>64</v>
      </c>
      <c r="F164" s="1">
        <v>9.674074074074075E-4</v>
      </c>
      <c r="G164" s="37">
        <v>2.17</v>
      </c>
      <c r="H164">
        <v>2.8</v>
      </c>
      <c r="I164" s="37">
        <v>0.97499999999999998</v>
      </c>
      <c r="J164">
        <f t="shared" si="2"/>
        <v>2.73</v>
      </c>
    </row>
    <row r="165" spans="1:10" x14ac:dyDescent="0.3">
      <c r="A165" t="s">
        <v>3</v>
      </c>
      <c r="B165" t="s">
        <v>77</v>
      </c>
      <c r="C165" t="s">
        <v>151</v>
      </c>
      <c r="D165" t="s">
        <v>175</v>
      </c>
      <c r="E165" t="s">
        <v>65</v>
      </c>
      <c r="F165" s="1">
        <v>9.6766203703703695E-4</v>
      </c>
      <c r="G165" s="37">
        <v>2.17</v>
      </c>
      <c r="H165">
        <v>2.8</v>
      </c>
      <c r="I165" s="37">
        <v>0.97499999999999998</v>
      </c>
      <c r="J165">
        <f t="shared" si="2"/>
        <v>2.73</v>
      </c>
    </row>
    <row r="166" spans="1:10" x14ac:dyDescent="0.3">
      <c r="A166" t="s">
        <v>3</v>
      </c>
      <c r="B166" t="s">
        <v>77</v>
      </c>
      <c r="C166" t="s">
        <v>151</v>
      </c>
      <c r="D166" t="s">
        <v>175</v>
      </c>
      <c r="E166" t="s">
        <v>66</v>
      </c>
      <c r="F166" s="1">
        <v>9.7276620370370366E-4</v>
      </c>
      <c r="G166" s="37">
        <v>2.16</v>
      </c>
      <c r="H166">
        <v>2.77</v>
      </c>
      <c r="I166" s="37">
        <v>0.97499999999999998</v>
      </c>
      <c r="J166">
        <f t="shared" si="2"/>
        <v>2.7007499999999998</v>
      </c>
    </row>
    <row r="167" spans="1:10" x14ac:dyDescent="0.3">
      <c r="A167" t="s">
        <v>3</v>
      </c>
      <c r="B167" t="s">
        <v>77</v>
      </c>
      <c r="C167" t="s">
        <v>151</v>
      </c>
      <c r="D167" t="s">
        <v>175</v>
      </c>
      <c r="E167" t="s">
        <v>67</v>
      </c>
      <c r="F167" s="1">
        <v>9.9390046296296292E-4</v>
      </c>
      <c r="G167" s="37">
        <v>2.09</v>
      </c>
      <c r="H167">
        <v>2.71</v>
      </c>
      <c r="I167" s="37">
        <v>0.97499999999999998</v>
      </c>
      <c r="J167">
        <f t="shared" si="2"/>
        <v>2.6422499999999998</v>
      </c>
    </row>
    <row r="168" spans="1:10" x14ac:dyDescent="0.3">
      <c r="A168" t="s">
        <v>3</v>
      </c>
      <c r="B168" t="s">
        <v>77</v>
      </c>
      <c r="C168" t="s">
        <v>151</v>
      </c>
      <c r="D168" t="s">
        <v>175</v>
      </c>
      <c r="E168" t="s">
        <v>68</v>
      </c>
      <c r="F168" s="1">
        <v>9.7493055555555571E-4</v>
      </c>
      <c r="G168" s="37">
        <v>2.16</v>
      </c>
      <c r="H168">
        <v>2.78</v>
      </c>
      <c r="I168" s="37">
        <v>0.97499999999999998</v>
      </c>
      <c r="J168">
        <f t="shared" si="2"/>
        <v>2.7104999999999997</v>
      </c>
    </row>
    <row r="169" spans="1:10" x14ac:dyDescent="0.3">
      <c r="A169" t="s">
        <v>3</v>
      </c>
      <c r="B169" t="s">
        <v>77</v>
      </c>
      <c r="C169" t="s">
        <v>151</v>
      </c>
      <c r="D169" t="s">
        <v>175</v>
      </c>
      <c r="E169" t="s">
        <v>69</v>
      </c>
      <c r="F169" s="1">
        <v>9.7256944444444441E-4</v>
      </c>
      <c r="G169" s="37">
        <v>2.15</v>
      </c>
      <c r="H169">
        <v>2.76</v>
      </c>
      <c r="I169" s="37">
        <v>0.97499999999999998</v>
      </c>
      <c r="J169">
        <f t="shared" si="2"/>
        <v>2.6909999999999998</v>
      </c>
    </row>
    <row r="170" spans="1:10" x14ac:dyDescent="0.3">
      <c r="A170" t="s">
        <v>3</v>
      </c>
      <c r="B170" t="s">
        <v>77</v>
      </c>
      <c r="C170" t="s">
        <v>151</v>
      </c>
      <c r="D170" t="s">
        <v>175</v>
      </c>
      <c r="E170" t="s">
        <v>70</v>
      </c>
      <c r="F170" s="1">
        <v>9.7434027777777764E-4</v>
      </c>
      <c r="G170" s="37">
        <v>2.14</v>
      </c>
      <c r="H170">
        <v>2.75</v>
      </c>
      <c r="I170" s="37">
        <v>0.97499999999999998</v>
      </c>
      <c r="J170">
        <f t="shared" si="2"/>
        <v>2.6812499999999999</v>
      </c>
    </row>
    <row r="171" spans="1:10" x14ac:dyDescent="0.3">
      <c r="A171" t="s">
        <v>3</v>
      </c>
      <c r="B171" t="s">
        <v>77</v>
      </c>
      <c r="C171" t="s">
        <v>151</v>
      </c>
      <c r="D171" t="s">
        <v>175</v>
      </c>
      <c r="E171" t="s">
        <v>71</v>
      </c>
      <c r="F171" s="1">
        <v>9.7502314814814815E-4</v>
      </c>
      <c r="G171" s="37">
        <v>2.14</v>
      </c>
      <c r="H171">
        <v>2.75</v>
      </c>
      <c r="I171" s="37">
        <v>0.97499999999999998</v>
      </c>
      <c r="J171">
        <f t="shared" si="2"/>
        <v>2.6812499999999999</v>
      </c>
    </row>
    <row r="172" spans="1:10" x14ac:dyDescent="0.3">
      <c r="A172" t="s">
        <v>3</v>
      </c>
      <c r="B172" t="s">
        <v>4</v>
      </c>
      <c r="C172" t="s">
        <v>151</v>
      </c>
      <c r="D172" t="s">
        <v>176</v>
      </c>
      <c r="E172" t="s">
        <v>9</v>
      </c>
      <c r="F172" s="1">
        <v>9.7013888888888877E-4</v>
      </c>
      <c r="G172" s="37">
        <v>2.2000000000000002</v>
      </c>
      <c r="H172">
        <v>2.86</v>
      </c>
      <c r="I172" s="37">
        <v>0.96499999999999997</v>
      </c>
      <c r="J172">
        <f t="shared" si="2"/>
        <v>2.7598999999999996</v>
      </c>
    </row>
    <row r="173" spans="1:10" x14ac:dyDescent="0.3">
      <c r="A173" t="s">
        <v>3</v>
      </c>
      <c r="B173" t="s">
        <v>4</v>
      </c>
      <c r="C173" t="s">
        <v>151</v>
      </c>
      <c r="D173" t="s">
        <v>176</v>
      </c>
      <c r="E173" t="s">
        <v>10</v>
      </c>
      <c r="F173" s="1">
        <v>9.6771990740740748E-4</v>
      </c>
      <c r="G173" s="37">
        <v>2.19</v>
      </c>
      <c r="H173">
        <v>2.84</v>
      </c>
      <c r="I173" s="37">
        <v>0.96499999999999997</v>
      </c>
      <c r="J173">
        <f t="shared" si="2"/>
        <v>2.7405999999999997</v>
      </c>
    </row>
    <row r="174" spans="1:10" x14ac:dyDescent="0.3">
      <c r="A174" t="s">
        <v>3</v>
      </c>
      <c r="B174" t="s">
        <v>4</v>
      </c>
      <c r="C174" t="s">
        <v>151</v>
      </c>
      <c r="D174" t="s">
        <v>176</v>
      </c>
      <c r="E174" t="s">
        <v>15</v>
      </c>
      <c r="F174" s="1">
        <v>9.6928240740740731E-4</v>
      </c>
      <c r="G174" s="37">
        <v>2.21</v>
      </c>
      <c r="H174">
        <v>2.85</v>
      </c>
      <c r="I174" s="37">
        <v>0.96499999999999997</v>
      </c>
      <c r="J174">
        <f t="shared" si="2"/>
        <v>2.7502499999999999</v>
      </c>
    </row>
    <row r="175" spans="1:10" x14ac:dyDescent="0.3">
      <c r="A175" t="s">
        <v>3</v>
      </c>
      <c r="B175" t="s">
        <v>4</v>
      </c>
      <c r="C175" t="s">
        <v>151</v>
      </c>
      <c r="D175" t="s">
        <v>176</v>
      </c>
      <c r="E175" t="s">
        <v>16</v>
      </c>
      <c r="F175" s="1">
        <v>9.6714120370370378E-4</v>
      </c>
      <c r="G175" s="37">
        <v>2.25</v>
      </c>
      <c r="H175">
        <v>2.9</v>
      </c>
      <c r="I175" s="37">
        <v>0.96499999999999997</v>
      </c>
      <c r="J175">
        <f t="shared" si="2"/>
        <v>2.7984999999999998</v>
      </c>
    </row>
    <row r="176" spans="1:10" x14ac:dyDescent="0.3">
      <c r="A176" t="s">
        <v>3</v>
      </c>
      <c r="B176" t="s">
        <v>4</v>
      </c>
      <c r="C176" t="s">
        <v>151</v>
      </c>
      <c r="D176" t="s">
        <v>176</v>
      </c>
      <c r="E176" t="s">
        <v>17</v>
      </c>
      <c r="F176" s="1">
        <v>9.6846064814814809E-4</v>
      </c>
      <c r="G176" s="37">
        <v>2.2000000000000002</v>
      </c>
      <c r="H176">
        <v>2.85</v>
      </c>
      <c r="I176" s="37">
        <v>0.96499999999999997</v>
      </c>
      <c r="J176">
        <f t="shared" si="2"/>
        <v>2.7502499999999999</v>
      </c>
    </row>
    <row r="177" spans="1:10" x14ac:dyDescent="0.3">
      <c r="A177" t="s">
        <v>3</v>
      </c>
      <c r="B177" t="s">
        <v>4</v>
      </c>
      <c r="C177" t="s">
        <v>151</v>
      </c>
      <c r="D177" t="s">
        <v>176</v>
      </c>
      <c r="E177" t="s">
        <v>18</v>
      </c>
      <c r="F177" s="1">
        <v>9.6913194444444445E-4</v>
      </c>
      <c r="G177" s="37">
        <v>2.2000000000000002</v>
      </c>
      <c r="H177">
        <v>2.86</v>
      </c>
      <c r="I177" s="37">
        <v>0.96499999999999997</v>
      </c>
      <c r="J177">
        <f t="shared" si="2"/>
        <v>2.7598999999999996</v>
      </c>
    </row>
    <row r="178" spans="1:10" x14ac:dyDescent="0.3">
      <c r="A178" t="s">
        <v>3</v>
      </c>
      <c r="B178" t="s">
        <v>4</v>
      </c>
      <c r="C178" t="s">
        <v>151</v>
      </c>
      <c r="D178" t="s">
        <v>176</v>
      </c>
      <c r="E178" t="s">
        <v>19</v>
      </c>
      <c r="F178" s="1">
        <v>9.7012731481481483E-4</v>
      </c>
      <c r="G178" s="37">
        <v>2.2200000000000002</v>
      </c>
      <c r="H178">
        <v>2.88</v>
      </c>
      <c r="I178" s="37">
        <v>0.96499999999999997</v>
      </c>
      <c r="J178">
        <f t="shared" si="2"/>
        <v>2.7791999999999999</v>
      </c>
    </row>
    <row r="179" spans="1:10" x14ac:dyDescent="0.3">
      <c r="A179" t="s">
        <v>3</v>
      </c>
      <c r="B179" t="s">
        <v>4</v>
      </c>
      <c r="C179" t="s">
        <v>151</v>
      </c>
      <c r="D179" t="s">
        <v>176</v>
      </c>
      <c r="E179" t="s">
        <v>45</v>
      </c>
      <c r="F179" s="1">
        <v>9.6946759259259262E-4</v>
      </c>
      <c r="G179" s="37">
        <v>2.2000000000000002</v>
      </c>
      <c r="H179">
        <v>2.85</v>
      </c>
      <c r="I179" s="37">
        <v>0.96499999999999997</v>
      </c>
      <c r="J179">
        <f t="shared" si="2"/>
        <v>2.7502499999999999</v>
      </c>
    </row>
    <row r="180" spans="1:10" x14ac:dyDescent="0.3">
      <c r="A180" t="s">
        <v>3</v>
      </c>
      <c r="B180" t="s">
        <v>4</v>
      </c>
      <c r="C180" t="s">
        <v>151</v>
      </c>
      <c r="D180" t="s">
        <v>176</v>
      </c>
      <c r="E180" t="s">
        <v>46</v>
      </c>
      <c r="F180" s="1">
        <v>9.6990740740740739E-4</v>
      </c>
      <c r="G180" s="37">
        <v>2.1800000000000002</v>
      </c>
      <c r="H180">
        <v>2.84</v>
      </c>
      <c r="I180" s="37">
        <v>0.96499999999999997</v>
      </c>
      <c r="J180">
        <f t="shared" si="2"/>
        <v>2.7405999999999997</v>
      </c>
    </row>
    <row r="181" spans="1:10" x14ac:dyDescent="0.3">
      <c r="A181" t="s">
        <v>3</v>
      </c>
      <c r="B181" t="s">
        <v>4</v>
      </c>
      <c r="C181" t="s">
        <v>151</v>
      </c>
      <c r="D181" t="s">
        <v>176</v>
      </c>
      <c r="E181" t="s">
        <v>47</v>
      </c>
      <c r="F181" s="1">
        <v>9.7043981481481482E-4</v>
      </c>
      <c r="G181" s="37">
        <v>2.2000000000000002</v>
      </c>
      <c r="H181">
        <v>2.86</v>
      </c>
      <c r="I181" s="37">
        <v>0.96499999999999997</v>
      </c>
      <c r="J181">
        <f t="shared" si="2"/>
        <v>2.7598999999999996</v>
      </c>
    </row>
    <row r="182" spans="1:10" x14ac:dyDescent="0.3">
      <c r="A182" t="s">
        <v>3</v>
      </c>
      <c r="B182" t="s">
        <v>4</v>
      </c>
      <c r="C182" t="s">
        <v>151</v>
      </c>
      <c r="D182" t="s">
        <v>176</v>
      </c>
      <c r="E182" t="s">
        <v>48</v>
      </c>
      <c r="F182" s="1">
        <v>9.7233796296296304E-4</v>
      </c>
      <c r="G182" s="37">
        <v>2.19</v>
      </c>
      <c r="H182">
        <v>2.85</v>
      </c>
      <c r="I182" s="37">
        <v>0.96499999999999997</v>
      </c>
      <c r="J182">
        <f t="shared" si="2"/>
        <v>2.7502499999999999</v>
      </c>
    </row>
    <row r="183" spans="1:10" x14ac:dyDescent="0.3">
      <c r="A183" t="s">
        <v>3</v>
      </c>
      <c r="B183" t="s">
        <v>4</v>
      </c>
      <c r="C183" t="s">
        <v>151</v>
      </c>
      <c r="D183" t="s">
        <v>176</v>
      </c>
      <c r="E183" t="s">
        <v>49</v>
      </c>
      <c r="F183" s="1">
        <v>9.7157407407407414E-4</v>
      </c>
      <c r="G183" s="37">
        <v>2.21</v>
      </c>
      <c r="H183">
        <v>2.87</v>
      </c>
      <c r="I183" s="37">
        <v>0.96499999999999997</v>
      </c>
      <c r="J183">
        <f t="shared" si="2"/>
        <v>2.7695500000000002</v>
      </c>
    </row>
    <row r="184" spans="1:10" x14ac:dyDescent="0.3">
      <c r="A184" t="s">
        <v>3</v>
      </c>
      <c r="B184" t="s">
        <v>4</v>
      </c>
      <c r="C184" t="s">
        <v>151</v>
      </c>
      <c r="D184" t="s">
        <v>176</v>
      </c>
      <c r="E184" t="s">
        <v>50</v>
      </c>
      <c r="F184" s="1">
        <v>9.6994212962962963E-4</v>
      </c>
      <c r="G184" s="37">
        <v>2.23</v>
      </c>
      <c r="H184">
        <v>2.9</v>
      </c>
      <c r="I184" s="37">
        <v>0.96499999999999997</v>
      </c>
      <c r="J184">
        <f t="shared" si="2"/>
        <v>2.7984999999999998</v>
      </c>
    </row>
    <row r="185" spans="1:10" x14ac:dyDescent="0.3">
      <c r="A185" t="s">
        <v>3</v>
      </c>
      <c r="B185" t="s">
        <v>4</v>
      </c>
      <c r="C185" t="s">
        <v>151</v>
      </c>
      <c r="D185" t="s">
        <v>176</v>
      </c>
      <c r="E185" t="s">
        <v>51</v>
      </c>
      <c r="F185" s="1">
        <v>9.7223379629629634E-4</v>
      </c>
      <c r="G185" s="37">
        <v>2.23</v>
      </c>
      <c r="H185">
        <v>2.89</v>
      </c>
      <c r="I185" s="37">
        <v>0.96499999999999997</v>
      </c>
      <c r="J185">
        <f t="shared" si="2"/>
        <v>2.7888500000000001</v>
      </c>
    </row>
    <row r="186" spans="1:10" x14ac:dyDescent="0.3">
      <c r="A186" t="s">
        <v>3</v>
      </c>
      <c r="B186" t="s">
        <v>4</v>
      </c>
      <c r="C186" t="s">
        <v>151</v>
      </c>
      <c r="D186" t="s">
        <v>176</v>
      </c>
      <c r="E186" t="s">
        <v>52</v>
      </c>
      <c r="F186" s="1">
        <v>9.7188657407407412E-4</v>
      </c>
      <c r="G186" s="37">
        <v>2.21</v>
      </c>
      <c r="H186">
        <v>2.88</v>
      </c>
      <c r="I186" s="37">
        <v>0.96499999999999997</v>
      </c>
      <c r="J186">
        <f t="shared" si="2"/>
        <v>2.7791999999999999</v>
      </c>
    </row>
    <row r="187" spans="1:10" x14ac:dyDescent="0.3">
      <c r="A187" t="s">
        <v>3</v>
      </c>
      <c r="B187" t="s">
        <v>4</v>
      </c>
      <c r="C187" t="s">
        <v>151</v>
      </c>
      <c r="D187" t="s">
        <v>176</v>
      </c>
      <c r="E187" t="s">
        <v>53</v>
      </c>
      <c r="F187" s="1">
        <v>9.7152777777777775E-4</v>
      </c>
      <c r="G187" s="37">
        <v>2.23</v>
      </c>
      <c r="H187">
        <v>2.9</v>
      </c>
      <c r="I187" s="37">
        <v>0.96499999999999997</v>
      </c>
      <c r="J187">
        <f t="shared" si="2"/>
        <v>2.7984999999999998</v>
      </c>
    </row>
    <row r="188" spans="1:10" x14ac:dyDescent="0.3">
      <c r="A188" t="s">
        <v>3</v>
      </c>
      <c r="B188" t="s">
        <v>4</v>
      </c>
      <c r="C188" t="s">
        <v>151</v>
      </c>
      <c r="D188" t="s">
        <v>176</v>
      </c>
      <c r="E188" t="s">
        <v>54</v>
      </c>
      <c r="F188" s="1">
        <v>9.7304398148148142E-4</v>
      </c>
      <c r="G188" s="37">
        <v>2.21</v>
      </c>
      <c r="H188">
        <v>2.86</v>
      </c>
      <c r="I188" s="37">
        <v>0.96499999999999997</v>
      </c>
      <c r="J188">
        <f t="shared" si="2"/>
        <v>2.7598999999999996</v>
      </c>
    </row>
    <row r="189" spans="1:10" x14ac:dyDescent="0.3">
      <c r="A189" t="s">
        <v>3</v>
      </c>
      <c r="B189" t="s">
        <v>4</v>
      </c>
      <c r="C189" t="s">
        <v>151</v>
      </c>
      <c r="D189" t="s">
        <v>176</v>
      </c>
      <c r="E189" t="s">
        <v>56</v>
      </c>
      <c r="F189" s="1">
        <v>9.6002314814814811E-4</v>
      </c>
      <c r="G189" s="37">
        <v>2.2000000000000002</v>
      </c>
      <c r="H189">
        <v>2.86</v>
      </c>
      <c r="I189" s="37">
        <v>0.96499999999999997</v>
      </c>
      <c r="J189">
        <f t="shared" si="2"/>
        <v>2.7598999999999996</v>
      </c>
    </row>
    <row r="190" spans="1:10" x14ac:dyDescent="0.3">
      <c r="A190" t="s">
        <v>3</v>
      </c>
      <c r="B190" t="s">
        <v>4</v>
      </c>
      <c r="C190" t="s">
        <v>151</v>
      </c>
      <c r="D190" t="s">
        <v>176</v>
      </c>
      <c r="E190" t="s">
        <v>57</v>
      </c>
      <c r="F190" s="1">
        <v>9.6108796296296296E-4</v>
      </c>
      <c r="G190" s="37">
        <v>2.21</v>
      </c>
      <c r="H190">
        <v>2.87</v>
      </c>
      <c r="I190" s="37">
        <v>0.96499999999999997</v>
      </c>
      <c r="J190">
        <f t="shared" si="2"/>
        <v>2.7695500000000002</v>
      </c>
    </row>
    <row r="191" spans="1:10" x14ac:dyDescent="0.3">
      <c r="A191" t="s">
        <v>3</v>
      </c>
      <c r="B191" t="s">
        <v>4</v>
      </c>
      <c r="C191" t="s">
        <v>151</v>
      </c>
      <c r="D191" t="s">
        <v>176</v>
      </c>
      <c r="E191" t="s">
        <v>58</v>
      </c>
      <c r="F191" s="1">
        <v>9.6114583333333338E-4</v>
      </c>
      <c r="G191" s="37">
        <v>2.2000000000000002</v>
      </c>
      <c r="H191">
        <v>2.86</v>
      </c>
      <c r="I191" s="37">
        <v>0.96499999999999997</v>
      </c>
      <c r="J191">
        <f t="shared" si="2"/>
        <v>2.7598999999999996</v>
      </c>
    </row>
    <row r="192" spans="1:10" x14ac:dyDescent="0.3">
      <c r="A192" t="s">
        <v>3</v>
      </c>
      <c r="B192" t="s">
        <v>4</v>
      </c>
      <c r="C192" t="s">
        <v>151</v>
      </c>
      <c r="D192" t="s">
        <v>176</v>
      </c>
      <c r="E192" t="s">
        <v>72</v>
      </c>
      <c r="F192" s="1">
        <v>9.626273148148147E-4</v>
      </c>
      <c r="G192" s="37">
        <v>2.1800000000000002</v>
      </c>
      <c r="H192">
        <v>2.82</v>
      </c>
      <c r="I192" s="37">
        <v>0.96499999999999997</v>
      </c>
      <c r="J192">
        <f t="shared" si="2"/>
        <v>2.7212999999999998</v>
      </c>
    </row>
    <row r="193" spans="1:10" x14ac:dyDescent="0.3">
      <c r="A193" t="s">
        <v>3</v>
      </c>
      <c r="B193" t="s">
        <v>4</v>
      </c>
      <c r="C193" t="s">
        <v>151</v>
      </c>
      <c r="D193" t="s">
        <v>176</v>
      </c>
      <c r="E193" t="s">
        <v>59</v>
      </c>
      <c r="F193" s="1">
        <v>9.6644675925925934E-4</v>
      </c>
      <c r="G193" s="37">
        <v>2.1800000000000002</v>
      </c>
      <c r="H193">
        <v>2.84</v>
      </c>
      <c r="I193" s="37">
        <v>0.96499999999999997</v>
      </c>
      <c r="J193">
        <f t="shared" si="2"/>
        <v>2.7405999999999997</v>
      </c>
    </row>
    <row r="194" spans="1:10" x14ac:dyDescent="0.3">
      <c r="A194" t="s">
        <v>3</v>
      </c>
      <c r="B194" t="s">
        <v>4</v>
      </c>
      <c r="C194" t="s">
        <v>151</v>
      </c>
      <c r="D194" t="s">
        <v>176</v>
      </c>
      <c r="E194" t="s">
        <v>60</v>
      </c>
      <c r="F194" s="1">
        <v>9.6789351851851854E-4</v>
      </c>
      <c r="G194" s="37">
        <v>2.19</v>
      </c>
      <c r="H194">
        <v>2.82</v>
      </c>
      <c r="I194" s="37">
        <v>0.96499999999999997</v>
      </c>
      <c r="J194">
        <f t="shared" si="2"/>
        <v>2.7212999999999998</v>
      </c>
    </row>
    <row r="195" spans="1:10" x14ac:dyDescent="0.3">
      <c r="A195" t="s">
        <v>3</v>
      </c>
      <c r="B195" t="s">
        <v>4</v>
      </c>
      <c r="C195" t="s">
        <v>151</v>
      </c>
      <c r="D195" t="s">
        <v>176</v>
      </c>
      <c r="E195" t="s">
        <v>61</v>
      </c>
      <c r="F195" s="1">
        <v>9.6876157407407403E-4</v>
      </c>
      <c r="G195" s="37">
        <v>2.1800000000000002</v>
      </c>
      <c r="H195">
        <v>2.83</v>
      </c>
      <c r="I195" s="37">
        <v>0.96499999999999997</v>
      </c>
      <c r="J195">
        <f t="shared" si="2"/>
        <v>2.73095</v>
      </c>
    </row>
    <row r="196" spans="1:10" x14ac:dyDescent="0.3">
      <c r="A196" t="s">
        <v>3</v>
      </c>
      <c r="B196" t="s">
        <v>4</v>
      </c>
      <c r="C196" t="s">
        <v>151</v>
      </c>
      <c r="D196" t="s">
        <v>176</v>
      </c>
      <c r="E196" t="s">
        <v>62</v>
      </c>
      <c r="F196" s="1">
        <v>9.6968750000000006E-4</v>
      </c>
      <c r="G196" s="37">
        <v>2.17</v>
      </c>
      <c r="H196">
        <v>2.82</v>
      </c>
      <c r="I196" s="37">
        <v>0.96499999999999997</v>
      </c>
      <c r="J196">
        <f t="shared" ref="J196:J259" si="3">H196*I196</f>
        <v>2.7212999999999998</v>
      </c>
    </row>
    <row r="197" spans="1:10" x14ac:dyDescent="0.3">
      <c r="A197" t="s">
        <v>3</v>
      </c>
      <c r="B197" t="s">
        <v>4</v>
      </c>
      <c r="C197" t="s">
        <v>151</v>
      </c>
      <c r="D197" t="s">
        <v>176</v>
      </c>
      <c r="E197" t="s">
        <v>63</v>
      </c>
      <c r="F197" s="1">
        <v>9.8045138888888878E-4</v>
      </c>
      <c r="G197" s="37">
        <v>2.12</v>
      </c>
      <c r="H197">
        <v>2.77</v>
      </c>
      <c r="I197" s="37">
        <v>0.96499999999999997</v>
      </c>
      <c r="J197">
        <f t="shared" si="3"/>
        <v>2.6730499999999999</v>
      </c>
    </row>
    <row r="198" spans="1:10" x14ac:dyDescent="0.3">
      <c r="A198" t="s">
        <v>3</v>
      </c>
      <c r="B198" t="s">
        <v>4</v>
      </c>
      <c r="C198" t="s">
        <v>151</v>
      </c>
      <c r="D198" t="s">
        <v>176</v>
      </c>
      <c r="E198" t="s">
        <v>64</v>
      </c>
      <c r="F198" s="1">
        <v>9.7523148148148154E-4</v>
      </c>
      <c r="G198" s="37">
        <v>2.0699999999999998</v>
      </c>
      <c r="H198">
        <v>2.69</v>
      </c>
      <c r="I198" s="37">
        <v>0.96499999999999997</v>
      </c>
      <c r="J198">
        <f t="shared" si="3"/>
        <v>2.59585</v>
      </c>
    </row>
    <row r="199" spans="1:10" x14ac:dyDescent="0.3">
      <c r="A199" t="s">
        <v>3</v>
      </c>
      <c r="B199" t="s">
        <v>4</v>
      </c>
      <c r="C199" t="s">
        <v>151</v>
      </c>
      <c r="D199" t="s">
        <v>176</v>
      </c>
      <c r="E199" t="s">
        <v>65</v>
      </c>
      <c r="F199" s="1">
        <v>9.8357638888888887E-4</v>
      </c>
      <c r="G199" s="37">
        <v>2.0699999999999998</v>
      </c>
      <c r="H199">
        <v>2.7</v>
      </c>
      <c r="I199" s="37">
        <v>0.96499999999999997</v>
      </c>
      <c r="J199">
        <f t="shared" si="3"/>
        <v>2.6055000000000001</v>
      </c>
    </row>
    <row r="200" spans="1:10" x14ac:dyDescent="0.3">
      <c r="A200" t="s">
        <v>3</v>
      </c>
      <c r="B200" t="s">
        <v>4</v>
      </c>
      <c r="C200" t="s">
        <v>151</v>
      </c>
      <c r="D200" t="s">
        <v>176</v>
      </c>
      <c r="E200" t="s">
        <v>66</v>
      </c>
      <c r="F200" s="1">
        <v>9.8201388888888882E-4</v>
      </c>
      <c r="G200" s="37">
        <v>2.08</v>
      </c>
      <c r="H200">
        <v>2.72</v>
      </c>
      <c r="I200" s="37">
        <v>0.96499999999999997</v>
      </c>
      <c r="J200">
        <f t="shared" si="3"/>
        <v>2.6248</v>
      </c>
    </row>
    <row r="201" spans="1:10" x14ac:dyDescent="0.3">
      <c r="A201" t="s">
        <v>3</v>
      </c>
      <c r="B201" t="s">
        <v>4</v>
      </c>
      <c r="C201" t="s">
        <v>151</v>
      </c>
      <c r="D201" t="s">
        <v>176</v>
      </c>
      <c r="E201" t="s">
        <v>67</v>
      </c>
      <c r="F201" s="1">
        <v>9.8288194444444443E-4</v>
      </c>
      <c r="G201" s="37">
        <v>2.06</v>
      </c>
      <c r="H201">
        <v>2.71</v>
      </c>
      <c r="I201" s="37">
        <v>0.96499999999999997</v>
      </c>
      <c r="J201">
        <f t="shared" si="3"/>
        <v>2.6151499999999999</v>
      </c>
    </row>
    <row r="202" spans="1:10" x14ac:dyDescent="0.3">
      <c r="A202" t="s">
        <v>3</v>
      </c>
      <c r="B202" t="s">
        <v>4</v>
      </c>
      <c r="C202" t="s">
        <v>151</v>
      </c>
      <c r="D202" t="s">
        <v>176</v>
      </c>
      <c r="E202" t="s">
        <v>68</v>
      </c>
      <c r="F202" s="1">
        <v>9.8468749999999989E-4</v>
      </c>
      <c r="G202" s="37">
        <v>1.96</v>
      </c>
      <c r="H202">
        <v>2.57</v>
      </c>
      <c r="I202" s="37">
        <v>0.96499999999999997</v>
      </c>
      <c r="J202">
        <f t="shared" si="3"/>
        <v>2.4800499999999999</v>
      </c>
    </row>
    <row r="203" spans="1:10" x14ac:dyDescent="0.3">
      <c r="A203" t="s">
        <v>3</v>
      </c>
      <c r="B203" t="s">
        <v>4</v>
      </c>
      <c r="C203" t="s">
        <v>151</v>
      </c>
      <c r="D203" t="s">
        <v>176</v>
      </c>
      <c r="E203" t="s">
        <v>69</v>
      </c>
      <c r="F203" s="1">
        <v>9.8210648148148137E-4</v>
      </c>
      <c r="G203" s="37">
        <v>2.0499999999999998</v>
      </c>
      <c r="H203">
        <v>2.67</v>
      </c>
      <c r="I203" s="37">
        <v>0.96499999999999997</v>
      </c>
      <c r="J203">
        <f t="shared" si="3"/>
        <v>2.5765499999999997</v>
      </c>
    </row>
    <row r="204" spans="1:10" x14ac:dyDescent="0.3">
      <c r="A204" t="s">
        <v>3</v>
      </c>
      <c r="B204" t="s">
        <v>4</v>
      </c>
      <c r="C204" t="s">
        <v>151</v>
      </c>
      <c r="D204" t="s">
        <v>176</v>
      </c>
      <c r="E204" t="s">
        <v>70</v>
      </c>
      <c r="F204" s="1">
        <v>9.839814814814813E-4</v>
      </c>
      <c r="G204" s="37">
        <v>2.04</v>
      </c>
      <c r="H204">
        <v>2.66</v>
      </c>
      <c r="I204" s="37">
        <v>0.96499999999999997</v>
      </c>
      <c r="J204">
        <f t="shared" si="3"/>
        <v>2.5669</v>
      </c>
    </row>
    <row r="205" spans="1:10" x14ac:dyDescent="0.3">
      <c r="A205" t="s">
        <v>3</v>
      </c>
      <c r="B205" t="s">
        <v>4</v>
      </c>
      <c r="C205" t="s">
        <v>151</v>
      </c>
      <c r="D205" t="s">
        <v>176</v>
      </c>
      <c r="E205" t="s">
        <v>71</v>
      </c>
      <c r="F205" s="1">
        <v>9.9063657407407412E-4</v>
      </c>
      <c r="G205" s="37">
        <v>2.02</v>
      </c>
      <c r="H205">
        <v>2.65</v>
      </c>
      <c r="I205" s="37">
        <v>0.96499999999999997</v>
      </c>
      <c r="J205">
        <f t="shared" si="3"/>
        <v>2.5572499999999998</v>
      </c>
    </row>
    <row r="206" spans="1:10" x14ac:dyDescent="0.3">
      <c r="A206" t="s">
        <v>3</v>
      </c>
      <c r="B206" t="s">
        <v>95</v>
      </c>
      <c r="C206" t="s">
        <v>151</v>
      </c>
      <c r="D206" t="s">
        <v>177</v>
      </c>
      <c r="E206" t="s">
        <v>9</v>
      </c>
      <c r="F206" s="1">
        <v>9.9219907407407416E-4</v>
      </c>
      <c r="G206" s="37">
        <v>2.09</v>
      </c>
      <c r="H206">
        <v>2.72</v>
      </c>
      <c r="I206" s="37">
        <v>0.96</v>
      </c>
      <c r="J206">
        <f t="shared" si="3"/>
        <v>2.6112000000000002</v>
      </c>
    </row>
    <row r="207" spans="1:10" x14ac:dyDescent="0.3">
      <c r="A207" t="s">
        <v>3</v>
      </c>
      <c r="B207" t="s">
        <v>95</v>
      </c>
      <c r="C207" t="s">
        <v>151</v>
      </c>
      <c r="D207" t="s">
        <v>177</v>
      </c>
      <c r="E207" t="s">
        <v>10</v>
      </c>
      <c r="F207" s="1">
        <v>9.7270833333333335E-4</v>
      </c>
      <c r="G207" s="37">
        <v>2.14</v>
      </c>
      <c r="H207">
        <v>2.79</v>
      </c>
      <c r="I207" s="37">
        <v>0.96</v>
      </c>
      <c r="J207">
        <f t="shared" si="3"/>
        <v>2.6783999999999999</v>
      </c>
    </row>
    <row r="208" spans="1:10" x14ac:dyDescent="0.3">
      <c r="A208" t="s">
        <v>3</v>
      </c>
      <c r="B208" t="s">
        <v>95</v>
      </c>
      <c r="C208" t="s">
        <v>151</v>
      </c>
      <c r="D208" t="s">
        <v>177</v>
      </c>
      <c r="E208" t="s">
        <v>15</v>
      </c>
      <c r="F208" s="1">
        <v>9.7715277777777774E-4</v>
      </c>
      <c r="G208" s="37">
        <v>2.12</v>
      </c>
      <c r="H208">
        <v>2.78</v>
      </c>
      <c r="I208" s="37">
        <v>0.96</v>
      </c>
      <c r="J208">
        <f t="shared" si="3"/>
        <v>2.6687999999999996</v>
      </c>
    </row>
    <row r="209" spans="1:10" x14ac:dyDescent="0.3">
      <c r="A209" t="s">
        <v>3</v>
      </c>
      <c r="B209" t="s">
        <v>95</v>
      </c>
      <c r="C209" t="s">
        <v>151</v>
      </c>
      <c r="D209" t="s">
        <v>177</v>
      </c>
      <c r="E209" t="s">
        <v>16</v>
      </c>
      <c r="F209" s="1">
        <v>9.7633101851851852E-4</v>
      </c>
      <c r="G209" s="37">
        <v>2.17</v>
      </c>
      <c r="H209">
        <v>2.84</v>
      </c>
      <c r="I209" s="37">
        <v>0.96</v>
      </c>
      <c r="J209">
        <f t="shared" si="3"/>
        <v>2.7263999999999999</v>
      </c>
    </row>
    <row r="210" spans="1:10" x14ac:dyDescent="0.3">
      <c r="A210" t="s">
        <v>3</v>
      </c>
      <c r="B210" t="s">
        <v>95</v>
      </c>
      <c r="C210" t="s">
        <v>151</v>
      </c>
      <c r="D210" t="s">
        <v>177</v>
      </c>
      <c r="E210" t="s">
        <v>17</v>
      </c>
      <c r="F210" s="1">
        <v>9.8491898148148158E-4</v>
      </c>
      <c r="G210" s="37">
        <v>2.13</v>
      </c>
      <c r="H210">
        <v>2.78</v>
      </c>
      <c r="I210" s="37">
        <v>0.96</v>
      </c>
      <c r="J210">
        <f t="shared" si="3"/>
        <v>2.6687999999999996</v>
      </c>
    </row>
    <row r="211" spans="1:10" x14ac:dyDescent="0.3">
      <c r="A211" t="s">
        <v>3</v>
      </c>
      <c r="B211" t="s">
        <v>95</v>
      </c>
      <c r="C211" t="s">
        <v>151</v>
      </c>
      <c r="D211" t="s">
        <v>177</v>
      </c>
      <c r="E211" t="s">
        <v>18</v>
      </c>
      <c r="F211" s="1">
        <v>9.8079861111111111E-4</v>
      </c>
      <c r="G211" s="37">
        <v>2.17</v>
      </c>
      <c r="H211">
        <v>2.83</v>
      </c>
      <c r="I211" s="37">
        <v>0.96</v>
      </c>
      <c r="J211">
        <f t="shared" si="3"/>
        <v>2.7168000000000001</v>
      </c>
    </row>
    <row r="212" spans="1:10" x14ac:dyDescent="0.3">
      <c r="A212" t="s">
        <v>3</v>
      </c>
      <c r="B212" t="s">
        <v>95</v>
      </c>
      <c r="C212" t="s">
        <v>151</v>
      </c>
      <c r="D212" t="s">
        <v>177</v>
      </c>
      <c r="E212" t="s">
        <v>19</v>
      </c>
      <c r="F212" s="1">
        <v>9.763773148148149E-4</v>
      </c>
      <c r="G212" s="37">
        <v>2.2000000000000002</v>
      </c>
      <c r="H212">
        <v>2.87</v>
      </c>
      <c r="I212" s="37">
        <v>0.96</v>
      </c>
      <c r="J212">
        <f t="shared" si="3"/>
        <v>2.7551999999999999</v>
      </c>
    </row>
    <row r="213" spans="1:10" x14ac:dyDescent="0.3">
      <c r="A213" t="s">
        <v>3</v>
      </c>
      <c r="B213" t="s">
        <v>95</v>
      </c>
      <c r="C213" t="s">
        <v>151</v>
      </c>
      <c r="D213" t="s">
        <v>177</v>
      </c>
      <c r="E213" t="s">
        <v>45</v>
      </c>
      <c r="F213" s="1">
        <v>9.7653935185185192E-4</v>
      </c>
      <c r="G213" s="37">
        <v>2.16</v>
      </c>
      <c r="H213">
        <v>2.83</v>
      </c>
      <c r="I213" s="37">
        <v>0.96</v>
      </c>
      <c r="J213">
        <f t="shared" si="3"/>
        <v>2.7168000000000001</v>
      </c>
    </row>
    <row r="214" spans="1:10" x14ac:dyDescent="0.3">
      <c r="A214" t="s">
        <v>3</v>
      </c>
      <c r="B214" t="s">
        <v>95</v>
      </c>
      <c r="C214" t="s">
        <v>151</v>
      </c>
      <c r="D214" t="s">
        <v>177</v>
      </c>
      <c r="E214" t="s">
        <v>46</v>
      </c>
      <c r="F214" s="1">
        <v>9.8785879629629636E-4</v>
      </c>
      <c r="G214" s="37">
        <v>2.08</v>
      </c>
      <c r="H214">
        <v>2.72</v>
      </c>
      <c r="I214" s="37">
        <v>0.96</v>
      </c>
      <c r="J214">
        <f t="shared" si="3"/>
        <v>2.6112000000000002</v>
      </c>
    </row>
    <row r="215" spans="1:10" x14ac:dyDescent="0.3">
      <c r="A215" t="s">
        <v>3</v>
      </c>
      <c r="B215" t="s">
        <v>95</v>
      </c>
      <c r="C215" t="s">
        <v>151</v>
      </c>
      <c r="D215" t="s">
        <v>177</v>
      </c>
      <c r="E215" t="s">
        <v>47</v>
      </c>
      <c r="F215" s="1">
        <v>9.9880787037037039E-4</v>
      </c>
      <c r="G215" s="37">
        <v>2.11</v>
      </c>
      <c r="H215">
        <v>2.76</v>
      </c>
      <c r="I215" s="37">
        <v>0.96</v>
      </c>
      <c r="J215">
        <f t="shared" si="3"/>
        <v>2.6495999999999995</v>
      </c>
    </row>
    <row r="216" spans="1:10" x14ac:dyDescent="0.3">
      <c r="A216" t="s">
        <v>3</v>
      </c>
      <c r="B216" t="s">
        <v>95</v>
      </c>
      <c r="C216" t="s">
        <v>151</v>
      </c>
      <c r="D216" t="s">
        <v>177</v>
      </c>
      <c r="E216" t="s">
        <v>48</v>
      </c>
      <c r="F216" s="1">
        <v>1.0057291666666667E-3</v>
      </c>
      <c r="G216" s="37">
        <v>2.11</v>
      </c>
      <c r="H216">
        <v>2.77</v>
      </c>
      <c r="I216" s="37">
        <v>0.96</v>
      </c>
      <c r="J216">
        <f t="shared" si="3"/>
        <v>2.6591999999999998</v>
      </c>
    </row>
    <row r="217" spans="1:10" x14ac:dyDescent="0.3">
      <c r="A217" t="s">
        <v>3</v>
      </c>
      <c r="B217" t="s">
        <v>95</v>
      </c>
      <c r="C217" t="s">
        <v>151</v>
      </c>
      <c r="D217" t="s">
        <v>177</v>
      </c>
      <c r="E217" t="s">
        <v>49</v>
      </c>
      <c r="F217" s="1">
        <v>1.0013425925925925E-3</v>
      </c>
      <c r="G217" s="37">
        <v>2.14</v>
      </c>
      <c r="H217">
        <v>2.79</v>
      </c>
      <c r="I217" s="37">
        <v>0.96</v>
      </c>
      <c r="J217">
        <f t="shared" si="3"/>
        <v>2.6783999999999999</v>
      </c>
    </row>
    <row r="218" spans="1:10" x14ac:dyDescent="0.3">
      <c r="A218" t="s">
        <v>3</v>
      </c>
      <c r="B218" t="s">
        <v>95</v>
      </c>
      <c r="C218" t="s">
        <v>151</v>
      </c>
      <c r="D218" t="s">
        <v>177</v>
      </c>
      <c r="E218" t="s">
        <v>50</v>
      </c>
      <c r="F218" s="1">
        <v>9.8364583333333333E-4</v>
      </c>
      <c r="G218" s="37">
        <v>2.12</v>
      </c>
      <c r="H218">
        <v>2.77</v>
      </c>
      <c r="I218" s="37">
        <v>0.96</v>
      </c>
      <c r="J218">
        <f t="shared" si="3"/>
        <v>2.6591999999999998</v>
      </c>
    </row>
    <row r="219" spans="1:10" x14ac:dyDescent="0.3">
      <c r="A219" t="s">
        <v>3</v>
      </c>
      <c r="B219" t="s">
        <v>95</v>
      </c>
      <c r="C219" t="s">
        <v>151</v>
      </c>
      <c r="D219" t="s">
        <v>177</v>
      </c>
      <c r="E219" t="s">
        <v>52</v>
      </c>
      <c r="F219" s="1">
        <v>9.7969907407407402E-4</v>
      </c>
      <c r="G219" s="37">
        <v>2.2599999999999998</v>
      </c>
      <c r="H219">
        <v>2.94</v>
      </c>
      <c r="I219" s="37">
        <v>0.96</v>
      </c>
      <c r="J219">
        <f t="shared" si="3"/>
        <v>2.8224</v>
      </c>
    </row>
    <row r="220" spans="1:10" x14ac:dyDescent="0.3">
      <c r="A220" t="s">
        <v>3</v>
      </c>
      <c r="B220" t="s">
        <v>95</v>
      </c>
      <c r="C220" t="s">
        <v>151</v>
      </c>
      <c r="D220" t="s">
        <v>177</v>
      </c>
      <c r="E220" t="s">
        <v>53</v>
      </c>
      <c r="F220" s="1">
        <v>9.7651620370370362E-4</v>
      </c>
      <c r="G220" s="37">
        <v>2.2400000000000002</v>
      </c>
      <c r="H220">
        <v>2.9</v>
      </c>
      <c r="I220" s="37">
        <v>0.96</v>
      </c>
      <c r="J220">
        <f t="shared" si="3"/>
        <v>2.7839999999999998</v>
      </c>
    </row>
    <row r="221" spans="1:10" x14ac:dyDescent="0.3">
      <c r="A221" t="s">
        <v>3</v>
      </c>
      <c r="B221" t="s">
        <v>95</v>
      </c>
      <c r="C221" t="s">
        <v>151</v>
      </c>
      <c r="D221" t="s">
        <v>177</v>
      </c>
      <c r="E221" t="s">
        <v>54</v>
      </c>
      <c r="F221" s="1">
        <v>9.7555555555555546E-4</v>
      </c>
      <c r="G221" s="37">
        <v>2.27</v>
      </c>
      <c r="H221">
        <v>2.95</v>
      </c>
      <c r="I221" s="37">
        <v>0.96</v>
      </c>
      <c r="J221">
        <f t="shared" si="3"/>
        <v>2.8319999999999999</v>
      </c>
    </row>
    <row r="222" spans="1:10" x14ac:dyDescent="0.3">
      <c r="A222" t="s">
        <v>3</v>
      </c>
      <c r="B222" t="s">
        <v>95</v>
      </c>
      <c r="C222" t="s">
        <v>151</v>
      </c>
      <c r="D222" t="s">
        <v>177</v>
      </c>
      <c r="E222" t="s">
        <v>55</v>
      </c>
      <c r="F222" s="1">
        <v>9.7747685185185199E-4</v>
      </c>
      <c r="G222" s="37">
        <v>2.2400000000000002</v>
      </c>
      <c r="H222">
        <v>2.91</v>
      </c>
      <c r="I222" s="37">
        <v>0.96</v>
      </c>
      <c r="J222">
        <f t="shared" si="3"/>
        <v>2.7936000000000001</v>
      </c>
    </row>
    <row r="223" spans="1:10" x14ac:dyDescent="0.3">
      <c r="A223" t="s">
        <v>3</v>
      </c>
      <c r="B223" t="s">
        <v>95</v>
      </c>
      <c r="C223" t="s">
        <v>151</v>
      </c>
      <c r="D223" t="s">
        <v>177</v>
      </c>
      <c r="E223" t="s">
        <v>56</v>
      </c>
      <c r="F223" s="1">
        <v>9.7438657407407402E-4</v>
      </c>
      <c r="G223" s="37">
        <v>2.25</v>
      </c>
      <c r="H223">
        <v>2.94</v>
      </c>
      <c r="I223" s="37">
        <v>0.96</v>
      </c>
      <c r="J223">
        <f t="shared" si="3"/>
        <v>2.8224</v>
      </c>
    </row>
    <row r="224" spans="1:10" x14ac:dyDescent="0.3">
      <c r="A224" t="s">
        <v>3</v>
      </c>
      <c r="B224" t="s">
        <v>95</v>
      </c>
      <c r="C224" t="s">
        <v>151</v>
      </c>
      <c r="D224" t="s">
        <v>177</v>
      </c>
      <c r="E224" t="s">
        <v>57</v>
      </c>
      <c r="F224" s="1">
        <v>9.7368055555555565E-4</v>
      </c>
      <c r="G224" s="37">
        <v>2.19</v>
      </c>
      <c r="H224">
        <v>2.91</v>
      </c>
      <c r="I224" s="37">
        <v>0.96</v>
      </c>
      <c r="J224">
        <f t="shared" si="3"/>
        <v>2.7936000000000001</v>
      </c>
    </row>
    <row r="225" spans="1:10" x14ac:dyDescent="0.3">
      <c r="A225" t="s">
        <v>3</v>
      </c>
      <c r="B225" t="s">
        <v>95</v>
      </c>
      <c r="C225" t="s">
        <v>151</v>
      </c>
      <c r="D225" t="s">
        <v>177</v>
      </c>
      <c r="E225" t="s">
        <v>58</v>
      </c>
      <c r="F225" s="1">
        <v>9.7136574074074074E-4</v>
      </c>
      <c r="G225" s="37">
        <v>2.2000000000000002</v>
      </c>
      <c r="H225">
        <v>2.91</v>
      </c>
      <c r="I225" s="37">
        <v>0.96</v>
      </c>
      <c r="J225">
        <f t="shared" si="3"/>
        <v>2.7936000000000001</v>
      </c>
    </row>
    <row r="226" spans="1:10" x14ac:dyDescent="0.3">
      <c r="A226" t="s">
        <v>3</v>
      </c>
      <c r="B226" t="s">
        <v>95</v>
      </c>
      <c r="C226" t="s">
        <v>151</v>
      </c>
      <c r="D226" t="s">
        <v>177</v>
      </c>
      <c r="E226" t="s">
        <v>72</v>
      </c>
      <c r="F226" s="1">
        <v>9.7182870370370381E-4</v>
      </c>
      <c r="G226" s="37">
        <v>2.23</v>
      </c>
      <c r="H226">
        <v>2.9</v>
      </c>
      <c r="I226" s="37">
        <v>0.96</v>
      </c>
      <c r="J226">
        <f t="shared" si="3"/>
        <v>2.7839999999999998</v>
      </c>
    </row>
    <row r="227" spans="1:10" x14ac:dyDescent="0.3">
      <c r="A227" t="s">
        <v>3</v>
      </c>
      <c r="B227" t="s">
        <v>95</v>
      </c>
      <c r="C227" t="s">
        <v>151</v>
      </c>
      <c r="D227" t="s">
        <v>177</v>
      </c>
      <c r="E227" t="s">
        <v>59</v>
      </c>
      <c r="F227" s="1">
        <v>9.7252314814814814E-4</v>
      </c>
      <c r="G227" s="37">
        <v>2.2000000000000002</v>
      </c>
      <c r="H227">
        <v>2.87</v>
      </c>
      <c r="I227" s="37">
        <v>0.96</v>
      </c>
      <c r="J227">
        <f t="shared" si="3"/>
        <v>2.7551999999999999</v>
      </c>
    </row>
    <row r="228" spans="1:10" x14ac:dyDescent="0.3">
      <c r="A228" t="s">
        <v>3</v>
      </c>
      <c r="B228" t="s">
        <v>95</v>
      </c>
      <c r="C228" t="s">
        <v>151</v>
      </c>
      <c r="D228" t="s">
        <v>177</v>
      </c>
      <c r="E228" t="s">
        <v>60</v>
      </c>
      <c r="F228" s="1">
        <v>9.7935185185185191E-4</v>
      </c>
      <c r="G228" s="37">
        <v>2.17</v>
      </c>
      <c r="H228">
        <v>2.83</v>
      </c>
      <c r="I228" s="37">
        <v>0.96</v>
      </c>
      <c r="J228">
        <f t="shared" si="3"/>
        <v>2.7168000000000001</v>
      </c>
    </row>
    <row r="229" spans="1:10" x14ac:dyDescent="0.3">
      <c r="A229" t="s">
        <v>3</v>
      </c>
      <c r="B229" t="s">
        <v>95</v>
      </c>
      <c r="C229" t="s">
        <v>151</v>
      </c>
      <c r="D229" t="s">
        <v>177</v>
      </c>
      <c r="E229" t="s">
        <v>61</v>
      </c>
      <c r="F229" s="1">
        <v>9.822453703703703E-4</v>
      </c>
      <c r="G229" s="37">
        <v>2.15</v>
      </c>
      <c r="H229">
        <v>2.8</v>
      </c>
      <c r="I229" s="37">
        <v>0.96</v>
      </c>
      <c r="J229">
        <f t="shared" si="3"/>
        <v>2.6879999999999997</v>
      </c>
    </row>
    <row r="230" spans="1:10" x14ac:dyDescent="0.3">
      <c r="A230" t="s">
        <v>3</v>
      </c>
      <c r="B230" t="s">
        <v>95</v>
      </c>
      <c r="C230" t="s">
        <v>151</v>
      </c>
      <c r="D230" t="s">
        <v>177</v>
      </c>
      <c r="E230" t="s">
        <v>62</v>
      </c>
      <c r="F230" s="1">
        <v>9.8410879629629629E-4</v>
      </c>
      <c r="G230" s="37">
        <v>2.16</v>
      </c>
      <c r="H230">
        <v>2.82</v>
      </c>
      <c r="I230" s="37">
        <v>0.96</v>
      </c>
      <c r="J230">
        <f t="shared" si="3"/>
        <v>2.7071999999999998</v>
      </c>
    </row>
    <row r="231" spans="1:10" x14ac:dyDescent="0.3">
      <c r="A231" t="s">
        <v>3</v>
      </c>
      <c r="B231" t="s">
        <v>95</v>
      </c>
      <c r="C231" t="s">
        <v>151</v>
      </c>
      <c r="D231" t="s">
        <v>177</v>
      </c>
      <c r="E231" t="s">
        <v>63</v>
      </c>
      <c r="F231" s="1">
        <v>9.8248842592592593E-4</v>
      </c>
      <c r="G231" s="37">
        <v>2.15</v>
      </c>
      <c r="H231">
        <v>2.81</v>
      </c>
      <c r="I231" s="37">
        <v>0.96</v>
      </c>
      <c r="J231">
        <f t="shared" si="3"/>
        <v>2.6976</v>
      </c>
    </row>
    <row r="232" spans="1:10" x14ac:dyDescent="0.3">
      <c r="A232" t="s">
        <v>3</v>
      </c>
      <c r="B232" t="s">
        <v>95</v>
      </c>
      <c r="C232" t="s">
        <v>151</v>
      </c>
      <c r="D232" t="s">
        <v>177</v>
      </c>
      <c r="E232" t="s">
        <v>64</v>
      </c>
      <c r="F232" s="1">
        <v>9.849537037037036E-4</v>
      </c>
      <c r="G232" s="37">
        <v>2.17</v>
      </c>
      <c r="H232">
        <v>2.84</v>
      </c>
      <c r="I232" s="37">
        <v>0.96</v>
      </c>
      <c r="J232">
        <f t="shared" si="3"/>
        <v>2.7263999999999999</v>
      </c>
    </row>
    <row r="233" spans="1:10" x14ac:dyDescent="0.3">
      <c r="A233" t="s">
        <v>3</v>
      </c>
      <c r="B233" t="s">
        <v>95</v>
      </c>
      <c r="C233" t="s">
        <v>151</v>
      </c>
      <c r="D233" t="s">
        <v>177</v>
      </c>
      <c r="E233" t="s">
        <v>65</v>
      </c>
      <c r="F233" s="1">
        <v>9.8062499999999994E-4</v>
      </c>
      <c r="G233" s="37">
        <v>2.2400000000000002</v>
      </c>
      <c r="H233">
        <v>2.92</v>
      </c>
      <c r="I233" s="37">
        <v>0.96</v>
      </c>
      <c r="J233">
        <f t="shared" si="3"/>
        <v>2.8031999999999999</v>
      </c>
    </row>
    <row r="234" spans="1:10" x14ac:dyDescent="0.3">
      <c r="A234" t="s">
        <v>3</v>
      </c>
      <c r="B234" t="s">
        <v>95</v>
      </c>
      <c r="C234" t="s">
        <v>151</v>
      </c>
      <c r="D234" t="s">
        <v>177</v>
      </c>
      <c r="E234" t="s">
        <v>66</v>
      </c>
      <c r="F234" s="1">
        <v>9.7773148148148155E-4</v>
      </c>
      <c r="G234" s="37">
        <v>2.2400000000000002</v>
      </c>
      <c r="H234">
        <v>2.93</v>
      </c>
      <c r="I234" s="37">
        <v>0.96</v>
      </c>
      <c r="J234">
        <f t="shared" si="3"/>
        <v>2.8128000000000002</v>
      </c>
    </row>
    <row r="235" spans="1:10" x14ac:dyDescent="0.3">
      <c r="A235" t="s">
        <v>3</v>
      </c>
      <c r="B235" t="s">
        <v>95</v>
      </c>
      <c r="C235" t="s">
        <v>151</v>
      </c>
      <c r="D235" t="s">
        <v>177</v>
      </c>
      <c r="E235" t="s">
        <v>67</v>
      </c>
      <c r="F235" s="1">
        <v>9.8560185185185187E-4</v>
      </c>
      <c r="G235" s="37">
        <v>2.2000000000000002</v>
      </c>
      <c r="H235">
        <v>2.87</v>
      </c>
      <c r="I235" s="37">
        <v>0.96</v>
      </c>
      <c r="J235">
        <f t="shared" si="3"/>
        <v>2.7551999999999999</v>
      </c>
    </row>
    <row r="236" spans="1:10" x14ac:dyDescent="0.3">
      <c r="A236" t="s">
        <v>3</v>
      </c>
      <c r="B236" t="s">
        <v>95</v>
      </c>
      <c r="C236" t="s">
        <v>151</v>
      </c>
      <c r="D236" t="s">
        <v>177</v>
      </c>
      <c r="E236" t="s">
        <v>68</v>
      </c>
      <c r="F236" s="1">
        <v>9.86238425925926E-4</v>
      </c>
      <c r="G236" s="37">
        <v>2.1800000000000002</v>
      </c>
      <c r="H236">
        <v>2.84</v>
      </c>
      <c r="I236" s="37">
        <v>0.96</v>
      </c>
      <c r="J236">
        <f t="shared" si="3"/>
        <v>2.7263999999999999</v>
      </c>
    </row>
    <row r="237" spans="1:10" x14ac:dyDescent="0.3">
      <c r="A237" t="s">
        <v>3</v>
      </c>
      <c r="B237" t="s">
        <v>95</v>
      </c>
      <c r="C237" t="s">
        <v>151</v>
      </c>
      <c r="D237" t="s">
        <v>177</v>
      </c>
      <c r="E237" t="s">
        <v>69</v>
      </c>
      <c r="F237" s="1">
        <v>9.7819444444444429E-4</v>
      </c>
      <c r="G237" s="37">
        <v>2.19</v>
      </c>
      <c r="H237">
        <v>2.91</v>
      </c>
      <c r="I237" s="37">
        <v>0.96</v>
      </c>
      <c r="J237">
        <f t="shared" si="3"/>
        <v>2.7936000000000001</v>
      </c>
    </row>
    <row r="238" spans="1:10" x14ac:dyDescent="0.3">
      <c r="A238" t="s">
        <v>3</v>
      </c>
      <c r="B238" t="s">
        <v>95</v>
      </c>
      <c r="C238" t="s">
        <v>151</v>
      </c>
      <c r="D238" t="s">
        <v>177</v>
      </c>
      <c r="E238" t="s">
        <v>70</v>
      </c>
      <c r="F238" s="1">
        <v>9.7953703703703701E-4</v>
      </c>
      <c r="G238" s="37">
        <v>2.23</v>
      </c>
      <c r="H238">
        <v>2.91</v>
      </c>
      <c r="I238" s="37">
        <v>0.96</v>
      </c>
      <c r="J238">
        <f t="shared" si="3"/>
        <v>2.7936000000000001</v>
      </c>
    </row>
    <row r="239" spans="1:10" x14ac:dyDescent="0.3">
      <c r="A239" t="s">
        <v>3</v>
      </c>
      <c r="B239" t="s">
        <v>95</v>
      </c>
      <c r="C239" t="s">
        <v>151</v>
      </c>
      <c r="D239" s="22" t="s">
        <v>177</v>
      </c>
      <c r="E239" t="s">
        <v>71</v>
      </c>
      <c r="F239" s="1">
        <v>9.8542824074074071E-4</v>
      </c>
      <c r="G239" s="37">
        <v>2.2200000000000002</v>
      </c>
      <c r="H239">
        <v>2.89</v>
      </c>
      <c r="I239" s="37">
        <v>0.96</v>
      </c>
      <c r="J239">
        <f t="shared" si="3"/>
        <v>2.7744</v>
      </c>
    </row>
    <row r="240" spans="1:10" x14ac:dyDescent="0.3">
      <c r="A240" t="s">
        <v>3</v>
      </c>
      <c r="B240" t="s">
        <v>98</v>
      </c>
      <c r="C240" t="s">
        <v>151</v>
      </c>
      <c r="D240" s="22" t="s">
        <v>178</v>
      </c>
      <c r="E240" t="s">
        <v>9</v>
      </c>
      <c r="F240" s="1">
        <v>9.5854166666666668E-4</v>
      </c>
      <c r="G240" s="37">
        <v>2.2400000000000002</v>
      </c>
      <c r="H240">
        <v>3.51</v>
      </c>
      <c r="I240" s="37">
        <v>0.84099999999999997</v>
      </c>
      <c r="J240">
        <f t="shared" si="3"/>
        <v>2.9519099999999998</v>
      </c>
    </row>
    <row r="241" spans="1:10" x14ac:dyDescent="0.3">
      <c r="A241" t="s">
        <v>3</v>
      </c>
      <c r="B241" t="s">
        <v>98</v>
      </c>
      <c r="C241" t="s">
        <v>151</v>
      </c>
      <c r="D241" s="22" t="s">
        <v>178</v>
      </c>
      <c r="E241" t="s">
        <v>10</v>
      </c>
      <c r="F241" s="1">
        <v>9.5848379629629636E-4</v>
      </c>
      <c r="G241" s="37">
        <v>2.2400000000000002</v>
      </c>
      <c r="H241">
        <v>3.5</v>
      </c>
      <c r="I241" s="37">
        <v>0.84099999999999997</v>
      </c>
      <c r="J241">
        <f t="shared" si="3"/>
        <v>2.9434999999999998</v>
      </c>
    </row>
    <row r="242" spans="1:10" x14ac:dyDescent="0.3">
      <c r="A242" t="s">
        <v>3</v>
      </c>
      <c r="B242" t="s">
        <v>98</v>
      </c>
      <c r="C242" t="s">
        <v>151</v>
      </c>
      <c r="D242" s="22" t="s">
        <v>178</v>
      </c>
      <c r="E242" t="s">
        <v>15</v>
      </c>
      <c r="F242" s="1">
        <v>9.5990740740740748E-4</v>
      </c>
      <c r="G242" s="37">
        <v>2.2200000000000002</v>
      </c>
      <c r="H242">
        <v>3.5</v>
      </c>
      <c r="I242" s="37">
        <v>0.84099999999999997</v>
      </c>
      <c r="J242">
        <f t="shared" si="3"/>
        <v>2.9434999999999998</v>
      </c>
    </row>
    <row r="243" spans="1:10" x14ac:dyDescent="0.3">
      <c r="A243" t="s">
        <v>3</v>
      </c>
      <c r="B243" t="s">
        <v>98</v>
      </c>
      <c r="C243" t="s">
        <v>151</v>
      </c>
      <c r="D243" s="22" t="s">
        <v>178</v>
      </c>
      <c r="E243" t="s">
        <v>16</v>
      </c>
      <c r="F243" s="1">
        <v>9.6000000000000002E-4</v>
      </c>
      <c r="G243" s="37">
        <v>2.2400000000000002</v>
      </c>
      <c r="H243">
        <v>3.51</v>
      </c>
      <c r="I243" s="37">
        <v>0.84099999999999997</v>
      </c>
      <c r="J243">
        <f t="shared" si="3"/>
        <v>2.9519099999999998</v>
      </c>
    </row>
    <row r="244" spans="1:10" x14ac:dyDescent="0.3">
      <c r="A244" t="s">
        <v>3</v>
      </c>
      <c r="B244" t="s">
        <v>98</v>
      </c>
      <c r="C244" t="s">
        <v>151</v>
      </c>
      <c r="D244" s="22" t="s">
        <v>178</v>
      </c>
      <c r="E244" t="s">
        <v>17</v>
      </c>
      <c r="F244" s="1">
        <v>9.6152777777777773E-4</v>
      </c>
      <c r="G244" s="37">
        <v>2.2200000000000002</v>
      </c>
      <c r="H244">
        <v>3.5</v>
      </c>
      <c r="I244" s="37">
        <v>0.84099999999999997</v>
      </c>
      <c r="J244">
        <f t="shared" si="3"/>
        <v>2.9434999999999998</v>
      </c>
    </row>
    <row r="245" spans="1:10" x14ac:dyDescent="0.3">
      <c r="A245" t="s">
        <v>3</v>
      </c>
      <c r="B245" t="s">
        <v>98</v>
      </c>
      <c r="C245" t="s">
        <v>151</v>
      </c>
      <c r="D245" s="22" t="s">
        <v>178</v>
      </c>
      <c r="E245" t="s">
        <v>18</v>
      </c>
      <c r="F245" s="1">
        <v>9.6267361111111109E-4</v>
      </c>
      <c r="G245" s="37">
        <v>2.23</v>
      </c>
      <c r="H245">
        <v>3.5</v>
      </c>
      <c r="I245" s="37">
        <v>0.84099999999999997</v>
      </c>
      <c r="J245">
        <f t="shared" si="3"/>
        <v>2.9434999999999998</v>
      </c>
    </row>
    <row r="246" spans="1:10" x14ac:dyDescent="0.3">
      <c r="A246" t="s">
        <v>3</v>
      </c>
      <c r="B246" t="s">
        <v>98</v>
      </c>
      <c r="C246" t="s">
        <v>151</v>
      </c>
      <c r="D246" s="22" t="s">
        <v>178</v>
      </c>
      <c r="E246" t="s">
        <v>19</v>
      </c>
      <c r="F246" s="1">
        <v>9.6476851851851845E-4</v>
      </c>
      <c r="G246" s="37">
        <v>2.2400000000000002</v>
      </c>
      <c r="H246">
        <v>3.49</v>
      </c>
      <c r="I246" s="37">
        <v>0.84099999999999997</v>
      </c>
      <c r="J246">
        <f t="shared" si="3"/>
        <v>2.9350900000000002</v>
      </c>
    </row>
    <row r="247" spans="1:10" x14ac:dyDescent="0.3">
      <c r="A247" t="s">
        <v>3</v>
      </c>
      <c r="B247" t="s">
        <v>98</v>
      </c>
      <c r="C247" t="s">
        <v>151</v>
      </c>
      <c r="D247" s="22" t="s">
        <v>178</v>
      </c>
      <c r="E247" t="s">
        <v>45</v>
      </c>
      <c r="F247" s="1">
        <v>9.6381944444444445E-4</v>
      </c>
      <c r="G247" s="37">
        <v>2.2400000000000002</v>
      </c>
      <c r="H247">
        <v>3.48</v>
      </c>
      <c r="I247" s="37">
        <v>0.84099999999999997</v>
      </c>
      <c r="J247">
        <f t="shared" si="3"/>
        <v>2.9266799999999997</v>
      </c>
    </row>
    <row r="248" spans="1:10" x14ac:dyDescent="0.3">
      <c r="A248" t="s">
        <v>3</v>
      </c>
      <c r="B248" t="s">
        <v>98</v>
      </c>
      <c r="C248" t="s">
        <v>151</v>
      </c>
      <c r="D248" s="22" t="s">
        <v>178</v>
      </c>
      <c r="E248" t="s">
        <v>46</v>
      </c>
      <c r="F248" s="1">
        <v>9.677777777777778E-4</v>
      </c>
      <c r="G248" s="37">
        <v>2.2200000000000002</v>
      </c>
      <c r="H248">
        <v>3.45</v>
      </c>
      <c r="I248" s="37">
        <v>0.84099999999999997</v>
      </c>
      <c r="J248">
        <f t="shared" si="3"/>
        <v>2.9014500000000001</v>
      </c>
    </row>
    <row r="249" spans="1:10" x14ac:dyDescent="0.3">
      <c r="A249" t="s">
        <v>3</v>
      </c>
      <c r="B249" t="s">
        <v>98</v>
      </c>
      <c r="C249" t="s">
        <v>151</v>
      </c>
      <c r="D249" s="22" t="s">
        <v>178</v>
      </c>
      <c r="E249" t="s">
        <v>47</v>
      </c>
      <c r="F249" s="1">
        <v>9.7430555555555562E-4</v>
      </c>
      <c r="G249" s="37">
        <v>2.21</v>
      </c>
      <c r="H249">
        <v>3.43</v>
      </c>
      <c r="I249" s="37">
        <v>0.84099999999999997</v>
      </c>
      <c r="J249">
        <f t="shared" si="3"/>
        <v>2.88463</v>
      </c>
    </row>
    <row r="250" spans="1:10" x14ac:dyDescent="0.3">
      <c r="A250" t="s">
        <v>3</v>
      </c>
      <c r="B250" t="s">
        <v>98</v>
      </c>
      <c r="C250" t="s">
        <v>151</v>
      </c>
      <c r="D250" s="22" t="s">
        <v>178</v>
      </c>
      <c r="E250" t="s">
        <v>48</v>
      </c>
      <c r="F250" s="1">
        <v>9.7170138888888892E-4</v>
      </c>
      <c r="G250" s="37">
        <v>2.19</v>
      </c>
      <c r="H250">
        <v>3.46</v>
      </c>
      <c r="I250" s="37">
        <v>0.84099999999999997</v>
      </c>
      <c r="J250">
        <f t="shared" si="3"/>
        <v>2.9098599999999997</v>
      </c>
    </row>
    <row r="251" spans="1:10" x14ac:dyDescent="0.3">
      <c r="A251" t="s">
        <v>3</v>
      </c>
      <c r="B251" t="s">
        <v>98</v>
      </c>
      <c r="C251" t="s">
        <v>151</v>
      </c>
      <c r="D251" s="22" t="s">
        <v>178</v>
      </c>
      <c r="E251" t="s">
        <v>49</v>
      </c>
      <c r="F251" s="1">
        <v>9.7465277777777784E-4</v>
      </c>
      <c r="G251" s="37">
        <v>2.19</v>
      </c>
      <c r="H251">
        <v>3.42</v>
      </c>
      <c r="I251" s="37">
        <v>0.84099999999999997</v>
      </c>
      <c r="J251">
        <f t="shared" si="3"/>
        <v>2.87622</v>
      </c>
    </row>
    <row r="252" spans="1:10" x14ac:dyDescent="0.3">
      <c r="A252" t="s">
        <v>3</v>
      </c>
      <c r="B252" t="s">
        <v>98</v>
      </c>
      <c r="C252" t="s">
        <v>151</v>
      </c>
      <c r="D252" s="22" t="s">
        <v>178</v>
      </c>
      <c r="E252" t="s">
        <v>50</v>
      </c>
      <c r="F252" s="1">
        <v>9.7476851851851848E-4</v>
      </c>
      <c r="G252" s="37">
        <v>2.19</v>
      </c>
      <c r="H252">
        <v>3.44</v>
      </c>
      <c r="I252" s="37">
        <v>0.84099999999999997</v>
      </c>
      <c r="J252">
        <f t="shared" si="3"/>
        <v>2.8930400000000001</v>
      </c>
    </row>
    <row r="253" spans="1:10" x14ac:dyDescent="0.3">
      <c r="A253" t="s">
        <v>3</v>
      </c>
      <c r="B253" t="s">
        <v>98</v>
      </c>
      <c r="C253" t="s">
        <v>151</v>
      </c>
      <c r="D253" s="22" t="s">
        <v>178</v>
      </c>
      <c r="E253" t="s">
        <v>51</v>
      </c>
      <c r="F253" s="1">
        <v>9.7292824074074078E-4</v>
      </c>
      <c r="G253" s="37">
        <v>2.1800000000000002</v>
      </c>
      <c r="H253">
        <v>3.41</v>
      </c>
      <c r="I253" s="37">
        <v>0.84099999999999997</v>
      </c>
      <c r="J253">
        <f t="shared" si="3"/>
        <v>2.86781</v>
      </c>
    </row>
    <row r="254" spans="1:10" x14ac:dyDescent="0.3">
      <c r="A254" t="s">
        <v>3</v>
      </c>
      <c r="B254" t="s">
        <v>98</v>
      </c>
      <c r="C254" t="s">
        <v>151</v>
      </c>
      <c r="D254" s="22" t="s">
        <v>178</v>
      </c>
      <c r="E254" t="s">
        <v>53</v>
      </c>
      <c r="F254" s="1">
        <v>9.6793981481481481E-4</v>
      </c>
      <c r="G254" s="37">
        <v>2.21</v>
      </c>
      <c r="H254">
        <v>3.47</v>
      </c>
      <c r="I254" s="37">
        <v>0.84099999999999997</v>
      </c>
      <c r="J254">
        <f t="shared" si="3"/>
        <v>2.9182700000000001</v>
      </c>
    </row>
    <row r="255" spans="1:10" x14ac:dyDescent="0.3">
      <c r="A255" t="s">
        <v>3</v>
      </c>
      <c r="B255" t="s">
        <v>98</v>
      </c>
      <c r="C255" t="s">
        <v>151</v>
      </c>
      <c r="D255" s="22" t="s">
        <v>178</v>
      </c>
      <c r="E255" t="s">
        <v>54</v>
      </c>
      <c r="F255" s="1">
        <v>9.6975694444444453E-4</v>
      </c>
      <c r="G255" s="37">
        <v>2.19</v>
      </c>
      <c r="H255">
        <v>3.43</v>
      </c>
      <c r="I255" s="37">
        <v>0.84099999999999997</v>
      </c>
      <c r="J255">
        <f t="shared" si="3"/>
        <v>2.88463</v>
      </c>
    </row>
    <row r="256" spans="1:10" x14ac:dyDescent="0.3">
      <c r="A256" t="s">
        <v>3</v>
      </c>
      <c r="B256" t="s">
        <v>98</v>
      </c>
      <c r="C256" t="s">
        <v>151</v>
      </c>
      <c r="D256" s="22" t="s">
        <v>178</v>
      </c>
      <c r="E256" t="s">
        <v>55</v>
      </c>
      <c r="F256" s="1">
        <v>9.7244212962962974E-4</v>
      </c>
      <c r="G256" s="37">
        <v>2.21</v>
      </c>
      <c r="H256">
        <v>3.45</v>
      </c>
      <c r="I256" s="37">
        <v>0.84099999999999997</v>
      </c>
      <c r="J256">
        <f t="shared" si="3"/>
        <v>2.9014500000000001</v>
      </c>
    </row>
    <row r="257" spans="1:10" x14ac:dyDescent="0.3">
      <c r="A257" t="s">
        <v>3</v>
      </c>
      <c r="B257" t="s">
        <v>98</v>
      </c>
      <c r="C257" t="s">
        <v>151</v>
      </c>
      <c r="D257" s="22" t="s">
        <v>178</v>
      </c>
      <c r="E257" t="s">
        <v>56</v>
      </c>
      <c r="F257" s="1">
        <v>9.6799768518518524E-4</v>
      </c>
      <c r="G257" s="37">
        <v>2.2000000000000002</v>
      </c>
      <c r="H257">
        <v>3.45</v>
      </c>
      <c r="I257" s="37">
        <v>0.84099999999999997</v>
      </c>
      <c r="J257">
        <f t="shared" si="3"/>
        <v>2.9014500000000001</v>
      </c>
    </row>
    <row r="258" spans="1:10" x14ac:dyDescent="0.3">
      <c r="A258" t="s">
        <v>3</v>
      </c>
      <c r="B258" t="s">
        <v>98</v>
      </c>
      <c r="C258" t="s">
        <v>151</v>
      </c>
      <c r="D258" s="22" t="s">
        <v>178</v>
      </c>
      <c r="E258" t="s">
        <v>57</v>
      </c>
      <c r="F258" s="1">
        <v>9.6863425925925925E-4</v>
      </c>
      <c r="G258" s="37">
        <v>2.19</v>
      </c>
      <c r="H258">
        <v>3.44</v>
      </c>
      <c r="I258" s="37">
        <v>0.84099999999999997</v>
      </c>
      <c r="J258">
        <f t="shared" si="3"/>
        <v>2.8930400000000001</v>
      </c>
    </row>
    <row r="259" spans="1:10" x14ac:dyDescent="0.3">
      <c r="A259" t="s">
        <v>3</v>
      </c>
      <c r="B259" t="s">
        <v>98</v>
      </c>
      <c r="C259" t="s">
        <v>151</v>
      </c>
      <c r="D259" s="22" t="s">
        <v>178</v>
      </c>
      <c r="E259" t="s">
        <v>58</v>
      </c>
      <c r="F259" s="1">
        <v>9.6996527777777782E-4</v>
      </c>
      <c r="G259" s="37">
        <v>2.2000000000000002</v>
      </c>
      <c r="H259">
        <v>3.42</v>
      </c>
      <c r="I259" s="37">
        <v>0.84099999999999997</v>
      </c>
      <c r="J259">
        <f t="shared" si="3"/>
        <v>2.87622</v>
      </c>
    </row>
    <row r="260" spans="1:10" x14ac:dyDescent="0.3">
      <c r="A260" t="s">
        <v>3</v>
      </c>
      <c r="B260" t="s">
        <v>98</v>
      </c>
      <c r="C260" t="s">
        <v>151</v>
      </c>
      <c r="D260" s="22" t="s">
        <v>178</v>
      </c>
      <c r="E260" t="s">
        <v>72</v>
      </c>
      <c r="F260" s="1">
        <v>9.6847222222222224E-4</v>
      </c>
      <c r="G260" s="37">
        <v>2.21</v>
      </c>
      <c r="H260">
        <v>3.45</v>
      </c>
      <c r="I260" s="37">
        <v>0.84099999999999997</v>
      </c>
      <c r="J260">
        <f t="shared" ref="J260:J323" si="4">H260*I260</f>
        <v>2.9014500000000001</v>
      </c>
    </row>
    <row r="261" spans="1:10" x14ac:dyDescent="0.3">
      <c r="A261" t="s">
        <v>3</v>
      </c>
      <c r="B261" t="s">
        <v>98</v>
      </c>
      <c r="C261" t="s">
        <v>151</v>
      </c>
      <c r="D261" s="22" t="s">
        <v>178</v>
      </c>
      <c r="E261" t="s">
        <v>59</v>
      </c>
      <c r="F261" s="1">
        <v>1.0021990740740742E-3</v>
      </c>
      <c r="G261" s="37">
        <v>2.2000000000000002</v>
      </c>
      <c r="H261">
        <v>3.46</v>
      </c>
      <c r="I261" s="37">
        <v>0.84099999999999997</v>
      </c>
      <c r="J261">
        <f t="shared" si="4"/>
        <v>2.9098599999999997</v>
      </c>
    </row>
    <row r="262" spans="1:10" x14ac:dyDescent="0.3">
      <c r="A262" t="s">
        <v>3</v>
      </c>
      <c r="B262" t="s">
        <v>98</v>
      </c>
      <c r="C262" t="s">
        <v>151</v>
      </c>
      <c r="D262" s="22" t="s">
        <v>178</v>
      </c>
      <c r="E262" t="s">
        <v>60</v>
      </c>
      <c r="F262" s="1">
        <v>9.811921296296296E-4</v>
      </c>
      <c r="G262" s="37">
        <v>2.09</v>
      </c>
      <c r="H262">
        <v>3.31</v>
      </c>
      <c r="I262" s="37">
        <v>0.84099999999999997</v>
      </c>
      <c r="J262">
        <f t="shared" si="4"/>
        <v>2.7837100000000001</v>
      </c>
    </row>
    <row r="263" spans="1:10" x14ac:dyDescent="0.3">
      <c r="A263" t="s">
        <v>3</v>
      </c>
      <c r="B263" t="s">
        <v>98</v>
      </c>
      <c r="C263" t="s">
        <v>151</v>
      </c>
      <c r="D263" s="22" t="s">
        <v>178</v>
      </c>
      <c r="E263" t="s">
        <v>61</v>
      </c>
      <c r="F263" s="1">
        <v>9.7222222222222219E-4</v>
      </c>
      <c r="G263" s="37">
        <v>2.1800000000000002</v>
      </c>
      <c r="H263">
        <v>3.43</v>
      </c>
      <c r="I263" s="37">
        <v>0.84099999999999997</v>
      </c>
      <c r="J263">
        <f t="shared" si="4"/>
        <v>2.88463</v>
      </c>
    </row>
    <row r="264" spans="1:10" x14ac:dyDescent="0.3">
      <c r="A264" t="s">
        <v>3</v>
      </c>
      <c r="B264" t="s">
        <v>98</v>
      </c>
      <c r="C264" t="s">
        <v>151</v>
      </c>
      <c r="D264" s="22" t="s">
        <v>178</v>
      </c>
      <c r="E264" t="s">
        <v>62</v>
      </c>
      <c r="F264" s="1">
        <v>9.777199074074074E-4</v>
      </c>
      <c r="G264" s="37">
        <v>2.2200000000000002</v>
      </c>
      <c r="H264">
        <v>3.48</v>
      </c>
      <c r="I264" s="37">
        <v>0.84099999999999997</v>
      </c>
      <c r="J264">
        <f t="shared" si="4"/>
        <v>2.9266799999999997</v>
      </c>
    </row>
    <row r="265" spans="1:10" x14ac:dyDescent="0.3">
      <c r="A265" t="s">
        <v>3</v>
      </c>
      <c r="B265" t="s">
        <v>98</v>
      </c>
      <c r="C265" t="s">
        <v>151</v>
      </c>
      <c r="D265" s="22" t="s">
        <v>178</v>
      </c>
      <c r="E265" t="s">
        <v>63</v>
      </c>
      <c r="F265" s="1">
        <v>9.7217592592592592E-4</v>
      </c>
      <c r="G265" s="37">
        <v>2.2200000000000002</v>
      </c>
      <c r="H265">
        <v>3.46</v>
      </c>
      <c r="I265" s="37">
        <v>0.84099999999999997</v>
      </c>
      <c r="J265">
        <f t="shared" si="4"/>
        <v>2.9098599999999997</v>
      </c>
    </row>
    <row r="266" spans="1:10" x14ac:dyDescent="0.3">
      <c r="A266" t="s">
        <v>3</v>
      </c>
      <c r="B266" t="s">
        <v>98</v>
      </c>
      <c r="C266" t="s">
        <v>151</v>
      </c>
      <c r="D266" s="22" t="s">
        <v>178</v>
      </c>
      <c r="E266" t="s">
        <v>64</v>
      </c>
      <c r="F266" s="1">
        <v>9.7250000000000006E-4</v>
      </c>
      <c r="G266" s="37">
        <v>2.21</v>
      </c>
      <c r="H266">
        <v>3.45</v>
      </c>
      <c r="I266" s="37">
        <v>0.84099999999999997</v>
      </c>
      <c r="J266">
        <f t="shared" si="4"/>
        <v>2.9014500000000001</v>
      </c>
    </row>
    <row r="267" spans="1:10" x14ac:dyDescent="0.3">
      <c r="A267" t="s">
        <v>3</v>
      </c>
      <c r="B267" t="s">
        <v>98</v>
      </c>
      <c r="C267" t="s">
        <v>151</v>
      </c>
      <c r="D267" s="22" t="s">
        <v>178</v>
      </c>
      <c r="E267" t="s">
        <v>65</v>
      </c>
      <c r="F267" s="1">
        <v>9.7525462962962963E-4</v>
      </c>
      <c r="G267" s="37">
        <v>2.21</v>
      </c>
      <c r="H267">
        <v>3.47</v>
      </c>
      <c r="I267" s="37">
        <v>0.84099999999999997</v>
      </c>
      <c r="J267">
        <f t="shared" si="4"/>
        <v>2.9182700000000001</v>
      </c>
    </row>
    <row r="268" spans="1:10" x14ac:dyDescent="0.3">
      <c r="A268" t="s">
        <v>3</v>
      </c>
      <c r="B268" t="s">
        <v>98</v>
      </c>
      <c r="C268" t="s">
        <v>151</v>
      </c>
      <c r="D268" s="22" t="s">
        <v>178</v>
      </c>
      <c r="E268" t="s">
        <v>66</v>
      </c>
      <c r="F268" s="1">
        <v>9.7513888888888889E-4</v>
      </c>
      <c r="G268" s="37">
        <v>2.2200000000000002</v>
      </c>
      <c r="H268">
        <v>3.46</v>
      </c>
      <c r="I268" s="37">
        <v>0.84099999999999997</v>
      </c>
      <c r="J268">
        <f t="shared" si="4"/>
        <v>2.9098599999999997</v>
      </c>
    </row>
    <row r="269" spans="1:10" x14ac:dyDescent="0.3">
      <c r="A269" t="s">
        <v>3</v>
      </c>
      <c r="B269" t="s">
        <v>98</v>
      </c>
      <c r="C269" t="s">
        <v>151</v>
      </c>
      <c r="D269" s="22" t="s">
        <v>178</v>
      </c>
      <c r="E269" t="s">
        <v>67</v>
      </c>
      <c r="F269" s="1">
        <v>9.7973379629629626E-4</v>
      </c>
      <c r="G269" s="37">
        <v>2.2000000000000002</v>
      </c>
      <c r="H269">
        <v>3.43</v>
      </c>
      <c r="I269" s="37">
        <v>0.84099999999999997</v>
      </c>
      <c r="J269">
        <f t="shared" si="4"/>
        <v>2.88463</v>
      </c>
    </row>
    <row r="270" spans="1:10" x14ac:dyDescent="0.3">
      <c r="A270" t="s">
        <v>3</v>
      </c>
      <c r="B270" t="s">
        <v>98</v>
      </c>
      <c r="C270" t="s">
        <v>151</v>
      </c>
      <c r="D270" s="22" t="s">
        <v>178</v>
      </c>
      <c r="E270" t="s">
        <v>68</v>
      </c>
      <c r="F270" s="1">
        <v>9.81400462962963E-4</v>
      </c>
      <c r="G270" s="37">
        <v>2.19</v>
      </c>
      <c r="H270">
        <v>3.43</v>
      </c>
      <c r="I270" s="37">
        <v>0.84099999999999997</v>
      </c>
      <c r="J270">
        <f t="shared" si="4"/>
        <v>2.88463</v>
      </c>
    </row>
    <row r="271" spans="1:10" x14ac:dyDescent="0.3">
      <c r="A271" t="s">
        <v>3</v>
      </c>
      <c r="B271" t="s">
        <v>98</v>
      </c>
      <c r="C271" t="s">
        <v>151</v>
      </c>
      <c r="D271" s="22" t="s">
        <v>178</v>
      </c>
      <c r="E271" t="s">
        <v>69</v>
      </c>
      <c r="F271" s="1">
        <v>9.9247685185185181E-4</v>
      </c>
      <c r="G271" s="37">
        <v>2.14</v>
      </c>
      <c r="H271">
        <v>3.38</v>
      </c>
      <c r="I271" s="37">
        <v>0.84099999999999997</v>
      </c>
      <c r="J271">
        <f t="shared" si="4"/>
        <v>2.8425799999999999</v>
      </c>
    </row>
    <row r="272" spans="1:10" x14ac:dyDescent="0.3">
      <c r="A272" t="s">
        <v>3</v>
      </c>
      <c r="B272" t="s">
        <v>98</v>
      </c>
      <c r="C272" t="s">
        <v>151</v>
      </c>
      <c r="D272" s="22" t="s">
        <v>178</v>
      </c>
      <c r="E272" t="s">
        <v>70</v>
      </c>
      <c r="F272" s="1">
        <v>9.933680555555555E-4</v>
      </c>
      <c r="G272" s="37">
        <v>2.1</v>
      </c>
      <c r="H272">
        <v>3.29</v>
      </c>
      <c r="I272" s="37">
        <v>0.84099999999999997</v>
      </c>
      <c r="J272">
        <f t="shared" si="4"/>
        <v>2.7668900000000001</v>
      </c>
    </row>
    <row r="273" spans="1:10" x14ac:dyDescent="0.3">
      <c r="A273" t="s">
        <v>3</v>
      </c>
      <c r="B273" t="s">
        <v>98</v>
      </c>
      <c r="C273" t="s">
        <v>151</v>
      </c>
      <c r="D273" t="s">
        <v>178</v>
      </c>
      <c r="E273" t="s">
        <v>71</v>
      </c>
      <c r="F273" s="1">
        <v>9.8751157407407403E-4</v>
      </c>
      <c r="G273" s="37">
        <v>2.08</v>
      </c>
      <c r="H273">
        <v>3.28</v>
      </c>
      <c r="I273" s="37">
        <v>0.84099999999999997</v>
      </c>
      <c r="J273">
        <f t="shared" si="4"/>
        <v>2.7584799999999996</v>
      </c>
    </row>
    <row r="274" spans="1:10" x14ac:dyDescent="0.3">
      <c r="A274" t="s">
        <v>3</v>
      </c>
      <c r="B274" t="s">
        <v>93</v>
      </c>
      <c r="C274" t="s">
        <v>151</v>
      </c>
      <c r="D274" t="s">
        <v>179</v>
      </c>
      <c r="E274" t="s">
        <v>9</v>
      </c>
      <c r="F274" s="1">
        <v>9.6592592592592596E-4</v>
      </c>
      <c r="G274" s="37">
        <v>2.1800000000000002</v>
      </c>
      <c r="H274">
        <v>2.82</v>
      </c>
      <c r="I274" s="37">
        <v>0.97</v>
      </c>
      <c r="J274">
        <f t="shared" si="4"/>
        <v>2.7353999999999998</v>
      </c>
    </row>
    <row r="275" spans="1:10" x14ac:dyDescent="0.3">
      <c r="A275" t="s">
        <v>3</v>
      </c>
      <c r="B275" t="s">
        <v>93</v>
      </c>
      <c r="C275" t="s">
        <v>151</v>
      </c>
      <c r="D275" t="s">
        <v>179</v>
      </c>
      <c r="E275" t="s">
        <v>10</v>
      </c>
      <c r="F275" s="1">
        <v>9.6702546296296293E-4</v>
      </c>
      <c r="G275" s="37">
        <v>2.2000000000000002</v>
      </c>
      <c r="H275">
        <v>2.85</v>
      </c>
      <c r="I275" s="37">
        <v>0.97</v>
      </c>
      <c r="J275">
        <f t="shared" si="4"/>
        <v>2.7645</v>
      </c>
    </row>
    <row r="276" spans="1:10" x14ac:dyDescent="0.3">
      <c r="A276" t="s">
        <v>3</v>
      </c>
      <c r="B276" t="s">
        <v>93</v>
      </c>
      <c r="C276" t="s">
        <v>151</v>
      </c>
      <c r="D276" t="s">
        <v>179</v>
      </c>
      <c r="E276" t="s">
        <v>15</v>
      </c>
      <c r="F276" s="1">
        <v>9.6655092592592593E-4</v>
      </c>
      <c r="G276" s="37">
        <v>2.1800000000000002</v>
      </c>
      <c r="H276">
        <v>2.81</v>
      </c>
      <c r="I276" s="37">
        <v>0.97</v>
      </c>
      <c r="J276">
        <f t="shared" si="4"/>
        <v>2.7256999999999998</v>
      </c>
    </row>
    <row r="277" spans="1:10" x14ac:dyDescent="0.3">
      <c r="A277" t="s">
        <v>3</v>
      </c>
      <c r="B277" t="s">
        <v>93</v>
      </c>
      <c r="C277" t="s">
        <v>151</v>
      </c>
      <c r="D277" t="s">
        <v>179</v>
      </c>
      <c r="E277" t="s">
        <v>16</v>
      </c>
      <c r="F277" s="1">
        <v>9.6806712962962949E-4</v>
      </c>
      <c r="G277" s="37">
        <v>2.2000000000000002</v>
      </c>
      <c r="H277">
        <v>2.85</v>
      </c>
      <c r="I277" s="37">
        <v>0.97</v>
      </c>
      <c r="J277">
        <f t="shared" si="4"/>
        <v>2.7645</v>
      </c>
    </row>
    <row r="278" spans="1:10" x14ac:dyDescent="0.3">
      <c r="A278" t="s">
        <v>3</v>
      </c>
      <c r="B278" t="s">
        <v>93</v>
      </c>
      <c r="C278" t="s">
        <v>151</v>
      </c>
      <c r="D278" t="s">
        <v>179</v>
      </c>
      <c r="E278" t="s">
        <v>17</v>
      </c>
      <c r="F278" s="1">
        <v>9.6894675925925924E-4</v>
      </c>
      <c r="G278" s="37">
        <v>2.1800000000000002</v>
      </c>
      <c r="H278">
        <v>2.82</v>
      </c>
      <c r="I278" s="37">
        <v>0.97</v>
      </c>
      <c r="J278">
        <f t="shared" si="4"/>
        <v>2.7353999999999998</v>
      </c>
    </row>
    <row r="279" spans="1:10" x14ac:dyDescent="0.3">
      <c r="A279" t="s">
        <v>3</v>
      </c>
      <c r="B279" t="s">
        <v>93</v>
      </c>
      <c r="C279" t="s">
        <v>151</v>
      </c>
      <c r="D279" t="s">
        <v>179</v>
      </c>
      <c r="E279" t="s">
        <v>18</v>
      </c>
      <c r="F279" s="1">
        <v>9.6979166666666655E-4</v>
      </c>
      <c r="G279" s="37">
        <v>2.1800000000000002</v>
      </c>
      <c r="H279">
        <v>2.81</v>
      </c>
      <c r="I279" s="37">
        <v>0.97</v>
      </c>
      <c r="J279">
        <f t="shared" si="4"/>
        <v>2.7256999999999998</v>
      </c>
    </row>
    <row r="280" spans="1:10" x14ac:dyDescent="0.3">
      <c r="A280" t="s">
        <v>3</v>
      </c>
      <c r="B280" t="s">
        <v>93</v>
      </c>
      <c r="C280" t="s">
        <v>151</v>
      </c>
      <c r="D280" t="s">
        <v>179</v>
      </c>
      <c r="E280" t="s">
        <v>19</v>
      </c>
      <c r="F280" s="1">
        <v>9.6806712962962949E-4</v>
      </c>
      <c r="G280" s="37">
        <v>2.2200000000000002</v>
      </c>
      <c r="H280">
        <v>2.85</v>
      </c>
      <c r="I280" s="37">
        <v>0.97</v>
      </c>
      <c r="J280">
        <f t="shared" si="4"/>
        <v>2.7645</v>
      </c>
    </row>
    <row r="281" spans="1:10" x14ac:dyDescent="0.3">
      <c r="A281" t="s">
        <v>3</v>
      </c>
      <c r="B281" t="s">
        <v>93</v>
      </c>
      <c r="C281" t="s">
        <v>151</v>
      </c>
      <c r="D281" t="s">
        <v>179</v>
      </c>
      <c r="E281" t="s">
        <v>45</v>
      </c>
      <c r="F281" s="1">
        <v>9.7182870370370381E-4</v>
      </c>
      <c r="G281" s="37">
        <v>2.2200000000000002</v>
      </c>
      <c r="H281">
        <v>2.86</v>
      </c>
      <c r="I281" s="37">
        <v>0.97</v>
      </c>
      <c r="J281">
        <f t="shared" si="4"/>
        <v>2.7742</v>
      </c>
    </row>
    <row r="282" spans="1:10" x14ac:dyDescent="0.3">
      <c r="A282" t="s">
        <v>3</v>
      </c>
      <c r="B282" t="s">
        <v>93</v>
      </c>
      <c r="C282" t="s">
        <v>151</v>
      </c>
      <c r="D282" t="s">
        <v>179</v>
      </c>
      <c r="E282" t="s">
        <v>46</v>
      </c>
      <c r="F282" s="1">
        <v>9.6774305555555557E-4</v>
      </c>
      <c r="G282" s="37">
        <v>2.2200000000000002</v>
      </c>
      <c r="H282">
        <v>2.86</v>
      </c>
      <c r="I282" s="37">
        <v>0.97</v>
      </c>
      <c r="J282">
        <f t="shared" si="4"/>
        <v>2.7742</v>
      </c>
    </row>
    <row r="283" spans="1:10" x14ac:dyDescent="0.3">
      <c r="A283" t="s">
        <v>3</v>
      </c>
      <c r="B283" t="s">
        <v>93</v>
      </c>
      <c r="C283" t="s">
        <v>151</v>
      </c>
      <c r="D283" t="s">
        <v>179</v>
      </c>
      <c r="E283" t="s">
        <v>47</v>
      </c>
      <c r="F283" s="1">
        <v>9.6983796296296293E-4</v>
      </c>
      <c r="G283" s="37">
        <v>2.23</v>
      </c>
      <c r="H283">
        <v>2.88</v>
      </c>
      <c r="I283" s="37">
        <v>0.97</v>
      </c>
      <c r="J283">
        <f t="shared" si="4"/>
        <v>2.7935999999999996</v>
      </c>
    </row>
    <row r="284" spans="1:10" x14ac:dyDescent="0.3">
      <c r="A284" t="s">
        <v>3</v>
      </c>
      <c r="B284" t="s">
        <v>93</v>
      </c>
      <c r="C284" t="s">
        <v>151</v>
      </c>
      <c r="D284" t="s">
        <v>179</v>
      </c>
      <c r="E284" t="s">
        <v>49</v>
      </c>
      <c r="F284" s="1">
        <v>9.6869212962962957E-4</v>
      </c>
      <c r="G284" s="37">
        <v>2.2400000000000002</v>
      </c>
      <c r="H284">
        <v>2.89</v>
      </c>
      <c r="I284" s="37">
        <v>0.97</v>
      </c>
      <c r="J284">
        <f t="shared" si="4"/>
        <v>2.8033000000000001</v>
      </c>
    </row>
    <row r="285" spans="1:10" x14ac:dyDescent="0.3">
      <c r="A285" t="s">
        <v>3</v>
      </c>
      <c r="B285" t="s">
        <v>93</v>
      </c>
      <c r="C285" t="s">
        <v>151</v>
      </c>
      <c r="D285" t="s">
        <v>179</v>
      </c>
      <c r="E285" t="s">
        <v>50</v>
      </c>
      <c r="F285" s="1">
        <v>9.7094907407407405E-4</v>
      </c>
      <c r="G285" s="37">
        <v>2.23</v>
      </c>
      <c r="H285">
        <v>2.87</v>
      </c>
      <c r="I285" s="37">
        <v>0.97</v>
      </c>
      <c r="J285">
        <f t="shared" si="4"/>
        <v>2.7839</v>
      </c>
    </row>
    <row r="286" spans="1:10" x14ac:dyDescent="0.3">
      <c r="A286" t="s">
        <v>3</v>
      </c>
      <c r="B286" t="s">
        <v>93</v>
      </c>
      <c r="C286" t="s">
        <v>151</v>
      </c>
      <c r="D286" t="s">
        <v>179</v>
      </c>
      <c r="E286" t="s">
        <v>51</v>
      </c>
      <c r="F286" s="1">
        <v>9.6887731481481477E-4</v>
      </c>
      <c r="G286" s="37">
        <v>2.25</v>
      </c>
      <c r="H286">
        <v>2.91</v>
      </c>
      <c r="I286" s="37">
        <v>0.97</v>
      </c>
      <c r="J286">
        <f t="shared" si="4"/>
        <v>2.8227000000000002</v>
      </c>
    </row>
    <row r="287" spans="1:10" x14ac:dyDescent="0.3">
      <c r="A287" t="s">
        <v>3</v>
      </c>
      <c r="B287" t="s">
        <v>93</v>
      </c>
      <c r="C287" t="s">
        <v>151</v>
      </c>
      <c r="D287" t="s">
        <v>179</v>
      </c>
      <c r="E287" t="s">
        <v>52</v>
      </c>
      <c r="F287" s="1">
        <v>9.700925925925926E-4</v>
      </c>
      <c r="G287" s="37">
        <v>2.23</v>
      </c>
      <c r="H287">
        <v>2.88</v>
      </c>
      <c r="I287" s="37">
        <v>0.97</v>
      </c>
      <c r="J287">
        <f t="shared" si="4"/>
        <v>2.7935999999999996</v>
      </c>
    </row>
    <row r="288" spans="1:10" x14ac:dyDescent="0.3">
      <c r="A288" t="s">
        <v>3</v>
      </c>
      <c r="B288" t="s">
        <v>93</v>
      </c>
      <c r="C288" t="s">
        <v>151</v>
      </c>
      <c r="D288" t="s">
        <v>179</v>
      </c>
      <c r="E288" t="s">
        <v>53</v>
      </c>
      <c r="F288" s="1">
        <v>9.6837962962962969E-4</v>
      </c>
      <c r="G288" s="37">
        <v>2.2400000000000002</v>
      </c>
      <c r="H288">
        <v>2.89</v>
      </c>
      <c r="I288" s="37">
        <v>0.97</v>
      </c>
      <c r="J288">
        <f t="shared" si="4"/>
        <v>2.8033000000000001</v>
      </c>
    </row>
    <row r="289" spans="1:10" x14ac:dyDescent="0.3">
      <c r="A289" t="s">
        <v>3</v>
      </c>
      <c r="B289" t="s">
        <v>93</v>
      </c>
      <c r="C289" t="s">
        <v>151</v>
      </c>
      <c r="D289" t="s">
        <v>179</v>
      </c>
      <c r="E289" t="s">
        <v>54</v>
      </c>
      <c r="F289" s="1">
        <v>9.6723379629629633E-4</v>
      </c>
      <c r="G289" s="37">
        <v>2.2400000000000002</v>
      </c>
      <c r="H289">
        <v>2.89</v>
      </c>
      <c r="I289" s="37">
        <v>0.97</v>
      </c>
      <c r="J289">
        <f t="shared" si="4"/>
        <v>2.8033000000000001</v>
      </c>
    </row>
    <row r="290" spans="1:10" x14ac:dyDescent="0.3">
      <c r="A290" t="s">
        <v>3</v>
      </c>
      <c r="B290" t="s">
        <v>93</v>
      </c>
      <c r="C290" t="s">
        <v>151</v>
      </c>
      <c r="D290" t="s">
        <v>179</v>
      </c>
      <c r="E290" t="s">
        <v>55</v>
      </c>
      <c r="F290" s="1">
        <v>9.6870370370370372E-4</v>
      </c>
      <c r="G290" s="37">
        <v>2.2200000000000002</v>
      </c>
      <c r="H290">
        <v>2.88</v>
      </c>
      <c r="I290" s="37">
        <v>0.97</v>
      </c>
      <c r="J290">
        <f t="shared" si="4"/>
        <v>2.7935999999999996</v>
      </c>
    </row>
    <row r="291" spans="1:10" x14ac:dyDescent="0.3">
      <c r="A291" t="s">
        <v>3</v>
      </c>
      <c r="B291" t="s">
        <v>93</v>
      </c>
      <c r="C291" t="s">
        <v>151</v>
      </c>
      <c r="D291" t="s">
        <v>179</v>
      </c>
      <c r="E291" t="s">
        <v>56</v>
      </c>
      <c r="F291" s="1">
        <v>9.6841435185185181E-4</v>
      </c>
      <c r="G291" s="37">
        <v>2.2400000000000002</v>
      </c>
      <c r="H291">
        <v>2.91</v>
      </c>
      <c r="I291" s="37">
        <v>0.97</v>
      </c>
      <c r="J291">
        <f t="shared" si="4"/>
        <v>2.8227000000000002</v>
      </c>
    </row>
    <row r="292" spans="1:10" x14ac:dyDescent="0.3">
      <c r="A292" t="s">
        <v>3</v>
      </c>
      <c r="B292" t="s">
        <v>93</v>
      </c>
      <c r="C292" t="s">
        <v>151</v>
      </c>
      <c r="D292" t="s">
        <v>179</v>
      </c>
      <c r="E292" t="s">
        <v>57</v>
      </c>
      <c r="F292" s="1">
        <v>9.6905092592592594E-4</v>
      </c>
      <c r="G292" s="37">
        <v>2.2200000000000002</v>
      </c>
      <c r="H292">
        <v>2.87</v>
      </c>
      <c r="I292" s="37">
        <v>0.97</v>
      </c>
      <c r="J292">
        <f t="shared" si="4"/>
        <v>2.7839</v>
      </c>
    </row>
    <row r="293" spans="1:10" x14ac:dyDescent="0.3">
      <c r="A293" t="s">
        <v>3</v>
      </c>
      <c r="B293" t="s">
        <v>93</v>
      </c>
      <c r="C293" t="s">
        <v>151</v>
      </c>
      <c r="D293" t="s">
        <v>179</v>
      </c>
      <c r="E293" t="s">
        <v>58</v>
      </c>
      <c r="F293" s="1">
        <v>9.6712962962962963E-4</v>
      </c>
      <c r="G293" s="37">
        <v>2.23</v>
      </c>
      <c r="H293">
        <v>2.88</v>
      </c>
      <c r="I293" s="37">
        <v>0.97</v>
      </c>
      <c r="J293">
        <f t="shared" si="4"/>
        <v>2.7935999999999996</v>
      </c>
    </row>
    <row r="294" spans="1:10" x14ac:dyDescent="0.3">
      <c r="A294" t="s">
        <v>3</v>
      </c>
      <c r="B294" t="s">
        <v>93</v>
      </c>
      <c r="C294" t="s">
        <v>151</v>
      </c>
      <c r="D294" t="s">
        <v>179</v>
      </c>
      <c r="E294" t="s">
        <v>72</v>
      </c>
      <c r="F294" s="1">
        <v>9.7138888888888882E-4</v>
      </c>
      <c r="G294" s="37">
        <v>2.2000000000000002</v>
      </c>
      <c r="H294">
        <v>2.84</v>
      </c>
      <c r="I294" s="37">
        <v>0.97</v>
      </c>
      <c r="J294">
        <f t="shared" si="4"/>
        <v>2.7547999999999999</v>
      </c>
    </row>
    <row r="295" spans="1:10" x14ac:dyDescent="0.3">
      <c r="A295" t="s">
        <v>3</v>
      </c>
      <c r="B295" t="s">
        <v>93</v>
      </c>
      <c r="C295" t="s">
        <v>151</v>
      </c>
      <c r="D295" t="s">
        <v>179</v>
      </c>
      <c r="E295" t="s">
        <v>59</v>
      </c>
      <c r="F295" s="1">
        <v>9.6980324074074069E-4</v>
      </c>
      <c r="G295" s="37">
        <v>2.2400000000000002</v>
      </c>
      <c r="H295">
        <v>2.88</v>
      </c>
      <c r="I295" s="37">
        <v>0.97</v>
      </c>
      <c r="J295">
        <f t="shared" si="4"/>
        <v>2.7935999999999996</v>
      </c>
    </row>
    <row r="296" spans="1:10" x14ac:dyDescent="0.3">
      <c r="A296" t="s">
        <v>3</v>
      </c>
      <c r="B296" t="s">
        <v>93</v>
      </c>
      <c r="C296" t="s">
        <v>151</v>
      </c>
      <c r="D296" t="s">
        <v>179</v>
      </c>
      <c r="E296" t="s">
        <v>60</v>
      </c>
      <c r="F296" s="1">
        <v>9.905555555555555E-4</v>
      </c>
      <c r="G296" s="37">
        <v>2.19</v>
      </c>
      <c r="H296">
        <v>2.83</v>
      </c>
      <c r="I296" s="37">
        <v>0.97</v>
      </c>
      <c r="J296">
        <f t="shared" si="4"/>
        <v>2.7450999999999999</v>
      </c>
    </row>
    <row r="297" spans="1:10" x14ac:dyDescent="0.3">
      <c r="A297" t="s">
        <v>3</v>
      </c>
      <c r="B297" t="s">
        <v>93</v>
      </c>
      <c r="C297" t="s">
        <v>151</v>
      </c>
      <c r="D297" t="s">
        <v>179</v>
      </c>
      <c r="E297" t="s">
        <v>61</v>
      </c>
      <c r="F297" s="1">
        <v>9.8531250000000008E-4</v>
      </c>
      <c r="G297" s="37">
        <v>2.17</v>
      </c>
      <c r="H297">
        <v>2.81</v>
      </c>
      <c r="I297" s="37">
        <v>0.97</v>
      </c>
      <c r="J297">
        <f t="shared" si="4"/>
        <v>2.7256999999999998</v>
      </c>
    </row>
    <row r="298" spans="1:10" x14ac:dyDescent="0.3">
      <c r="A298" t="s">
        <v>3</v>
      </c>
      <c r="B298" t="s">
        <v>93</v>
      </c>
      <c r="C298" t="s">
        <v>151</v>
      </c>
      <c r="D298" t="s">
        <v>179</v>
      </c>
      <c r="E298" t="s">
        <v>62</v>
      </c>
      <c r="F298" s="1">
        <v>9.7731481481481476E-4</v>
      </c>
      <c r="G298" s="37">
        <v>2.19</v>
      </c>
      <c r="H298">
        <v>2.84</v>
      </c>
      <c r="I298" s="37">
        <v>0.97</v>
      </c>
      <c r="J298">
        <f t="shared" si="4"/>
        <v>2.7547999999999999</v>
      </c>
    </row>
    <row r="299" spans="1:10" x14ac:dyDescent="0.3">
      <c r="A299" t="s">
        <v>3</v>
      </c>
      <c r="B299" t="s">
        <v>93</v>
      </c>
      <c r="C299" t="s">
        <v>151</v>
      </c>
      <c r="D299" t="s">
        <v>179</v>
      </c>
      <c r="E299" t="s">
        <v>63</v>
      </c>
      <c r="F299" s="1">
        <v>9.7547453703703707E-4</v>
      </c>
      <c r="G299" s="37">
        <v>2.19</v>
      </c>
      <c r="H299">
        <v>2.83</v>
      </c>
      <c r="I299" s="37">
        <v>0.97</v>
      </c>
      <c r="J299">
        <f t="shared" si="4"/>
        <v>2.7450999999999999</v>
      </c>
    </row>
    <row r="300" spans="1:10" x14ac:dyDescent="0.3">
      <c r="A300" t="s">
        <v>3</v>
      </c>
      <c r="B300" t="s">
        <v>93</v>
      </c>
      <c r="C300" t="s">
        <v>151</v>
      </c>
      <c r="D300" t="s">
        <v>179</v>
      </c>
      <c r="E300" t="s">
        <v>64</v>
      </c>
      <c r="F300" s="1">
        <v>9.8222222222222222E-4</v>
      </c>
      <c r="G300" s="37">
        <v>2.16</v>
      </c>
      <c r="H300">
        <v>2.8</v>
      </c>
      <c r="I300" s="37">
        <v>0.97</v>
      </c>
      <c r="J300">
        <f t="shared" si="4"/>
        <v>2.7159999999999997</v>
      </c>
    </row>
    <row r="301" spans="1:10" x14ac:dyDescent="0.3">
      <c r="A301" t="s">
        <v>3</v>
      </c>
      <c r="B301" t="s">
        <v>93</v>
      </c>
      <c r="C301" t="s">
        <v>151</v>
      </c>
      <c r="D301" t="s">
        <v>179</v>
      </c>
      <c r="E301" t="s">
        <v>65</v>
      </c>
      <c r="F301" s="1">
        <v>9.811111111111112E-4</v>
      </c>
      <c r="G301" s="37">
        <v>2.16</v>
      </c>
      <c r="H301">
        <v>2.81</v>
      </c>
      <c r="I301" s="37">
        <v>0.97</v>
      </c>
      <c r="J301">
        <f t="shared" si="4"/>
        <v>2.7256999999999998</v>
      </c>
    </row>
    <row r="302" spans="1:10" x14ac:dyDescent="0.3">
      <c r="A302" t="s">
        <v>3</v>
      </c>
      <c r="B302" t="s">
        <v>93</v>
      </c>
      <c r="C302" t="s">
        <v>151</v>
      </c>
      <c r="D302" t="s">
        <v>179</v>
      </c>
      <c r="E302" t="s">
        <v>66</v>
      </c>
      <c r="F302" s="1">
        <v>9.8334490740740739E-4</v>
      </c>
      <c r="G302" s="37">
        <v>2.13</v>
      </c>
      <c r="H302">
        <v>2.79</v>
      </c>
      <c r="I302" s="37">
        <v>0.97</v>
      </c>
      <c r="J302">
        <f t="shared" si="4"/>
        <v>2.7063000000000001</v>
      </c>
    </row>
    <row r="303" spans="1:10" x14ac:dyDescent="0.3">
      <c r="A303" t="s">
        <v>3</v>
      </c>
      <c r="B303" t="s">
        <v>93</v>
      </c>
      <c r="C303" t="s">
        <v>151</v>
      </c>
      <c r="D303" t="s">
        <v>179</v>
      </c>
      <c r="E303" t="s">
        <v>67</v>
      </c>
      <c r="F303" s="1">
        <v>9.8230324074074062E-4</v>
      </c>
      <c r="G303" s="37">
        <v>2.16</v>
      </c>
      <c r="H303">
        <v>2.81</v>
      </c>
      <c r="I303" s="37">
        <v>0.97</v>
      </c>
      <c r="J303">
        <f t="shared" si="4"/>
        <v>2.7256999999999998</v>
      </c>
    </row>
    <row r="304" spans="1:10" x14ac:dyDescent="0.3">
      <c r="A304" t="s">
        <v>3</v>
      </c>
      <c r="B304" t="s">
        <v>93</v>
      </c>
      <c r="C304" t="s">
        <v>151</v>
      </c>
      <c r="D304" t="s">
        <v>179</v>
      </c>
      <c r="E304" t="s">
        <v>68</v>
      </c>
      <c r="F304" s="1">
        <v>9.8292824074074081E-4</v>
      </c>
      <c r="G304" s="37">
        <v>2.1800000000000002</v>
      </c>
      <c r="H304">
        <v>2.83</v>
      </c>
      <c r="I304" s="37">
        <v>0.97</v>
      </c>
      <c r="J304">
        <f t="shared" si="4"/>
        <v>2.7450999999999999</v>
      </c>
    </row>
    <row r="305" spans="1:10" x14ac:dyDescent="0.3">
      <c r="A305" t="s">
        <v>3</v>
      </c>
      <c r="B305" t="s">
        <v>93</v>
      </c>
      <c r="C305" t="s">
        <v>151</v>
      </c>
      <c r="D305" t="s">
        <v>179</v>
      </c>
      <c r="E305" t="s">
        <v>69</v>
      </c>
      <c r="F305" s="1">
        <v>9.8317129629629622E-4</v>
      </c>
      <c r="G305" s="37">
        <v>2.1800000000000002</v>
      </c>
      <c r="H305">
        <v>2.82</v>
      </c>
      <c r="I305" s="37">
        <v>0.97</v>
      </c>
      <c r="J305">
        <f t="shared" si="4"/>
        <v>2.7353999999999998</v>
      </c>
    </row>
    <row r="306" spans="1:10" x14ac:dyDescent="0.3">
      <c r="A306" t="s">
        <v>3</v>
      </c>
      <c r="B306" t="s">
        <v>93</v>
      </c>
      <c r="C306" t="s">
        <v>151</v>
      </c>
      <c r="D306" t="s">
        <v>179</v>
      </c>
      <c r="E306" t="s">
        <v>70</v>
      </c>
      <c r="F306" s="1">
        <v>9.8306712962962953E-4</v>
      </c>
      <c r="G306" s="37">
        <v>2.19</v>
      </c>
      <c r="H306">
        <v>2.83</v>
      </c>
      <c r="I306" s="37">
        <v>0.97</v>
      </c>
      <c r="J306">
        <f t="shared" si="4"/>
        <v>2.7450999999999999</v>
      </c>
    </row>
    <row r="307" spans="1:10" x14ac:dyDescent="0.3">
      <c r="A307" t="s">
        <v>3</v>
      </c>
      <c r="B307" t="s">
        <v>93</v>
      </c>
      <c r="C307" t="s">
        <v>151</v>
      </c>
      <c r="D307" t="s">
        <v>179</v>
      </c>
      <c r="E307" t="s">
        <v>71</v>
      </c>
      <c r="F307" s="1">
        <v>9.9241898148148149E-4</v>
      </c>
      <c r="G307" s="37">
        <v>2.16</v>
      </c>
      <c r="H307">
        <v>2.8</v>
      </c>
      <c r="I307" s="37">
        <v>0.97</v>
      </c>
      <c r="J307">
        <f t="shared" si="4"/>
        <v>2.7159999999999997</v>
      </c>
    </row>
    <row r="308" spans="1:10" x14ac:dyDescent="0.3">
      <c r="A308" t="s">
        <v>3</v>
      </c>
      <c r="B308" t="s">
        <v>74</v>
      </c>
      <c r="C308" t="s">
        <v>151</v>
      </c>
      <c r="D308" t="s">
        <v>180</v>
      </c>
      <c r="E308" t="s">
        <v>9</v>
      </c>
      <c r="F308" s="1">
        <v>9.7263888888888888E-4</v>
      </c>
      <c r="G308" s="37">
        <v>2.0699999999999998</v>
      </c>
      <c r="H308">
        <v>2.69</v>
      </c>
      <c r="I308" s="37">
        <v>1</v>
      </c>
      <c r="J308">
        <f t="shared" si="4"/>
        <v>2.69</v>
      </c>
    </row>
    <row r="309" spans="1:10" x14ac:dyDescent="0.3">
      <c r="A309" t="s">
        <v>3</v>
      </c>
      <c r="B309" t="s">
        <v>74</v>
      </c>
      <c r="C309" t="s">
        <v>151</v>
      </c>
      <c r="D309" t="s">
        <v>180</v>
      </c>
      <c r="E309" t="s">
        <v>10</v>
      </c>
      <c r="F309" s="1">
        <v>9.7965277777777764E-4</v>
      </c>
      <c r="G309" s="37">
        <v>2.06</v>
      </c>
      <c r="H309">
        <v>2.66</v>
      </c>
      <c r="I309" s="37">
        <v>1</v>
      </c>
      <c r="J309">
        <f t="shared" si="4"/>
        <v>2.66</v>
      </c>
    </row>
    <row r="310" spans="1:10" x14ac:dyDescent="0.3">
      <c r="A310" t="s">
        <v>3</v>
      </c>
      <c r="B310" t="s">
        <v>74</v>
      </c>
      <c r="C310" t="s">
        <v>151</v>
      </c>
      <c r="D310" t="s">
        <v>180</v>
      </c>
      <c r="E310" t="s">
        <v>15</v>
      </c>
      <c r="F310" s="1">
        <v>9.6916666666666668E-4</v>
      </c>
      <c r="G310" s="37">
        <v>2.0699999999999998</v>
      </c>
      <c r="H310">
        <v>2.68</v>
      </c>
      <c r="I310" s="37">
        <v>1</v>
      </c>
      <c r="J310">
        <f t="shared" si="4"/>
        <v>2.68</v>
      </c>
    </row>
    <row r="311" spans="1:10" x14ac:dyDescent="0.3">
      <c r="A311" t="s">
        <v>3</v>
      </c>
      <c r="B311" t="s">
        <v>74</v>
      </c>
      <c r="C311" t="s">
        <v>151</v>
      </c>
      <c r="D311" t="s">
        <v>180</v>
      </c>
      <c r="E311" t="s">
        <v>16</v>
      </c>
      <c r="F311" s="1">
        <v>9.6718749999999995E-4</v>
      </c>
      <c r="G311" s="37">
        <v>2.1</v>
      </c>
      <c r="H311">
        <v>2.73</v>
      </c>
      <c r="I311" s="37">
        <v>1</v>
      </c>
      <c r="J311">
        <f t="shared" si="4"/>
        <v>2.73</v>
      </c>
    </row>
    <row r="312" spans="1:10" x14ac:dyDescent="0.3">
      <c r="A312" t="s">
        <v>3</v>
      </c>
      <c r="B312" t="s">
        <v>74</v>
      </c>
      <c r="C312" t="s">
        <v>151</v>
      </c>
      <c r="D312" t="s">
        <v>180</v>
      </c>
      <c r="E312" t="s">
        <v>17</v>
      </c>
      <c r="F312" s="1">
        <v>9.6737268518518526E-4</v>
      </c>
      <c r="G312" s="37">
        <v>2.12</v>
      </c>
      <c r="H312">
        <v>2.76</v>
      </c>
      <c r="I312" s="37">
        <v>1</v>
      </c>
      <c r="J312">
        <f t="shared" si="4"/>
        <v>2.76</v>
      </c>
    </row>
    <row r="313" spans="1:10" x14ac:dyDescent="0.3">
      <c r="A313" t="s">
        <v>3</v>
      </c>
      <c r="B313" t="s">
        <v>74</v>
      </c>
      <c r="C313" t="s">
        <v>151</v>
      </c>
      <c r="D313" t="s">
        <v>180</v>
      </c>
      <c r="E313" t="s">
        <v>18</v>
      </c>
      <c r="F313" s="1">
        <v>9.6927083333333338E-4</v>
      </c>
      <c r="G313" s="37">
        <v>2.11</v>
      </c>
      <c r="H313">
        <v>2.73</v>
      </c>
      <c r="I313" s="37">
        <v>1</v>
      </c>
      <c r="J313">
        <f t="shared" si="4"/>
        <v>2.73</v>
      </c>
    </row>
    <row r="314" spans="1:10" x14ac:dyDescent="0.3">
      <c r="A314" t="s">
        <v>3</v>
      </c>
      <c r="B314" t="s">
        <v>74</v>
      </c>
      <c r="C314" t="s">
        <v>151</v>
      </c>
      <c r="D314" t="s">
        <v>180</v>
      </c>
      <c r="E314" t="s">
        <v>19</v>
      </c>
      <c r="F314" s="1">
        <v>9.7107638888888884E-4</v>
      </c>
      <c r="G314" s="37">
        <v>2.14</v>
      </c>
      <c r="H314">
        <v>2.78</v>
      </c>
      <c r="I314" s="37">
        <v>1</v>
      </c>
      <c r="J314">
        <f t="shared" si="4"/>
        <v>2.78</v>
      </c>
    </row>
    <row r="315" spans="1:10" x14ac:dyDescent="0.3">
      <c r="A315" t="s">
        <v>3</v>
      </c>
      <c r="B315" t="s">
        <v>74</v>
      </c>
      <c r="C315" t="s">
        <v>151</v>
      </c>
      <c r="D315" t="s">
        <v>180</v>
      </c>
      <c r="E315" t="s">
        <v>45</v>
      </c>
      <c r="F315" s="1">
        <v>9.7144675925925914E-4</v>
      </c>
      <c r="G315" s="37">
        <v>2.15</v>
      </c>
      <c r="H315">
        <v>2.8</v>
      </c>
      <c r="I315" s="37">
        <v>1</v>
      </c>
      <c r="J315">
        <f t="shared" si="4"/>
        <v>2.8</v>
      </c>
    </row>
    <row r="316" spans="1:10" x14ac:dyDescent="0.3">
      <c r="A316" t="s">
        <v>3</v>
      </c>
      <c r="B316" t="s">
        <v>74</v>
      </c>
      <c r="C316" t="s">
        <v>151</v>
      </c>
      <c r="D316" t="s">
        <v>180</v>
      </c>
      <c r="E316" t="s">
        <v>46</v>
      </c>
      <c r="F316" s="1">
        <v>9.6949074074074071E-4</v>
      </c>
      <c r="G316" s="37">
        <v>2.14</v>
      </c>
      <c r="H316">
        <v>2.78</v>
      </c>
      <c r="I316" s="37">
        <v>1</v>
      </c>
      <c r="J316">
        <f t="shared" si="4"/>
        <v>2.78</v>
      </c>
    </row>
    <row r="317" spans="1:10" x14ac:dyDescent="0.3">
      <c r="A317" t="s">
        <v>3</v>
      </c>
      <c r="B317" t="s">
        <v>74</v>
      </c>
      <c r="C317" t="s">
        <v>151</v>
      </c>
      <c r="D317" t="s">
        <v>180</v>
      </c>
      <c r="E317" t="s">
        <v>47</v>
      </c>
      <c r="F317" s="1">
        <v>9.7130787037037032E-4</v>
      </c>
      <c r="G317" s="37">
        <v>2.15</v>
      </c>
      <c r="H317">
        <v>2.8</v>
      </c>
      <c r="I317" s="37">
        <v>1</v>
      </c>
      <c r="J317">
        <f t="shared" si="4"/>
        <v>2.8</v>
      </c>
    </row>
    <row r="318" spans="1:10" x14ac:dyDescent="0.3">
      <c r="A318" t="s">
        <v>3</v>
      </c>
      <c r="B318" t="s">
        <v>74</v>
      </c>
      <c r="C318" t="s">
        <v>151</v>
      </c>
      <c r="D318" t="s">
        <v>180</v>
      </c>
      <c r="E318" t="s">
        <v>48</v>
      </c>
      <c r="F318" s="1">
        <v>9.7101851851851852E-4</v>
      </c>
      <c r="G318" s="37">
        <v>2.16</v>
      </c>
      <c r="H318">
        <v>2.79</v>
      </c>
      <c r="I318" s="37">
        <v>1</v>
      </c>
      <c r="J318">
        <f t="shared" si="4"/>
        <v>2.79</v>
      </c>
    </row>
    <row r="319" spans="1:10" x14ac:dyDescent="0.3">
      <c r="A319" t="s">
        <v>3</v>
      </c>
      <c r="B319" t="s">
        <v>74</v>
      </c>
      <c r="C319" t="s">
        <v>151</v>
      </c>
      <c r="D319" t="s">
        <v>180</v>
      </c>
      <c r="E319" t="s">
        <v>49</v>
      </c>
      <c r="F319" s="1">
        <v>9.7368055555555565E-4</v>
      </c>
      <c r="G319" s="37">
        <v>2.15</v>
      </c>
      <c r="H319">
        <v>2.79</v>
      </c>
      <c r="I319" s="37">
        <v>1</v>
      </c>
      <c r="J319">
        <f t="shared" si="4"/>
        <v>2.79</v>
      </c>
    </row>
    <row r="320" spans="1:10" x14ac:dyDescent="0.3">
      <c r="A320" t="s">
        <v>3</v>
      </c>
      <c r="B320" t="s">
        <v>74</v>
      </c>
      <c r="C320" t="s">
        <v>151</v>
      </c>
      <c r="D320" t="s">
        <v>180</v>
      </c>
      <c r="E320" t="s">
        <v>50</v>
      </c>
      <c r="F320" s="1">
        <v>9.7236111111111113E-4</v>
      </c>
      <c r="G320" s="37">
        <v>2.12</v>
      </c>
      <c r="H320">
        <v>2.75</v>
      </c>
      <c r="I320" s="37">
        <v>1</v>
      </c>
      <c r="J320">
        <f t="shared" si="4"/>
        <v>2.75</v>
      </c>
    </row>
    <row r="321" spans="1:10" x14ac:dyDescent="0.3">
      <c r="A321" t="s">
        <v>3</v>
      </c>
      <c r="B321" t="s">
        <v>74</v>
      </c>
      <c r="C321" t="s">
        <v>151</v>
      </c>
      <c r="D321" t="s">
        <v>180</v>
      </c>
      <c r="E321" t="s">
        <v>51</v>
      </c>
      <c r="F321" s="1">
        <v>9.7517361111111101E-4</v>
      </c>
      <c r="G321" s="37">
        <v>2.13</v>
      </c>
      <c r="H321">
        <v>2.76</v>
      </c>
      <c r="I321" s="37">
        <v>1</v>
      </c>
      <c r="J321">
        <f t="shared" si="4"/>
        <v>2.76</v>
      </c>
    </row>
    <row r="322" spans="1:10" x14ac:dyDescent="0.3">
      <c r="A322" t="s">
        <v>3</v>
      </c>
      <c r="B322" t="s">
        <v>74</v>
      </c>
      <c r="C322" t="s">
        <v>151</v>
      </c>
      <c r="D322" t="s">
        <v>180</v>
      </c>
      <c r="E322" t="s">
        <v>52</v>
      </c>
      <c r="F322" s="1">
        <v>9.7547453703703707E-4</v>
      </c>
      <c r="G322" s="37">
        <v>2.17</v>
      </c>
      <c r="H322">
        <v>2.8</v>
      </c>
      <c r="I322" s="37">
        <v>1</v>
      </c>
      <c r="J322">
        <f t="shared" si="4"/>
        <v>2.8</v>
      </c>
    </row>
    <row r="323" spans="1:10" x14ac:dyDescent="0.3">
      <c r="A323" t="s">
        <v>3</v>
      </c>
      <c r="B323" t="s">
        <v>74</v>
      </c>
      <c r="C323" t="s">
        <v>151</v>
      </c>
      <c r="D323" t="s">
        <v>180</v>
      </c>
      <c r="E323" t="s">
        <v>53</v>
      </c>
      <c r="F323" s="1">
        <v>9.7802083333333335E-4</v>
      </c>
      <c r="G323" s="37">
        <v>2.14</v>
      </c>
      <c r="H323">
        <v>2.79</v>
      </c>
      <c r="I323" s="37">
        <v>1</v>
      </c>
      <c r="J323">
        <f t="shared" si="4"/>
        <v>2.79</v>
      </c>
    </row>
    <row r="324" spans="1:10" x14ac:dyDescent="0.3">
      <c r="A324" t="s">
        <v>3</v>
      </c>
      <c r="B324" t="s">
        <v>74</v>
      </c>
      <c r="C324" t="s">
        <v>151</v>
      </c>
      <c r="D324" t="s">
        <v>180</v>
      </c>
      <c r="E324" t="s">
        <v>54</v>
      </c>
      <c r="F324" s="1">
        <v>9.7650462962962968E-4</v>
      </c>
      <c r="G324" s="37">
        <v>2.15</v>
      </c>
      <c r="H324">
        <v>2.78</v>
      </c>
      <c r="I324" s="37">
        <v>1</v>
      </c>
      <c r="J324">
        <f t="shared" ref="J324:J387" si="5">H324*I324</f>
        <v>2.78</v>
      </c>
    </row>
    <row r="325" spans="1:10" x14ac:dyDescent="0.3">
      <c r="A325" t="s">
        <v>3</v>
      </c>
      <c r="B325" t="s">
        <v>74</v>
      </c>
      <c r="C325" t="s">
        <v>151</v>
      </c>
      <c r="D325" t="s">
        <v>180</v>
      </c>
      <c r="E325" t="s">
        <v>55</v>
      </c>
      <c r="F325" s="1">
        <v>9.7721064814814806E-4</v>
      </c>
      <c r="G325" s="37">
        <v>2.14</v>
      </c>
      <c r="H325">
        <v>2.79</v>
      </c>
      <c r="I325" s="37">
        <v>1</v>
      </c>
      <c r="J325">
        <f t="shared" si="5"/>
        <v>2.79</v>
      </c>
    </row>
    <row r="326" spans="1:10" x14ac:dyDescent="0.3">
      <c r="A326" t="s">
        <v>3</v>
      </c>
      <c r="B326" t="s">
        <v>74</v>
      </c>
      <c r="C326" t="s">
        <v>151</v>
      </c>
      <c r="D326" t="s">
        <v>180</v>
      </c>
      <c r="E326" t="s">
        <v>56</v>
      </c>
      <c r="F326" s="1">
        <v>9.7733796296296306E-4</v>
      </c>
      <c r="G326" s="37">
        <v>2.15</v>
      </c>
      <c r="H326">
        <v>2.79</v>
      </c>
      <c r="I326" s="37">
        <v>1</v>
      </c>
      <c r="J326">
        <f t="shared" si="5"/>
        <v>2.79</v>
      </c>
    </row>
    <row r="327" spans="1:10" x14ac:dyDescent="0.3">
      <c r="A327" t="s">
        <v>3</v>
      </c>
      <c r="B327" t="s">
        <v>74</v>
      </c>
      <c r="C327" t="s">
        <v>151</v>
      </c>
      <c r="D327" t="s">
        <v>180</v>
      </c>
      <c r="E327" t="s">
        <v>57</v>
      </c>
      <c r="F327" s="1">
        <v>9.8240740740740732E-4</v>
      </c>
      <c r="G327" s="37">
        <v>2.16</v>
      </c>
      <c r="H327">
        <v>2.8</v>
      </c>
      <c r="I327" s="37">
        <v>1</v>
      </c>
      <c r="J327">
        <f t="shared" si="5"/>
        <v>2.8</v>
      </c>
    </row>
    <row r="328" spans="1:10" x14ac:dyDescent="0.3">
      <c r="A328" t="s">
        <v>3</v>
      </c>
      <c r="B328" t="s">
        <v>74</v>
      </c>
      <c r="C328" t="s">
        <v>151</v>
      </c>
      <c r="D328" t="s">
        <v>180</v>
      </c>
      <c r="E328" t="s">
        <v>72</v>
      </c>
      <c r="F328" s="1">
        <v>9.6128472222222231E-4</v>
      </c>
      <c r="G328" s="37">
        <v>2.16</v>
      </c>
      <c r="H328">
        <v>2.81</v>
      </c>
      <c r="I328" s="37">
        <v>1</v>
      </c>
      <c r="J328">
        <f t="shared" si="5"/>
        <v>2.81</v>
      </c>
    </row>
    <row r="329" spans="1:10" x14ac:dyDescent="0.3">
      <c r="A329" t="s">
        <v>3</v>
      </c>
      <c r="B329" t="s">
        <v>74</v>
      </c>
      <c r="C329" t="s">
        <v>151</v>
      </c>
      <c r="D329" t="s">
        <v>180</v>
      </c>
      <c r="E329" t="s">
        <v>59</v>
      </c>
      <c r="F329" s="1">
        <v>9.6708333333333325E-4</v>
      </c>
      <c r="G329" s="37">
        <v>2.16</v>
      </c>
      <c r="H329">
        <v>2.8</v>
      </c>
      <c r="I329" s="37">
        <v>1</v>
      </c>
      <c r="J329">
        <f t="shared" si="5"/>
        <v>2.8</v>
      </c>
    </row>
    <row r="330" spans="1:10" x14ac:dyDescent="0.3">
      <c r="A330" t="s">
        <v>3</v>
      </c>
      <c r="B330" t="s">
        <v>74</v>
      </c>
      <c r="C330" t="s">
        <v>151</v>
      </c>
      <c r="D330" t="s">
        <v>180</v>
      </c>
      <c r="E330" t="s">
        <v>60</v>
      </c>
      <c r="F330" s="1">
        <v>9.6655092592592593E-4</v>
      </c>
      <c r="G330" s="37">
        <v>2.15</v>
      </c>
      <c r="H330">
        <v>2.79</v>
      </c>
      <c r="I330" s="37">
        <v>1</v>
      </c>
      <c r="J330">
        <f t="shared" si="5"/>
        <v>2.79</v>
      </c>
    </row>
    <row r="331" spans="1:10" x14ac:dyDescent="0.3">
      <c r="A331" t="s">
        <v>3</v>
      </c>
      <c r="B331" t="s">
        <v>74</v>
      </c>
      <c r="C331" t="s">
        <v>151</v>
      </c>
      <c r="D331" t="s">
        <v>180</v>
      </c>
      <c r="E331" t="s">
        <v>61</v>
      </c>
      <c r="F331" s="1">
        <v>9.73275462962963E-4</v>
      </c>
      <c r="G331" s="37">
        <v>2.15</v>
      </c>
      <c r="H331">
        <v>2.8</v>
      </c>
      <c r="I331" s="37">
        <v>1</v>
      </c>
      <c r="J331">
        <f t="shared" si="5"/>
        <v>2.8</v>
      </c>
    </row>
    <row r="332" spans="1:10" x14ac:dyDescent="0.3">
      <c r="A332" t="s">
        <v>3</v>
      </c>
      <c r="B332" t="s">
        <v>74</v>
      </c>
      <c r="C332" t="s">
        <v>151</v>
      </c>
      <c r="D332" t="s">
        <v>180</v>
      </c>
      <c r="E332" t="s">
        <v>62</v>
      </c>
      <c r="F332" s="1">
        <v>9.6907407407407413E-4</v>
      </c>
      <c r="G332" s="37">
        <v>2.14</v>
      </c>
      <c r="H332">
        <v>2.77</v>
      </c>
      <c r="I332" s="37">
        <v>1</v>
      </c>
      <c r="J332">
        <f t="shared" si="5"/>
        <v>2.77</v>
      </c>
    </row>
    <row r="333" spans="1:10" x14ac:dyDescent="0.3">
      <c r="A333" t="s">
        <v>3</v>
      </c>
      <c r="B333" t="s">
        <v>74</v>
      </c>
      <c r="C333" t="s">
        <v>151</v>
      </c>
      <c r="D333" t="s">
        <v>180</v>
      </c>
      <c r="E333" t="s">
        <v>63</v>
      </c>
      <c r="F333" s="1">
        <v>9.6648148148148158E-4</v>
      </c>
      <c r="G333" s="37">
        <v>2.15</v>
      </c>
      <c r="H333">
        <v>2.79</v>
      </c>
      <c r="I333" s="37">
        <v>1</v>
      </c>
      <c r="J333">
        <f t="shared" si="5"/>
        <v>2.79</v>
      </c>
    </row>
    <row r="334" spans="1:10" x14ac:dyDescent="0.3">
      <c r="A334" t="s">
        <v>3</v>
      </c>
      <c r="B334" t="s">
        <v>74</v>
      </c>
      <c r="C334" t="s">
        <v>151</v>
      </c>
      <c r="D334" t="s">
        <v>180</v>
      </c>
      <c r="E334" t="s">
        <v>64</v>
      </c>
      <c r="F334" s="1">
        <v>9.6285879629629629E-4</v>
      </c>
      <c r="G334" s="37">
        <v>2.17</v>
      </c>
      <c r="H334">
        <v>2.82</v>
      </c>
      <c r="I334" s="37">
        <v>1</v>
      </c>
      <c r="J334">
        <f t="shared" si="5"/>
        <v>2.82</v>
      </c>
    </row>
    <row r="335" spans="1:10" x14ac:dyDescent="0.3">
      <c r="A335" t="s">
        <v>3</v>
      </c>
      <c r="B335" t="s">
        <v>74</v>
      </c>
      <c r="C335" t="s">
        <v>151</v>
      </c>
      <c r="D335" t="s">
        <v>180</v>
      </c>
      <c r="E335" t="s">
        <v>65</v>
      </c>
      <c r="F335" s="1">
        <v>9.6743055555555558E-4</v>
      </c>
      <c r="G335" s="37">
        <v>2.13</v>
      </c>
      <c r="H335">
        <v>2.76</v>
      </c>
      <c r="I335" s="37">
        <v>1</v>
      </c>
      <c r="J335">
        <f t="shared" si="5"/>
        <v>2.76</v>
      </c>
    </row>
    <row r="336" spans="1:10" x14ac:dyDescent="0.3">
      <c r="A336" t="s">
        <v>3</v>
      </c>
      <c r="B336" t="s">
        <v>74</v>
      </c>
      <c r="C336" t="s">
        <v>151</v>
      </c>
      <c r="D336" t="s">
        <v>180</v>
      </c>
      <c r="E336" t="s">
        <v>66</v>
      </c>
      <c r="F336" s="1">
        <v>9.9254629629629628E-4</v>
      </c>
      <c r="G336" s="37">
        <v>2.0499999999999998</v>
      </c>
      <c r="H336">
        <v>2.67</v>
      </c>
      <c r="I336" s="37">
        <v>1</v>
      </c>
      <c r="J336">
        <f t="shared" si="5"/>
        <v>2.67</v>
      </c>
    </row>
    <row r="337" spans="1:10" x14ac:dyDescent="0.3">
      <c r="A337" t="s">
        <v>3</v>
      </c>
      <c r="B337" t="s">
        <v>74</v>
      </c>
      <c r="C337" t="s">
        <v>151</v>
      </c>
      <c r="D337" t="s">
        <v>180</v>
      </c>
      <c r="E337" t="s">
        <v>67</v>
      </c>
      <c r="F337" s="1">
        <v>9.7113425925925937E-4</v>
      </c>
      <c r="G337" s="37">
        <v>2.12</v>
      </c>
      <c r="H337">
        <v>2.76</v>
      </c>
      <c r="I337" s="37">
        <v>1</v>
      </c>
      <c r="J337">
        <f t="shared" si="5"/>
        <v>2.76</v>
      </c>
    </row>
    <row r="338" spans="1:10" x14ac:dyDescent="0.3">
      <c r="A338" t="s">
        <v>3</v>
      </c>
      <c r="B338" t="s">
        <v>74</v>
      </c>
      <c r="C338" t="s">
        <v>151</v>
      </c>
      <c r="D338" t="s">
        <v>180</v>
      </c>
      <c r="E338" t="s">
        <v>68</v>
      </c>
      <c r="F338" s="1">
        <v>9.8006944444444443E-4</v>
      </c>
      <c r="G338" s="37">
        <v>2.11</v>
      </c>
      <c r="H338">
        <v>2.75</v>
      </c>
      <c r="I338" s="37">
        <v>1</v>
      </c>
      <c r="J338">
        <f t="shared" si="5"/>
        <v>2.75</v>
      </c>
    </row>
    <row r="339" spans="1:10" x14ac:dyDescent="0.3">
      <c r="A339" t="s">
        <v>3</v>
      </c>
      <c r="B339" t="s">
        <v>74</v>
      </c>
      <c r="C339" t="s">
        <v>151</v>
      </c>
      <c r="D339" t="s">
        <v>180</v>
      </c>
      <c r="E339" t="s">
        <v>69</v>
      </c>
      <c r="F339" s="1">
        <v>9.7162037037037041E-4</v>
      </c>
      <c r="G339" s="37">
        <v>2.14</v>
      </c>
      <c r="H339">
        <v>2.8</v>
      </c>
      <c r="I339" s="37">
        <v>1</v>
      </c>
      <c r="J339">
        <f t="shared" si="5"/>
        <v>2.8</v>
      </c>
    </row>
    <row r="340" spans="1:10" x14ac:dyDescent="0.3">
      <c r="A340" t="s">
        <v>3</v>
      </c>
      <c r="B340" t="s">
        <v>74</v>
      </c>
      <c r="C340" t="s">
        <v>151</v>
      </c>
      <c r="D340" t="s">
        <v>180</v>
      </c>
      <c r="E340" t="s">
        <v>70</v>
      </c>
      <c r="F340" s="1">
        <v>9.6754629629629632E-4</v>
      </c>
      <c r="G340" s="37">
        <v>2.13</v>
      </c>
      <c r="H340">
        <v>2.77</v>
      </c>
      <c r="I340" s="37">
        <v>1</v>
      </c>
      <c r="J340">
        <f t="shared" si="5"/>
        <v>2.77</v>
      </c>
    </row>
    <row r="341" spans="1:10" x14ac:dyDescent="0.3">
      <c r="A341" t="s">
        <v>3</v>
      </c>
      <c r="B341" t="s">
        <v>74</v>
      </c>
      <c r="C341" t="s">
        <v>151</v>
      </c>
      <c r="D341" t="s">
        <v>180</v>
      </c>
      <c r="E341" t="s">
        <v>71</v>
      </c>
      <c r="F341" s="1">
        <v>9.7062499999999992E-4</v>
      </c>
      <c r="G341" s="37">
        <v>2.11</v>
      </c>
      <c r="H341">
        <v>2.74</v>
      </c>
      <c r="I341" s="37">
        <v>1</v>
      </c>
      <c r="J341">
        <f t="shared" si="5"/>
        <v>2.74</v>
      </c>
    </row>
    <row r="342" spans="1:10" x14ac:dyDescent="0.3">
      <c r="A342" t="s">
        <v>3</v>
      </c>
      <c r="B342" t="s">
        <v>96</v>
      </c>
      <c r="C342" t="s">
        <v>151</v>
      </c>
      <c r="D342" t="s">
        <v>181</v>
      </c>
      <c r="E342" t="s">
        <v>9</v>
      </c>
      <c r="F342" s="1">
        <v>9.6505787037037035E-4</v>
      </c>
      <c r="G342" s="37">
        <v>2.06</v>
      </c>
      <c r="H342">
        <v>2.68</v>
      </c>
      <c r="I342" s="37">
        <v>1</v>
      </c>
      <c r="J342">
        <f t="shared" si="5"/>
        <v>2.68</v>
      </c>
    </row>
    <row r="343" spans="1:10" x14ac:dyDescent="0.3">
      <c r="A343" t="s">
        <v>3</v>
      </c>
      <c r="B343" t="s">
        <v>96</v>
      </c>
      <c r="C343" t="s">
        <v>151</v>
      </c>
      <c r="D343" t="s">
        <v>181</v>
      </c>
      <c r="E343" t="s">
        <v>10</v>
      </c>
      <c r="F343" s="1">
        <v>9.6366898148148147E-4</v>
      </c>
      <c r="G343" s="37">
        <v>2.11</v>
      </c>
      <c r="H343">
        <v>2.73</v>
      </c>
      <c r="I343" s="37">
        <v>1</v>
      </c>
      <c r="J343">
        <f t="shared" si="5"/>
        <v>2.73</v>
      </c>
    </row>
    <row r="344" spans="1:10" x14ac:dyDescent="0.3">
      <c r="A344" t="s">
        <v>3</v>
      </c>
      <c r="B344" t="s">
        <v>96</v>
      </c>
      <c r="C344" t="s">
        <v>151</v>
      </c>
      <c r="D344" t="s">
        <v>181</v>
      </c>
      <c r="E344" t="s">
        <v>15</v>
      </c>
      <c r="F344" s="1">
        <v>9.6725694444444441E-4</v>
      </c>
      <c r="G344" s="37">
        <v>2.0699999999999998</v>
      </c>
      <c r="H344">
        <v>2.68</v>
      </c>
      <c r="I344" s="37">
        <v>1</v>
      </c>
      <c r="J344">
        <f t="shared" si="5"/>
        <v>2.68</v>
      </c>
    </row>
    <row r="345" spans="1:10" x14ac:dyDescent="0.3">
      <c r="A345" t="s">
        <v>3</v>
      </c>
      <c r="B345" t="s">
        <v>96</v>
      </c>
      <c r="C345" t="s">
        <v>151</v>
      </c>
      <c r="D345" t="s">
        <v>181</v>
      </c>
      <c r="E345" t="s">
        <v>16</v>
      </c>
      <c r="F345" s="1">
        <v>9.6288194444444438E-4</v>
      </c>
      <c r="G345" s="37">
        <v>2.15</v>
      </c>
      <c r="H345">
        <v>2.77</v>
      </c>
      <c r="I345" s="37">
        <v>1</v>
      </c>
      <c r="J345">
        <f t="shared" si="5"/>
        <v>2.77</v>
      </c>
    </row>
    <row r="346" spans="1:10" x14ac:dyDescent="0.3">
      <c r="A346" t="s">
        <v>3</v>
      </c>
      <c r="B346" t="s">
        <v>96</v>
      </c>
      <c r="C346" t="s">
        <v>151</v>
      </c>
      <c r="D346" t="s">
        <v>181</v>
      </c>
      <c r="E346" t="s">
        <v>17</v>
      </c>
      <c r="F346" s="1">
        <v>9.6347222222222223E-4</v>
      </c>
      <c r="G346" s="37">
        <v>2.11</v>
      </c>
      <c r="H346">
        <v>2.74</v>
      </c>
      <c r="I346" s="37">
        <v>1</v>
      </c>
      <c r="J346">
        <f t="shared" si="5"/>
        <v>2.74</v>
      </c>
    </row>
    <row r="347" spans="1:10" x14ac:dyDescent="0.3">
      <c r="A347" t="s">
        <v>3</v>
      </c>
      <c r="B347" t="s">
        <v>96</v>
      </c>
      <c r="C347" t="s">
        <v>151</v>
      </c>
      <c r="D347" t="s">
        <v>181</v>
      </c>
      <c r="E347" t="s">
        <v>18</v>
      </c>
      <c r="F347" s="1">
        <v>9.6569444444444448E-4</v>
      </c>
      <c r="G347" s="37">
        <v>2.12</v>
      </c>
      <c r="H347">
        <v>2.74</v>
      </c>
      <c r="I347" s="37">
        <v>1</v>
      </c>
      <c r="J347">
        <f t="shared" si="5"/>
        <v>2.74</v>
      </c>
    </row>
    <row r="348" spans="1:10" x14ac:dyDescent="0.3">
      <c r="A348" t="s">
        <v>3</v>
      </c>
      <c r="B348" t="s">
        <v>96</v>
      </c>
      <c r="C348" t="s">
        <v>151</v>
      </c>
      <c r="D348" t="s">
        <v>181</v>
      </c>
      <c r="E348" t="s">
        <v>19</v>
      </c>
      <c r="F348" s="1">
        <v>9.685416666666667E-4</v>
      </c>
      <c r="G348" s="37">
        <v>2.13</v>
      </c>
      <c r="H348">
        <v>2.76</v>
      </c>
      <c r="I348" s="37">
        <v>1</v>
      </c>
      <c r="J348">
        <f t="shared" si="5"/>
        <v>2.76</v>
      </c>
    </row>
    <row r="349" spans="1:10" x14ac:dyDescent="0.3">
      <c r="A349" t="s">
        <v>3</v>
      </c>
      <c r="B349" t="s">
        <v>96</v>
      </c>
      <c r="C349" t="s">
        <v>151</v>
      </c>
      <c r="D349" t="s">
        <v>181</v>
      </c>
      <c r="E349" t="s">
        <v>45</v>
      </c>
      <c r="F349" s="1">
        <v>9.7173611111111104E-4</v>
      </c>
      <c r="G349" s="37">
        <v>2.09</v>
      </c>
      <c r="H349">
        <v>2.69</v>
      </c>
      <c r="I349" s="37">
        <v>1</v>
      </c>
      <c r="J349">
        <f t="shared" si="5"/>
        <v>2.69</v>
      </c>
    </row>
    <row r="350" spans="1:10" x14ac:dyDescent="0.3">
      <c r="A350" t="s">
        <v>3</v>
      </c>
      <c r="B350" t="s">
        <v>96</v>
      </c>
      <c r="C350" t="s">
        <v>151</v>
      </c>
      <c r="D350" t="s">
        <v>181</v>
      </c>
      <c r="E350" t="s">
        <v>46</v>
      </c>
      <c r="F350" s="1">
        <v>9.6954861111111113E-4</v>
      </c>
      <c r="G350" s="37">
        <v>2.13</v>
      </c>
      <c r="H350">
        <v>2.74</v>
      </c>
      <c r="I350" s="37">
        <v>1</v>
      </c>
      <c r="J350">
        <f t="shared" si="5"/>
        <v>2.74</v>
      </c>
    </row>
    <row r="351" spans="1:10" x14ac:dyDescent="0.3">
      <c r="A351" t="s">
        <v>3</v>
      </c>
      <c r="B351" t="s">
        <v>96</v>
      </c>
      <c r="C351" t="s">
        <v>151</v>
      </c>
      <c r="D351" t="s">
        <v>181</v>
      </c>
      <c r="E351" t="s">
        <v>47</v>
      </c>
      <c r="F351" s="1">
        <v>9.7321759259259258E-4</v>
      </c>
      <c r="G351" s="37">
        <v>2.14</v>
      </c>
      <c r="H351">
        <v>2.77</v>
      </c>
      <c r="I351" s="37">
        <v>1</v>
      </c>
      <c r="J351">
        <f t="shared" si="5"/>
        <v>2.77</v>
      </c>
    </row>
    <row r="352" spans="1:10" x14ac:dyDescent="0.3">
      <c r="A352" t="s">
        <v>3</v>
      </c>
      <c r="B352" t="s">
        <v>96</v>
      </c>
      <c r="C352" t="s">
        <v>151</v>
      </c>
      <c r="D352" t="s">
        <v>181</v>
      </c>
      <c r="E352" t="s">
        <v>48</v>
      </c>
      <c r="F352" s="1">
        <v>9.6968750000000006E-4</v>
      </c>
      <c r="G352" s="37">
        <v>2.12</v>
      </c>
      <c r="H352">
        <v>2.75</v>
      </c>
      <c r="I352" s="37">
        <v>1</v>
      </c>
      <c r="J352">
        <f t="shared" si="5"/>
        <v>2.75</v>
      </c>
    </row>
    <row r="353" spans="1:10" x14ac:dyDescent="0.3">
      <c r="A353" t="s">
        <v>3</v>
      </c>
      <c r="B353" t="s">
        <v>96</v>
      </c>
      <c r="C353" t="s">
        <v>151</v>
      </c>
      <c r="D353" t="s">
        <v>181</v>
      </c>
      <c r="E353" t="s">
        <v>50</v>
      </c>
      <c r="F353" s="1">
        <v>9.6890046296296286E-4</v>
      </c>
      <c r="G353" s="37">
        <v>2.12</v>
      </c>
      <c r="H353">
        <v>2.74</v>
      </c>
      <c r="I353" s="37">
        <v>1</v>
      </c>
      <c r="J353">
        <f t="shared" si="5"/>
        <v>2.74</v>
      </c>
    </row>
    <row r="354" spans="1:10" x14ac:dyDescent="0.3">
      <c r="A354" t="s">
        <v>3</v>
      </c>
      <c r="B354" t="s">
        <v>96</v>
      </c>
      <c r="C354" t="s">
        <v>151</v>
      </c>
      <c r="D354" t="s">
        <v>181</v>
      </c>
      <c r="E354" t="s">
        <v>51</v>
      </c>
      <c r="F354" s="1">
        <v>9.6874999999999999E-4</v>
      </c>
      <c r="G354" s="37">
        <v>2.12</v>
      </c>
      <c r="H354">
        <v>2.74</v>
      </c>
      <c r="I354" s="37">
        <v>1</v>
      </c>
      <c r="J354">
        <f t="shared" si="5"/>
        <v>2.74</v>
      </c>
    </row>
    <row r="355" spans="1:10" x14ac:dyDescent="0.3">
      <c r="A355" t="s">
        <v>3</v>
      </c>
      <c r="B355" t="s">
        <v>96</v>
      </c>
      <c r="C355" t="s">
        <v>151</v>
      </c>
      <c r="D355" t="s">
        <v>181</v>
      </c>
      <c r="E355" t="s">
        <v>52</v>
      </c>
      <c r="F355" s="1">
        <v>9.7055555555555545E-4</v>
      </c>
      <c r="G355" s="37">
        <v>2.1</v>
      </c>
      <c r="H355">
        <v>2.72</v>
      </c>
      <c r="I355" s="37">
        <v>1</v>
      </c>
      <c r="J355">
        <f t="shared" si="5"/>
        <v>2.72</v>
      </c>
    </row>
    <row r="356" spans="1:10" x14ac:dyDescent="0.3">
      <c r="A356" t="s">
        <v>3</v>
      </c>
      <c r="B356" t="s">
        <v>96</v>
      </c>
      <c r="C356" t="s">
        <v>151</v>
      </c>
      <c r="D356" t="s">
        <v>181</v>
      </c>
      <c r="E356" t="s">
        <v>53</v>
      </c>
      <c r="F356" s="1">
        <v>9.6905092592592594E-4</v>
      </c>
      <c r="G356" s="37">
        <v>2.1</v>
      </c>
      <c r="H356">
        <v>2.71</v>
      </c>
      <c r="I356" s="37">
        <v>1</v>
      </c>
      <c r="J356">
        <f t="shared" si="5"/>
        <v>2.71</v>
      </c>
    </row>
    <row r="357" spans="1:10" x14ac:dyDescent="0.3">
      <c r="A357" t="s">
        <v>3</v>
      </c>
      <c r="B357" t="s">
        <v>96</v>
      </c>
      <c r="C357" t="s">
        <v>151</v>
      </c>
      <c r="D357" t="s">
        <v>181</v>
      </c>
      <c r="E357" t="s">
        <v>54</v>
      </c>
      <c r="F357" s="1">
        <v>9.6664351851851848E-4</v>
      </c>
      <c r="G357" s="37">
        <v>2.09</v>
      </c>
      <c r="H357">
        <v>2.71</v>
      </c>
      <c r="I357" s="37">
        <v>1</v>
      </c>
      <c r="J357">
        <f t="shared" si="5"/>
        <v>2.71</v>
      </c>
    </row>
    <row r="358" spans="1:10" x14ac:dyDescent="0.3">
      <c r="A358" t="s">
        <v>3</v>
      </c>
      <c r="B358" t="s">
        <v>96</v>
      </c>
      <c r="C358" t="s">
        <v>151</v>
      </c>
      <c r="D358" t="s">
        <v>181</v>
      </c>
      <c r="E358" t="s">
        <v>55</v>
      </c>
      <c r="F358" s="1">
        <v>9.6648148148148158E-4</v>
      </c>
      <c r="G358" s="37">
        <v>2.0699999999999998</v>
      </c>
      <c r="H358">
        <v>2.72</v>
      </c>
      <c r="I358" s="37">
        <v>1</v>
      </c>
      <c r="J358">
        <f t="shared" si="5"/>
        <v>2.72</v>
      </c>
    </row>
    <row r="359" spans="1:10" x14ac:dyDescent="0.3">
      <c r="A359" t="s">
        <v>3</v>
      </c>
      <c r="B359" t="s">
        <v>96</v>
      </c>
      <c r="C359" t="s">
        <v>151</v>
      </c>
      <c r="D359" t="s">
        <v>181</v>
      </c>
      <c r="E359" t="s">
        <v>56</v>
      </c>
      <c r="F359" s="1">
        <v>9.7373842592592596E-4</v>
      </c>
      <c r="G359" s="37">
        <v>2.0699999999999998</v>
      </c>
      <c r="H359">
        <v>2.69</v>
      </c>
      <c r="I359" s="37">
        <v>1</v>
      </c>
      <c r="J359">
        <f t="shared" si="5"/>
        <v>2.69</v>
      </c>
    </row>
    <row r="360" spans="1:10" x14ac:dyDescent="0.3">
      <c r="A360" t="s">
        <v>3</v>
      </c>
      <c r="B360" t="s">
        <v>96</v>
      </c>
      <c r="C360" t="s">
        <v>151</v>
      </c>
      <c r="D360" t="s">
        <v>181</v>
      </c>
      <c r="E360" t="s">
        <v>57</v>
      </c>
      <c r="F360" s="1">
        <v>9.6818287037037033E-4</v>
      </c>
      <c r="G360" s="37">
        <v>2.08</v>
      </c>
      <c r="H360">
        <v>2.7</v>
      </c>
      <c r="I360" s="37">
        <v>1</v>
      </c>
      <c r="J360">
        <f t="shared" si="5"/>
        <v>2.7</v>
      </c>
    </row>
    <row r="361" spans="1:10" x14ac:dyDescent="0.3">
      <c r="A361" t="s">
        <v>3</v>
      </c>
      <c r="B361" t="s">
        <v>96</v>
      </c>
      <c r="C361" t="s">
        <v>151</v>
      </c>
      <c r="D361" t="s">
        <v>181</v>
      </c>
      <c r="E361" t="s">
        <v>58</v>
      </c>
      <c r="F361" s="1">
        <v>9.6940972222222231E-4</v>
      </c>
      <c r="G361" s="37">
        <v>2.0499999999999998</v>
      </c>
      <c r="H361">
        <v>2.69</v>
      </c>
      <c r="I361" s="37">
        <v>1</v>
      </c>
      <c r="J361">
        <f t="shared" si="5"/>
        <v>2.69</v>
      </c>
    </row>
    <row r="362" spans="1:10" x14ac:dyDescent="0.3">
      <c r="A362" t="s">
        <v>3</v>
      </c>
      <c r="B362" t="s">
        <v>96</v>
      </c>
      <c r="C362" t="s">
        <v>151</v>
      </c>
      <c r="D362" t="s">
        <v>181</v>
      </c>
      <c r="E362" t="s">
        <v>72</v>
      </c>
      <c r="F362" s="1">
        <v>9.6690972222222219E-4</v>
      </c>
      <c r="G362" s="37">
        <v>2.09</v>
      </c>
      <c r="H362">
        <v>2.72</v>
      </c>
      <c r="I362" s="37">
        <v>1</v>
      </c>
      <c r="J362">
        <f t="shared" si="5"/>
        <v>2.72</v>
      </c>
    </row>
    <row r="363" spans="1:10" x14ac:dyDescent="0.3">
      <c r="A363" t="s">
        <v>3</v>
      </c>
      <c r="B363" t="s">
        <v>96</v>
      </c>
      <c r="C363" t="s">
        <v>151</v>
      </c>
      <c r="D363" t="s">
        <v>181</v>
      </c>
      <c r="E363" t="s">
        <v>59</v>
      </c>
      <c r="F363" s="1">
        <v>9.850810185185186E-4</v>
      </c>
      <c r="G363" s="37">
        <v>2.04</v>
      </c>
      <c r="H363">
        <v>2.66</v>
      </c>
      <c r="I363" s="37">
        <v>1</v>
      </c>
      <c r="J363">
        <f t="shared" si="5"/>
        <v>2.66</v>
      </c>
    </row>
    <row r="364" spans="1:10" x14ac:dyDescent="0.3">
      <c r="A364" t="s">
        <v>3</v>
      </c>
      <c r="B364" t="s">
        <v>96</v>
      </c>
      <c r="C364" t="s">
        <v>151</v>
      </c>
      <c r="D364" t="s">
        <v>181</v>
      </c>
      <c r="E364" t="s">
        <v>60</v>
      </c>
      <c r="F364" s="1">
        <v>9.9648148148148144E-4</v>
      </c>
      <c r="G364" s="37">
        <v>1.85</v>
      </c>
      <c r="H364">
        <v>2.48</v>
      </c>
      <c r="I364" s="37">
        <v>1</v>
      </c>
      <c r="J364">
        <f t="shared" si="5"/>
        <v>2.48</v>
      </c>
    </row>
    <row r="365" spans="1:10" x14ac:dyDescent="0.3">
      <c r="A365" t="s">
        <v>3</v>
      </c>
      <c r="B365" t="s">
        <v>96</v>
      </c>
      <c r="C365" t="s">
        <v>151</v>
      </c>
      <c r="D365" t="s">
        <v>181</v>
      </c>
      <c r="E365" t="s">
        <v>61</v>
      </c>
      <c r="F365" s="1">
        <v>9.7466435185185189E-4</v>
      </c>
      <c r="G365" s="37">
        <v>2.08</v>
      </c>
      <c r="H365">
        <v>2.73</v>
      </c>
      <c r="I365" s="37">
        <v>1</v>
      </c>
      <c r="J365">
        <f t="shared" si="5"/>
        <v>2.73</v>
      </c>
    </row>
    <row r="366" spans="1:10" x14ac:dyDescent="0.3">
      <c r="A366" t="s">
        <v>3</v>
      </c>
      <c r="B366" t="s">
        <v>96</v>
      </c>
      <c r="C366" t="s">
        <v>151</v>
      </c>
      <c r="D366" t="s">
        <v>181</v>
      </c>
      <c r="E366" t="s">
        <v>62</v>
      </c>
      <c r="F366" s="1">
        <v>9.7543981481481472E-4</v>
      </c>
      <c r="G366" s="37">
        <v>2.17</v>
      </c>
      <c r="H366">
        <v>2.81</v>
      </c>
      <c r="I366" s="37">
        <v>1</v>
      </c>
      <c r="J366">
        <f t="shared" si="5"/>
        <v>2.81</v>
      </c>
    </row>
    <row r="367" spans="1:10" x14ac:dyDescent="0.3">
      <c r="A367" t="s">
        <v>3</v>
      </c>
      <c r="B367" t="s">
        <v>96</v>
      </c>
      <c r="C367" t="s">
        <v>151</v>
      </c>
      <c r="D367" t="s">
        <v>181</v>
      </c>
      <c r="E367" t="s">
        <v>63</v>
      </c>
      <c r="F367" s="1">
        <v>9.8789351851851859E-4</v>
      </c>
      <c r="G367" s="37">
        <v>2.1</v>
      </c>
      <c r="H367">
        <v>2.72</v>
      </c>
      <c r="I367" s="37">
        <v>1</v>
      </c>
      <c r="J367">
        <f t="shared" si="5"/>
        <v>2.72</v>
      </c>
    </row>
    <row r="368" spans="1:10" x14ac:dyDescent="0.3">
      <c r="A368" t="s">
        <v>3</v>
      </c>
      <c r="B368" t="s">
        <v>96</v>
      </c>
      <c r="C368" t="s">
        <v>151</v>
      </c>
      <c r="D368" t="s">
        <v>181</v>
      </c>
      <c r="E368" t="s">
        <v>64</v>
      </c>
      <c r="F368" s="1">
        <v>9.8126157407407407E-4</v>
      </c>
      <c r="G368" s="37">
        <v>2</v>
      </c>
      <c r="H368">
        <v>2.59</v>
      </c>
      <c r="I368" s="37">
        <v>1</v>
      </c>
      <c r="J368">
        <f t="shared" si="5"/>
        <v>2.59</v>
      </c>
    </row>
    <row r="369" spans="1:10" x14ac:dyDescent="0.3">
      <c r="A369" t="s">
        <v>3</v>
      </c>
      <c r="B369" t="s">
        <v>96</v>
      </c>
      <c r="C369" t="s">
        <v>151</v>
      </c>
      <c r="D369" t="s">
        <v>181</v>
      </c>
      <c r="E369" t="s">
        <v>65</v>
      </c>
      <c r="F369" s="1">
        <v>9.7888888888888873E-4</v>
      </c>
      <c r="G369" s="37">
        <v>2.0499999999999998</v>
      </c>
      <c r="H369">
        <v>2.66</v>
      </c>
      <c r="I369" s="37">
        <v>1</v>
      </c>
      <c r="J369">
        <f t="shared" si="5"/>
        <v>2.66</v>
      </c>
    </row>
    <row r="370" spans="1:10" x14ac:dyDescent="0.3">
      <c r="A370" t="s">
        <v>3</v>
      </c>
      <c r="B370" t="s">
        <v>96</v>
      </c>
      <c r="C370" t="s">
        <v>151</v>
      </c>
      <c r="D370" t="s">
        <v>181</v>
      </c>
      <c r="E370" t="s">
        <v>66</v>
      </c>
      <c r="F370" s="1">
        <v>9.7663194444444447E-4</v>
      </c>
      <c r="G370" s="37">
        <v>2.09</v>
      </c>
      <c r="H370">
        <v>2.7</v>
      </c>
      <c r="I370" s="37">
        <v>1</v>
      </c>
      <c r="J370">
        <f t="shared" si="5"/>
        <v>2.7</v>
      </c>
    </row>
    <row r="371" spans="1:10" x14ac:dyDescent="0.3">
      <c r="A371" t="s">
        <v>3</v>
      </c>
      <c r="B371" t="s">
        <v>96</v>
      </c>
      <c r="C371" t="s">
        <v>151</v>
      </c>
      <c r="D371" t="s">
        <v>181</v>
      </c>
      <c r="E371" t="s">
        <v>67</v>
      </c>
      <c r="F371" s="1">
        <v>9.85162037037037E-4</v>
      </c>
      <c r="G371" s="37">
        <v>2.06</v>
      </c>
      <c r="H371">
        <v>2.67</v>
      </c>
      <c r="I371" s="37">
        <v>1</v>
      </c>
      <c r="J371">
        <f t="shared" si="5"/>
        <v>2.67</v>
      </c>
    </row>
    <row r="372" spans="1:10" x14ac:dyDescent="0.3">
      <c r="A372" t="s">
        <v>3</v>
      </c>
      <c r="B372" t="s">
        <v>96</v>
      </c>
      <c r="C372" t="s">
        <v>151</v>
      </c>
      <c r="D372" t="s">
        <v>181</v>
      </c>
      <c r="E372" t="s">
        <v>68</v>
      </c>
      <c r="F372" s="1">
        <v>9.8269675925925933E-4</v>
      </c>
      <c r="G372" s="37">
        <v>2.0699999999999998</v>
      </c>
      <c r="H372">
        <v>2.7</v>
      </c>
      <c r="I372" s="37">
        <v>1</v>
      </c>
      <c r="J372">
        <f t="shared" si="5"/>
        <v>2.7</v>
      </c>
    </row>
    <row r="373" spans="1:10" x14ac:dyDescent="0.3">
      <c r="A373" t="s">
        <v>3</v>
      </c>
      <c r="B373" t="s">
        <v>96</v>
      </c>
      <c r="C373" t="s">
        <v>151</v>
      </c>
      <c r="D373" t="s">
        <v>181</v>
      </c>
      <c r="E373" t="s">
        <v>69</v>
      </c>
      <c r="F373" s="1">
        <v>9.8247685185185178E-4</v>
      </c>
      <c r="G373" s="37">
        <v>2.09</v>
      </c>
      <c r="H373">
        <v>2.72</v>
      </c>
      <c r="I373" s="37">
        <v>1</v>
      </c>
      <c r="J373">
        <f t="shared" si="5"/>
        <v>2.72</v>
      </c>
    </row>
    <row r="374" spans="1:10" x14ac:dyDescent="0.3">
      <c r="A374" t="s">
        <v>3</v>
      </c>
      <c r="B374" t="s">
        <v>96</v>
      </c>
      <c r="C374" t="s">
        <v>151</v>
      </c>
      <c r="D374" t="s">
        <v>181</v>
      </c>
      <c r="E374" t="s">
        <v>70</v>
      </c>
      <c r="F374" s="1">
        <v>9.8155092592592586E-4</v>
      </c>
      <c r="G374" s="37">
        <v>2.09</v>
      </c>
      <c r="H374">
        <v>2.72</v>
      </c>
      <c r="I374" s="37">
        <v>1</v>
      </c>
      <c r="J374">
        <f t="shared" si="5"/>
        <v>2.72</v>
      </c>
    </row>
    <row r="375" spans="1:10" x14ac:dyDescent="0.3">
      <c r="A375" t="s">
        <v>3</v>
      </c>
      <c r="B375" t="s">
        <v>96</v>
      </c>
      <c r="C375" t="s">
        <v>151</v>
      </c>
      <c r="D375" t="s">
        <v>181</v>
      </c>
      <c r="E375" t="s">
        <v>71</v>
      </c>
      <c r="F375" s="1">
        <v>9.9042824074074072E-4</v>
      </c>
      <c r="G375" s="37">
        <v>2.0099999999999998</v>
      </c>
      <c r="H375">
        <v>2.65</v>
      </c>
      <c r="I375" s="37">
        <v>1</v>
      </c>
      <c r="J375">
        <f t="shared" si="5"/>
        <v>2.65</v>
      </c>
    </row>
    <row r="376" spans="1:10" x14ac:dyDescent="0.3">
      <c r="A376" t="s">
        <v>3</v>
      </c>
      <c r="B376" t="s">
        <v>89</v>
      </c>
      <c r="C376" t="s">
        <v>151</v>
      </c>
      <c r="D376" t="s">
        <v>182</v>
      </c>
      <c r="E376" t="s">
        <v>9</v>
      </c>
      <c r="F376" s="1">
        <v>9.6766203703703695E-4</v>
      </c>
      <c r="G376" s="37">
        <v>2.17</v>
      </c>
      <c r="H376">
        <v>3.42</v>
      </c>
      <c r="I376" s="37">
        <v>0.83199999999999996</v>
      </c>
      <c r="J376">
        <f t="shared" si="5"/>
        <v>2.84544</v>
      </c>
    </row>
    <row r="377" spans="1:10" x14ac:dyDescent="0.3">
      <c r="A377" t="s">
        <v>3</v>
      </c>
      <c r="B377" t="s">
        <v>89</v>
      </c>
      <c r="C377" t="s">
        <v>151</v>
      </c>
      <c r="D377" t="s">
        <v>182</v>
      </c>
      <c r="E377" t="s">
        <v>10</v>
      </c>
      <c r="F377" s="1">
        <v>9.7452546296296295E-4</v>
      </c>
      <c r="G377" s="37">
        <v>2.1</v>
      </c>
      <c r="H377">
        <v>3.32</v>
      </c>
      <c r="I377" s="37">
        <v>0.83199999999999996</v>
      </c>
      <c r="J377">
        <f t="shared" si="5"/>
        <v>2.7622399999999998</v>
      </c>
    </row>
    <row r="378" spans="1:10" x14ac:dyDescent="0.3">
      <c r="A378" t="s">
        <v>3</v>
      </c>
      <c r="B378" t="s">
        <v>89</v>
      </c>
      <c r="C378" t="s">
        <v>151</v>
      </c>
      <c r="D378" t="s">
        <v>182</v>
      </c>
      <c r="E378" t="s">
        <v>15</v>
      </c>
      <c r="F378" s="1">
        <v>9.7305555555555557E-4</v>
      </c>
      <c r="G378" s="37">
        <v>2.09</v>
      </c>
      <c r="H378">
        <v>3.32</v>
      </c>
      <c r="I378" s="37">
        <v>0.83199999999999996</v>
      </c>
      <c r="J378">
        <f t="shared" si="5"/>
        <v>2.7622399999999998</v>
      </c>
    </row>
    <row r="379" spans="1:10" x14ac:dyDescent="0.3">
      <c r="A379" t="s">
        <v>3</v>
      </c>
      <c r="B379" t="s">
        <v>89</v>
      </c>
      <c r="C379" t="s">
        <v>151</v>
      </c>
      <c r="D379" t="s">
        <v>182</v>
      </c>
      <c r="E379" t="s">
        <v>16</v>
      </c>
      <c r="F379" s="1">
        <v>9.7037037037037046E-4</v>
      </c>
      <c r="G379" s="37">
        <v>2.11</v>
      </c>
      <c r="H379">
        <v>3.35</v>
      </c>
      <c r="I379" s="37">
        <v>0.83199999999999996</v>
      </c>
      <c r="J379">
        <f t="shared" si="5"/>
        <v>2.7871999999999999</v>
      </c>
    </row>
    <row r="380" spans="1:10" x14ac:dyDescent="0.3">
      <c r="A380" t="s">
        <v>3</v>
      </c>
      <c r="B380" t="s">
        <v>89</v>
      </c>
      <c r="C380" t="s">
        <v>151</v>
      </c>
      <c r="D380" t="s">
        <v>182</v>
      </c>
      <c r="E380" t="s">
        <v>17</v>
      </c>
      <c r="F380" s="1">
        <v>9.7129629629629627E-4</v>
      </c>
      <c r="G380" s="37">
        <v>2.11</v>
      </c>
      <c r="H380">
        <v>3.34</v>
      </c>
      <c r="I380" s="37">
        <v>0.83199999999999996</v>
      </c>
      <c r="J380">
        <f t="shared" si="5"/>
        <v>2.7788799999999996</v>
      </c>
    </row>
    <row r="381" spans="1:10" x14ac:dyDescent="0.3">
      <c r="A381" t="s">
        <v>3</v>
      </c>
      <c r="B381" t="s">
        <v>89</v>
      </c>
      <c r="C381" t="s">
        <v>151</v>
      </c>
      <c r="D381" t="s">
        <v>182</v>
      </c>
      <c r="E381" t="s">
        <v>18</v>
      </c>
      <c r="F381" s="1">
        <v>9.7379629629629628E-4</v>
      </c>
      <c r="G381" s="37">
        <v>2.12</v>
      </c>
      <c r="H381">
        <v>3.36</v>
      </c>
      <c r="I381" s="37">
        <v>0.83199999999999996</v>
      </c>
      <c r="J381">
        <f t="shared" si="5"/>
        <v>2.7955199999999998</v>
      </c>
    </row>
    <row r="382" spans="1:10" x14ac:dyDescent="0.3">
      <c r="A382" t="s">
        <v>3</v>
      </c>
      <c r="B382" t="s">
        <v>89</v>
      </c>
      <c r="C382" t="s">
        <v>151</v>
      </c>
      <c r="D382" t="s">
        <v>182</v>
      </c>
      <c r="E382" t="s">
        <v>19</v>
      </c>
      <c r="F382" s="1">
        <v>9.7478009259259263E-4</v>
      </c>
      <c r="G382" s="37">
        <v>2.11</v>
      </c>
      <c r="H382">
        <v>3.32</v>
      </c>
      <c r="I382" s="37">
        <v>0.83199999999999996</v>
      </c>
      <c r="J382">
        <f t="shared" si="5"/>
        <v>2.7622399999999998</v>
      </c>
    </row>
    <row r="383" spans="1:10" x14ac:dyDescent="0.3">
      <c r="A383" t="s">
        <v>3</v>
      </c>
      <c r="B383" t="s">
        <v>89</v>
      </c>
      <c r="C383" t="s">
        <v>151</v>
      </c>
      <c r="D383" t="s">
        <v>182</v>
      </c>
      <c r="E383" t="s">
        <v>45</v>
      </c>
      <c r="F383" s="1">
        <v>9.8170138888888894E-4</v>
      </c>
      <c r="G383" s="37">
        <v>2.16</v>
      </c>
      <c r="H383">
        <v>3.42</v>
      </c>
      <c r="I383" s="37">
        <v>0.83199999999999996</v>
      </c>
      <c r="J383">
        <f t="shared" si="5"/>
        <v>2.84544</v>
      </c>
    </row>
    <row r="384" spans="1:10" x14ac:dyDescent="0.3">
      <c r="A384" t="s">
        <v>3</v>
      </c>
      <c r="B384" t="s">
        <v>89</v>
      </c>
      <c r="C384" t="s">
        <v>151</v>
      </c>
      <c r="D384" t="s">
        <v>182</v>
      </c>
      <c r="E384" t="s">
        <v>46</v>
      </c>
      <c r="F384" s="1">
        <v>9.7530092592592579E-4</v>
      </c>
      <c r="G384" s="37">
        <v>2.13</v>
      </c>
      <c r="H384">
        <v>3.38</v>
      </c>
      <c r="I384" s="37">
        <v>0.83199999999999996</v>
      </c>
      <c r="J384">
        <f t="shared" si="5"/>
        <v>2.81216</v>
      </c>
    </row>
    <row r="385" spans="1:10" x14ac:dyDescent="0.3">
      <c r="A385" t="s">
        <v>3</v>
      </c>
      <c r="B385" t="s">
        <v>89</v>
      </c>
      <c r="C385" t="s">
        <v>151</v>
      </c>
      <c r="D385" t="s">
        <v>182</v>
      </c>
      <c r="E385" t="s">
        <v>47</v>
      </c>
      <c r="F385" s="1">
        <v>9.7418981481481488E-4</v>
      </c>
      <c r="G385" s="37">
        <v>2.1800000000000002</v>
      </c>
      <c r="H385">
        <v>3.46</v>
      </c>
      <c r="I385" s="37">
        <v>0.83199999999999996</v>
      </c>
      <c r="J385">
        <f t="shared" si="5"/>
        <v>2.8787199999999999</v>
      </c>
    </row>
    <row r="386" spans="1:10" x14ac:dyDescent="0.3">
      <c r="A386" t="s">
        <v>3</v>
      </c>
      <c r="B386" t="s">
        <v>89</v>
      </c>
      <c r="C386" t="s">
        <v>151</v>
      </c>
      <c r="D386" t="s">
        <v>182</v>
      </c>
      <c r="E386" t="s">
        <v>48</v>
      </c>
      <c r="F386" s="1">
        <v>9.7268518518518505E-4</v>
      </c>
      <c r="G386" s="37">
        <v>2.19</v>
      </c>
      <c r="H386">
        <v>3.45</v>
      </c>
      <c r="I386" s="37">
        <v>0.83199999999999996</v>
      </c>
      <c r="J386">
        <f t="shared" si="5"/>
        <v>2.8704000000000001</v>
      </c>
    </row>
    <row r="387" spans="1:10" x14ac:dyDescent="0.3">
      <c r="A387" t="s">
        <v>3</v>
      </c>
      <c r="B387" t="s">
        <v>89</v>
      </c>
      <c r="C387" t="s">
        <v>151</v>
      </c>
      <c r="D387" t="s">
        <v>182</v>
      </c>
      <c r="E387" t="s">
        <v>49</v>
      </c>
      <c r="F387" s="1">
        <v>9.735648148148148E-4</v>
      </c>
      <c r="G387" s="37">
        <v>2.19</v>
      </c>
      <c r="H387">
        <v>3.47</v>
      </c>
      <c r="I387" s="37">
        <v>0.83199999999999996</v>
      </c>
      <c r="J387">
        <f t="shared" si="5"/>
        <v>2.8870399999999998</v>
      </c>
    </row>
    <row r="388" spans="1:10" x14ac:dyDescent="0.3">
      <c r="A388" t="s">
        <v>3</v>
      </c>
      <c r="B388" t="s">
        <v>89</v>
      </c>
      <c r="C388" t="s">
        <v>151</v>
      </c>
      <c r="D388" t="s">
        <v>182</v>
      </c>
      <c r="E388" t="s">
        <v>50</v>
      </c>
      <c r="F388" s="1">
        <v>9.7488425925925932E-4</v>
      </c>
      <c r="G388" s="37">
        <v>2.1800000000000002</v>
      </c>
      <c r="H388">
        <v>3.45</v>
      </c>
      <c r="I388" s="37">
        <v>0.83199999999999996</v>
      </c>
      <c r="J388">
        <f t="shared" ref="J388:J451" si="6">H388*I388</f>
        <v>2.8704000000000001</v>
      </c>
    </row>
    <row r="389" spans="1:10" x14ac:dyDescent="0.3">
      <c r="A389" t="s">
        <v>3</v>
      </c>
      <c r="B389" t="s">
        <v>89</v>
      </c>
      <c r="C389" t="s">
        <v>151</v>
      </c>
      <c r="D389" t="s">
        <v>182</v>
      </c>
      <c r="E389" t="s">
        <v>51</v>
      </c>
      <c r="F389" s="1">
        <v>9.7332175925925928E-4</v>
      </c>
      <c r="G389" s="37">
        <v>2.19</v>
      </c>
      <c r="H389">
        <v>3.45</v>
      </c>
      <c r="I389" s="37">
        <v>0.83199999999999996</v>
      </c>
      <c r="J389">
        <f t="shared" si="6"/>
        <v>2.8704000000000001</v>
      </c>
    </row>
    <row r="390" spans="1:10" x14ac:dyDescent="0.3">
      <c r="A390" t="s">
        <v>3</v>
      </c>
      <c r="B390" t="s">
        <v>89</v>
      </c>
      <c r="C390" t="s">
        <v>151</v>
      </c>
      <c r="D390" t="s">
        <v>182</v>
      </c>
      <c r="E390" t="s">
        <v>52</v>
      </c>
      <c r="F390" s="1">
        <v>9.7679398148148148E-4</v>
      </c>
      <c r="G390" s="37">
        <v>2.19</v>
      </c>
      <c r="H390">
        <v>3.44</v>
      </c>
      <c r="I390" s="37">
        <v>0.83199999999999996</v>
      </c>
      <c r="J390">
        <f t="shared" si="6"/>
        <v>2.8620799999999997</v>
      </c>
    </row>
    <row r="391" spans="1:10" x14ac:dyDescent="0.3">
      <c r="A391" t="s">
        <v>3</v>
      </c>
      <c r="B391" t="s">
        <v>89</v>
      </c>
      <c r="C391" t="s">
        <v>151</v>
      </c>
      <c r="D391" t="s">
        <v>182</v>
      </c>
      <c r="E391" t="s">
        <v>53</v>
      </c>
      <c r="F391" s="1">
        <v>9.7883101851851842E-4</v>
      </c>
      <c r="G391" s="37">
        <v>2.16</v>
      </c>
      <c r="H391">
        <v>3.4</v>
      </c>
      <c r="I391" s="37">
        <v>0.83199999999999996</v>
      </c>
      <c r="J391">
        <f t="shared" si="6"/>
        <v>2.8287999999999998</v>
      </c>
    </row>
    <row r="392" spans="1:10" x14ac:dyDescent="0.3">
      <c r="A392" t="s">
        <v>3</v>
      </c>
      <c r="B392" t="s">
        <v>89</v>
      </c>
      <c r="C392" t="s">
        <v>151</v>
      </c>
      <c r="D392" t="s">
        <v>182</v>
      </c>
      <c r="E392" t="s">
        <v>55</v>
      </c>
      <c r="F392" s="1">
        <v>9.701967592592593E-4</v>
      </c>
      <c r="G392" s="37">
        <v>2.2000000000000002</v>
      </c>
      <c r="H392">
        <v>3.46</v>
      </c>
      <c r="I392" s="37">
        <v>0.83199999999999996</v>
      </c>
      <c r="J392">
        <f t="shared" si="6"/>
        <v>2.8787199999999999</v>
      </c>
    </row>
    <row r="393" spans="1:10" x14ac:dyDescent="0.3">
      <c r="A393" t="s">
        <v>3</v>
      </c>
      <c r="B393" t="s">
        <v>89</v>
      </c>
      <c r="C393" t="s">
        <v>151</v>
      </c>
      <c r="D393" t="s">
        <v>182</v>
      </c>
      <c r="E393" t="s">
        <v>56</v>
      </c>
      <c r="F393" s="1">
        <v>9.6806712962962949E-4</v>
      </c>
      <c r="G393" s="37">
        <v>2.2000000000000002</v>
      </c>
      <c r="H393">
        <v>3.47</v>
      </c>
      <c r="I393" s="37">
        <v>0.83199999999999996</v>
      </c>
      <c r="J393">
        <f t="shared" si="6"/>
        <v>2.8870399999999998</v>
      </c>
    </row>
    <row r="394" spans="1:10" x14ac:dyDescent="0.3">
      <c r="A394" t="s">
        <v>3</v>
      </c>
      <c r="B394" t="s">
        <v>89</v>
      </c>
      <c r="C394" t="s">
        <v>151</v>
      </c>
      <c r="D394" t="s">
        <v>182</v>
      </c>
      <c r="E394" t="s">
        <v>57</v>
      </c>
      <c r="F394" s="1">
        <v>9.6695601851851858E-4</v>
      </c>
      <c r="G394" s="37">
        <v>2.21</v>
      </c>
      <c r="H394">
        <v>3.51</v>
      </c>
      <c r="I394" s="37">
        <v>0.83199999999999996</v>
      </c>
      <c r="J394">
        <f t="shared" si="6"/>
        <v>2.9203199999999998</v>
      </c>
    </row>
    <row r="395" spans="1:10" x14ac:dyDescent="0.3">
      <c r="A395" t="s">
        <v>3</v>
      </c>
      <c r="B395" t="s">
        <v>89</v>
      </c>
      <c r="C395" t="s">
        <v>151</v>
      </c>
      <c r="D395" t="s">
        <v>182</v>
      </c>
      <c r="E395" t="s">
        <v>58</v>
      </c>
      <c r="F395" s="1">
        <v>9.6806712962962949E-4</v>
      </c>
      <c r="G395" s="37">
        <v>2.2200000000000002</v>
      </c>
      <c r="H395">
        <v>3.51</v>
      </c>
      <c r="I395" s="37">
        <v>0.83199999999999996</v>
      </c>
      <c r="J395">
        <f t="shared" si="6"/>
        <v>2.9203199999999998</v>
      </c>
    </row>
    <row r="396" spans="1:10" x14ac:dyDescent="0.3">
      <c r="A396" t="s">
        <v>3</v>
      </c>
      <c r="B396" t="s">
        <v>89</v>
      </c>
      <c r="C396" t="s">
        <v>151</v>
      </c>
      <c r="D396" t="s">
        <v>182</v>
      </c>
      <c r="E396" t="s">
        <v>72</v>
      </c>
      <c r="F396" s="1">
        <v>9.7557870370370366E-4</v>
      </c>
      <c r="G396" s="37">
        <v>2.2200000000000002</v>
      </c>
      <c r="H396">
        <v>3.49</v>
      </c>
      <c r="I396" s="37">
        <v>0.83199999999999996</v>
      </c>
      <c r="J396">
        <f t="shared" si="6"/>
        <v>2.90368</v>
      </c>
    </row>
    <row r="397" spans="1:10" x14ac:dyDescent="0.3">
      <c r="A397" t="s">
        <v>3</v>
      </c>
      <c r="B397" t="s">
        <v>89</v>
      </c>
      <c r="C397" t="s">
        <v>151</v>
      </c>
      <c r="D397" t="s">
        <v>182</v>
      </c>
      <c r="E397" t="s">
        <v>59</v>
      </c>
      <c r="F397" s="1">
        <v>9.7071759259259268E-4</v>
      </c>
      <c r="G397" s="37">
        <v>2.21</v>
      </c>
      <c r="H397">
        <v>3.47</v>
      </c>
      <c r="I397" s="37">
        <v>0.83199999999999996</v>
      </c>
      <c r="J397">
        <f t="shared" si="6"/>
        <v>2.8870399999999998</v>
      </c>
    </row>
    <row r="398" spans="1:10" x14ac:dyDescent="0.3">
      <c r="A398" t="s">
        <v>3</v>
      </c>
      <c r="B398" t="s">
        <v>89</v>
      </c>
      <c r="C398" t="s">
        <v>151</v>
      </c>
      <c r="D398" t="s">
        <v>182</v>
      </c>
      <c r="E398" t="s">
        <v>60</v>
      </c>
      <c r="F398" s="1">
        <v>9.7447916666666657E-4</v>
      </c>
      <c r="G398" s="37">
        <v>2.21</v>
      </c>
      <c r="H398">
        <v>3.48</v>
      </c>
      <c r="I398" s="37">
        <v>0.83199999999999996</v>
      </c>
      <c r="J398">
        <f t="shared" si="6"/>
        <v>2.8953599999999997</v>
      </c>
    </row>
    <row r="399" spans="1:10" x14ac:dyDescent="0.3">
      <c r="A399" t="s">
        <v>3</v>
      </c>
      <c r="B399" t="s">
        <v>89</v>
      </c>
      <c r="C399" t="s">
        <v>151</v>
      </c>
      <c r="D399" t="s">
        <v>182</v>
      </c>
      <c r="E399" t="s">
        <v>61</v>
      </c>
      <c r="F399" s="1">
        <v>9.7391203703703702E-4</v>
      </c>
      <c r="G399" s="37">
        <v>2.23</v>
      </c>
      <c r="H399">
        <v>3.49</v>
      </c>
      <c r="I399" s="37">
        <v>0.83199999999999996</v>
      </c>
      <c r="J399">
        <f t="shared" si="6"/>
        <v>2.90368</v>
      </c>
    </row>
    <row r="400" spans="1:10" x14ac:dyDescent="0.3">
      <c r="A400" t="s">
        <v>3</v>
      </c>
      <c r="B400" t="s">
        <v>89</v>
      </c>
      <c r="C400" t="s">
        <v>151</v>
      </c>
      <c r="D400" t="s">
        <v>182</v>
      </c>
      <c r="E400" t="s">
        <v>62</v>
      </c>
      <c r="F400" s="1">
        <v>9.7181712962962966E-4</v>
      </c>
      <c r="G400" s="37">
        <v>2.19</v>
      </c>
      <c r="H400">
        <v>3.49</v>
      </c>
      <c r="I400" s="37">
        <v>0.83199999999999996</v>
      </c>
      <c r="J400">
        <f t="shared" si="6"/>
        <v>2.90368</v>
      </c>
    </row>
    <row r="401" spans="1:10" x14ac:dyDescent="0.3">
      <c r="A401" t="s">
        <v>3</v>
      </c>
      <c r="B401" t="s">
        <v>89</v>
      </c>
      <c r="C401" t="s">
        <v>151</v>
      </c>
      <c r="D401" t="s">
        <v>182</v>
      </c>
      <c r="E401" t="s">
        <v>63</v>
      </c>
      <c r="F401" s="1">
        <v>9.7634259259259256E-4</v>
      </c>
      <c r="G401" s="37">
        <v>2.19</v>
      </c>
      <c r="H401">
        <v>3.45</v>
      </c>
      <c r="I401" s="37">
        <v>0.83199999999999996</v>
      </c>
      <c r="J401">
        <f t="shared" si="6"/>
        <v>2.8704000000000001</v>
      </c>
    </row>
    <row r="402" spans="1:10" x14ac:dyDescent="0.3">
      <c r="A402" t="s">
        <v>3</v>
      </c>
      <c r="B402" t="s">
        <v>89</v>
      </c>
      <c r="C402" t="s">
        <v>151</v>
      </c>
      <c r="D402" t="s">
        <v>182</v>
      </c>
      <c r="E402" t="s">
        <v>64</v>
      </c>
      <c r="F402" s="1">
        <v>9.7517361111111101E-4</v>
      </c>
      <c r="G402" s="37">
        <v>2.2000000000000002</v>
      </c>
      <c r="H402">
        <v>3.47</v>
      </c>
      <c r="I402" s="37">
        <v>0.83199999999999996</v>
      </c>
      <c r="J402">
        <f t="shared" si="6"/>
        <v>2.8870399999999998</v>
      </c>
    </row>
    <row r="403" spans="1:10" x14ac:dyDescent="0.3">
      <c r="A403" t="s">
        <v>3</v>
      </c>
      <c r="B403" t="s">
        <v>89</v>
      </c>
      <c r="C403" t="s">
        <v>151</v>
      </c>
      <c r="D403" t="s">
        <v>182</v>
      </c>
      <c r="E403" t="s">
        <v>65</v>
      </c>
      <c r="F403" s="1">
        <v>9.8084490740740749E-4</v>
      </c>
      <c r="G403" s="37">
        <v>2.1800000000000002</v>
      </c>
      <c r="H403">
        <v>3.45</v>
      </c>
      <c r="I403" s="37">
        <v>0.83199999999999996</v>
      </c>
      <c r="J403">
        <f t="shared" si="6"/>
        <v>2.8704000000000001</v>
      </c>
    </row>
    <row r="404" spans="1:10" x14ac:dyDescent="0.3">
      <c r="A404" t="s">
        <v>3</v>
      </c>
      <c r="B404" t="s">
        <v>89</v>
      </c>
      <c r="C404" t="s">
        <v>151</v>
      </c>
      <c r="D404" t="s">
        <v>182</v>
      </c>
      <c r="E404" t="s">
        <v>66</v>
      </c>
      <c r="F404" s="1">
        <v>9.7685185185185201E-4</v>
      </c>
      <c r="G404" s="37">
        <v>2.1800000000000002</v>
      </c>
      <c r="H404">
        <v>3.45</v>
      </c>
      <c r="I404" s="37">
        <v>0.83199999999999996</v>
      </c>
      <c r="J404">
        <f t="shared" si="6"/>
        <v>2.8704000000000001</v>
      </c>
    </row>
    <row r="405" spans="1:10" x14ac:dyDescent="0.3">
      <c r="A405" t="s">
        <v>3</v>
      </c>
      <c r="B405" t="s">
        <v>89</v>
      </c>
      <c r="C405" t="s">
        <v>151</v>
      </c>
      <c r="D405" t="s">
        <v>182</v>
      </c>
      <c r="E405" t="s">
        <v>67</v>
      </c>
      <c r="F405" s="1">
        <v>9.8334490740740739E-4</v>
      </c>
      <c r="G405" s="37">
        <v>2.17</v>
      </c>
      <c r="H405">
        <v>3.44</v>
      </c>
      <c r="I405" s="37">
        <v>0.83199999999999996</v>
      </c>
      <c r="J405">
        <f t="shared" si="6"/>
        <v>2.8620799999999997</v>
      </c>
    </row>
    <row r="406" spans="1:10" x14ac:dyDescent="0.3">
      <c r="A406" t="s">
        <v>3</v>
      </c>
      <c r="B406" t="s">
        <v>89</v>
      </c>
      <c r="C406" t="s">
        <v>151</v>
      </c>
      <c r="D406" t="s">
        <v>182</v>
      </c>
      <c r="E406" t="s">
        <v>68</v>
      </c>
      <c r="F406" s="1">
        <v>9.9218750000000001E-4</v>
      </c>
      <c r="G406" s="37">
        <v>2.19</v>
      </c>
      <c r="H406">
        <v>3.47</v>
      </c>
      <c r="I406" s="37">
        <v>0.83199999999999996</v>
      </c>
      <c r="J406">
        <f t="shared" si="6"/>
        <v>2.8870399999999998</v>
      </c>
    </row>
    <row r="407" spans="1:10" x14ac:dyDescent="0.3">
      <c r="A407" t="s">
        <v>3</v>
      </c>
      <c r="B407" t="s">
        <v>89</v>
      </c>
      <c r="C407" t="s">
        <v>151</v>
      </c>
      <c r="D407" t="s">
        <v>182</v>
      </c>
      <c r="E407" t="s">
        <v>69</v>
      </c>
      <c r="F407" s="1">
        <v>9.8912037037037046E-4</v>
      </c>
      <c r="G407" s="37">
        <v>2.12</v>
      </c>
      <c r="H407">
        <v>3.37</v>
      </c>
      <c r="I407" s="37">
        <v>0.83199999999999996</v>
      </c>
      <c r="J407">
        <f t="shared" si="6"/>
        <v>2.8038400000000001</v>
      </c>
    </row>
    <row r="408" spans="1:10" x14ac:dyDescent="0.3">
      <c r="A408" t="s">
        <v>3</v>
      </c>
      <c r="B408" t="s">
        <v>89</v>
      </c>
      <c r="C408" t="s">
        <v>151</v>
      </c>
      <c r="D408" t="s">
        <v>182</v>
      </c>
      <c r="E408" t="s">
        <v>70</v>
      </c>
      <c r="F408" s="1">
        <v>9.8877314814814813E-4</v>
      </c>
      <c r="G408" s="37">
        <v>2.13</v>
      </c>
      <c r="H408">
        <v>3.36</v>
      </c>
      <c r="I408" s="37">
        <v>0.83199999999999996</v>
      </c>
      <c r="J408">
        <f t="shared" si="6"/>
        <v>2.7955199999999998</v>
      </c>
    </row>
    <row r="409" spans="1:10" x14ac:dyDescent="0.3">
      <c r="A409" t="s">
        <v>3</v>
      </c>
      <c r="B409" t="s">
        <v>89</v>
      </c>
      <c r="C409" t="s">
        <v>151</v>
      </c>
      <c r="D409" t="s">
        <v>182</v>
      </c>
      <c r="E409" t="s">
        <v>71</v>
      </c>
      <c r="F409" s="1">
        <v>9.9075231481481475E-4</v>
      </c>
      <c r="G409" s="37">
        <v>2.08</v>
      </c>
      <c r="H409">
        <v>3.29</v>
      </c>
      <c r="I409" s="37">
        <v>0.83199999999999996</v>
      </c>
      <c r="J409">
        <f t="shared" si="6"/>
        <v>2.7372799999999997</v>
      </c>
    </row>
    <row r="410" spans="1:10" x14ac:dyDescent="0.3">
      <c r="A410" t="s">
        <v>3</v>
      </c>
      <c r="B410" t="s">
        <v>20</v>
      </c>
      <c r="C410" t="s">
        <v>151</v>
      </c>
      <c r="D410" s="22" t="s">
        <v>183</v>
      </c>
      <c r="E410" t="s">
        <v>9</v>
      </c>
      <c r="F410" s="1">
        <v>9.7292824074074078E-4</v>
      </c>
      <c r="G410" s="37">
        <v>2.19</v>
      </c>
      <c r="H410">
        <v>2.8</v>
      </c>
      <c r="I410" s="37">
        <v>1.012</v>
      </c>
      <c r="J410">
        <f t="shared" si="6"/>
        <v>2.8335999999999997</v>
      </c>
    </row>
    <row r="411" spans="1:10" x14ac:dyDescent="0.3">
      <c r="A411" t="s">
        <v>3</v>
      </c>
      <c r="B411" t="s">
        <v>20</v>
      </c>
      <c r="C411" t="s">
        <v>151</v>
      </c>
      <c r="D411" s="22" t="s">
        <v>183</v>
      </c>
      <c r="E411" t="s">
        <v>10</v>
      </c>
      <c r="F411" s="1">
        <v>9.7871527777777779E-4</v>
      </c>
      <c r="G411" s="37">
        <v>2.21</v>
      </c>
      <c r="H411">
        <v>2.83</v>
      </c>
      <c r="I411" s="37">
        <v>1.012</v>
      </c>
      <c r="J411">
        <f t="shared" si="6"/>
        <v>2.8639600000000001</v>
      </c>
    </row>
    <row r="412" spans="1:10" x14ac:dyDescent="0.3">
      <c r="A412" t="s">
        <v>3</v>
      </c>
      <c r="B412" t="s">
        <v>20</v>
      </c>
      <c r="C412" t="s">
        <v>151</v>
      </c>
      <c r="D412" s="22" t="s">
        <v>183</v>
      </c>
      <c r="E412" t="s">
        <v>15</v>
      </c>
      <c r="F412" s="1">
        <v>9.6762731481481493E-4</v>
      </c>
      <c r="G412" s="37">
        <v>2.2599999999999998</v>
      </c>
      <c r="H412">
        <v>2.89</v>
      </c>
      <c r="I412" s="37">
        <v>1.012</v>
      </c>
      <c r="J412">
        <f t="shared" si="6"/>
        <v>2.9246799999999999</v>
      </c>
    </row>
    <row r="413" spans="1:10" x14ac:dyDescent="0.3">
      <c r="A413" t="s">
        <v>3</v>
      </c>
      <c r="B413" t="s">
        <v>20</v>
      </c>
      <c r="C413" t="s">
        <v>151</v>
      </c>
      <c r="D413" s="22" t="s">
        <v>183</v>
      </c>
      <c r="E413" t="s">
        <v>16</v>
      </c>
      <c r="F413" s="1">
        <v>9.6574074074074075E-4</v>
      </c>
      <c r="G413" s="37">
        <v>2.2799999999999998</v>
      </c>
      <c r="H413">
        <v>2.91</v>
      </c>
      <c r="I413" s="37">
        <v>1.012</v>
      </c>
      <c r="J413">
        <f t="shared" si="6"/>
        <v>2.9449200000000002</v>
      </c>
    </row>
    <row r="414" spans="1:10" x14ac:dyDescent="0.3">
      <c r="A414" t="s">
        <v>3</v>
      </c>
      <c r="B414" t="s">
        <v>20</v>
      </c>
      <c r="C414" t="s">
        <v>151</v>
      </c>
      <c r="D414" s="22" t="s">
        <v>183</v>
      </c>
      <c r="E414" t="s">
        <v>17</v>
      </c>
      <c r="F414" s="1">
        <v>9.6726851851851856E-4</v>
      </c>
      <c r="G414" s="37">
        <v>2.27</v>
      </c>
      <c r="H414">
        <v>2.89</v>
      </c>
      <c r="I414" s="37">
        <v>1.012</v>
      </c>
      <c r="J414">
        <f t="shared" si="6"/>
        <v>2.9246799999999999</v>
      </c>
    </row>
    <row r="415" spans="1:10" x14ac:dyDescent="0.3">
      <c r="A415" t="s">
        <v>3</v>
      </c>
      <c r="B415" t="s">
        <v>20</v>
      </c>
      <c r="C415" t="s">
        <v>151</v>
      </c>
      <c r="D415" s="22" t="s">
        <v>183</v>
      </c>
      <c r="E415" t="s">
        <v>18</v>
      </c>
      <c r="F415" s="1">
        <v>9.6760416666666663E-4</v>
      </c>
      <c r="G415" s="37">
        <v>2.2599999999999998</v>
      </c>
      <c r="H415">
        <v>2.88</v>
      </c>
      <c r="I415" s="37">
        <v>1.012</v>
      </c>
      <c r="J415">
        <f t="shared" si="6"/>
        <v>2.9145599999999998</v>
      </c>
    </row>
    <row r="416" spans="1:10" x14ac:dyDescent="0.3">
      <c r="A416" t="s">
        <v>3</v>
      </c>
      <c r="B416" t="s">
        <v>20</v>
      </c>
      <c r="C416" t="s">
        <v>151</v>
      </c>
      <c r="D416" s="22" t="s">
        <v>183</v>
      </c>
      <c r="E416" t="s">
        <v>19</v>
      </c>
      <c r="F416" s="1">
        <v>9.6905092592592594E-4</v>
      </c>
      <c r="G416" s="37">
        <v>2.2599999999999998</v>
      </c>
      <c r="H416">
        <v>2.89</v>
      </c>
      <c r="I416" s="37">
        <v>1.012</v>
      </c>
      <c r="J416">
        <f t="shared" si="6"/>
        <v>2.9246799999999999</v>
      </c>
    </row>
    <row r="417" spans="1:10" x14ac:dyDescent="0.3">
      <c r="A417" t="s">
        <v>3</v>
      </c>
      <c r="B417" t="s">
        <v>20</v>
      </c>
      <c r="C417" t="s">
        <v>151</v>
      </c>
      <c r="D417" s="22" t="s">
        <v>183</v>
      </c>
      <c r="E417" t="s">
        <v>45</v>
      </c>
      <c r="F417" s="1">
        <v>9.7143518518518521E-4</v>
      </c>
      <c r="G417" s="37">
        <v>2.2400000000000002</v>
      </c>
      <c r="H417">
        <v>2.87</v>
      </c>
      <c r="I417" s="37">
        <v>1.012</v>
      </c>
      <c r="J417">
        <f t="shared" si="6"/>
        <v>2.9044400000000001</v>
      </c>
    </row>
    <row r="418" spans="1:10" x14ac:dyDescent="0.3">
      <c r="A418" t="s">
        <v>3</v>
      </c>
      <c r="B418" t="s">
        <v>20</v>
      </c>
      <c r="C418" t="s">
        <v>151</v>
      </c>
      <c r="D418" s="22" t="s">
        <v>183</v>
      </c>
      <c r="E418" t="s">
        <v>46</v>
      </c>
      <c r="F418" s="1">
        <v>9.6928240740740731E-4</v>
      </c>
      <c r="G418" s="37">
        <v>2.2400000000000002</v>
      </c>
      <c r="H418">
        <v>2.86</v>
      </c>
      <c r="I418" s="37">
        <v>1.012</v>
      </c>
      <c r="J418">
        <f t="shared" si="6"/>
        <v>2.89432</v>
      </c>
    </row>
    <row r="419" spans="1:10" x14ac:dyDescent="0.3">
      <c r="A419" t="s">
        <v>3</v>
      </c>
      <c r="B419" t="s">
        <v>20</v>
      </c>
      <c r="C419" t="s">
        <v>151</v>
      </c>
      <c r="D419" s="22" t="s">
        <v>183</v>
      </c>
      <c r="E419" t="s">
        <v>47</v>
      </c>
      <c r="F419" s="1">
        <v>9.7005787037037037E-4</v>
      </c>
      <c r="G419" s="37">
        <v>2.25</v>
      </c>
      <c r="H419">
        <v>2.87</v>
      </c>
      <c r="I419" s="37">
        <v>1.012</v>
      </c>
      <c r="J419">
        <f t="shared" si="6"/>
        <v>2.9044400000000001</v>
      </c>
    </row>
    <row r="420" spans="1:10" x14ac:dyDescent="0.3">
      <c r="A420" t="s">
        <v>3</v>
      </c>
      <c r="B420" t="s">
        <v>20</v>
      </c>
      <c r="C420" t="s">
        <v>151</v>
      </c>
      <c r="D420" s="22" t="s">
        <v>183</v>
      </c>
      <c r="E420" t="s">
        <v>48</v>
      </c>
      <c r="F420" s="1">
        <v>9.6950231481481486E-4</v>
      </c>
      <c r="G420" s="37">
        <v>2.23</v>
      </c>
      <c r="H420">
        <v>2.87</v>
      </c>
      <c r="I420" s="37">
        <v>1.012</v>
      </c>
      <c r="J420">
        <f t="shared" si="6"/>
        <v>2.9044400000000001</v>
      </c>
    </row>
    <row r="421" spans="1:10" x14ac:dyDescent="0.3">
      <c r="A421" t="s">
        <v>3</v>
      </c>
      <c r="B421" t="s">
        <v>20</v>
      </c>
      <c r="C421" t="s">
        <v>151</v>
      </c>
      <c r="D421" s="22" t="s">
        <v>183</v>
      </c>
      <c r="E421" t="s">
        <v>49</v>
      </c>
      <c r="F421" s="1">
        <v>9.7137731481481478E-4</v>
      </c>
      <c r="G421" s="37">
        <v>2.23</v>
      </c>
      <c r="H421">
        <v>2.87</v>
      </c>
      <c r="I421" s="37">
        <v>1.012</v>
      </c>
      <c r="J421">
        <f t="shared" si="6"/>
        <v>2.9044400000000001</v>
      </c>
    </row>
    <row r="422" spans="1:10" x14ac:dyDescent="0.3">
      <c r="A422" t="s">
        <v>3</v>
      </c>
      <c r="B422" t="s">
        <v>20</v>
      </c>
      <c r="C422" t="s">
        <v>151</v>
      </c>
      <c r="D422" s="22" t="s">
        <v>183</v>
      </c>
      <c r="E422" t="s">
        <v>50</v>
      </c>
      <c r="F422" s="1">
        <v>9.7292824074074078E-4</v>
      </c>
      <c r="G422" s="37">
        <v>2.2400000000000002</v>
      </c>
      <c r="H422">
        <v>2.86</v>
      </c>
      <c r="I422" s="37">
        <v>1.012</v>
      </c>
      <c r="J422">
        <f t="shared" si="6"/>
        <v>2.89432</v>
      </c>
    </row>
    <row r="423" spans="1:10" x14ac:dyDescent="0.3">
      <c r="A423" t="s">
        <v>3</v>
      </c>
      <c r="B423" t="s">
        <v>20</v>
      </c>
      <c r="C423" t="s">
        <v>151</v>
      </c>
      <c r="D423" s="22" t="s">
        <v>183</v>
      </c>
      <c r="E423" t="s">
        <v>51</v>
      </c>
      <c r="F423" s="1">
        <v>9.7165509259259254E-4</v>
      </c>
      <c r="G423" s="37">
        <v>2.2400000000000002</v>
      </c>
      <c r="H423">
        <v>2.87</v>
      </c>
      <c r="I423" s="37">
        <v>1.012</v>
      </c>
      <c r="J423">
        <f t="shared" si="6"/>
        <v>2.9044400000000001</v>
      </c>
    </row>
    <row r="424" spans="1:10" x14ac:dyDescent="0.3">
      <c r="A424" t="s">
        <v>3</v>
      </c>
      <c r="B424" t="s">
        <v>20</v>
      </c>
      <c r="C424" t="s">
        <v>151</v>
      </c>
      <c r="D424" s="22" t="s">
        <v>183</v>
      </c>
      <c r="E424" t="s">
        <v>52</v>
      </c>
      <c r="F424" s="1">
        <v>9.7125E-4</v>
      </c>
      <c r="G424" s="37">
        <v>2.2400000000000002</v>
      </c>
      <c r="H424">
        <v>2.87</v>
      </c>
      <c r="I424" s="37">
        <v>1.012</v>
      </c>
      <c r="J424">
        <f t="shared" si="6"/>
        <v>2.9044400000000001</v>
      </c>
    </row>
    <row r="425" spans="1:10" x14ac:dyDescent="0.3">
      <c r="A425" t="s">
        <v>3</v>
      </c>
      <c r="B425" t="s">
        <v>20</v>
      </c>
      <c r="C425" t="s">
        <v>151</v>
      </c>
      <c r="D425" s="22" t="s">
        <v>183</v>
      </c>
      <c r="E425" t="s">
        <v>53</v>
      </c>
      <c r="F425" s="1">
        <v>9.7010416666666675E-4</v>
      </c>
      <c r="G425" s="37">
        <v>2.2200000000000002</v>
      </c>
      <c r="H425">
        <v>2.85</v>
      </c>
      <c r="I425" s="37">
        <v>1.012</v>
      </c>
      <c r="J425">
        <f t="shared" si="6"/>
        <v>2.8842000000000003</v>
      </c>
    </row>
    <row r="426" spans="1:10" x14ac:dyDescent="0.3">
      <c r="A426" t="s">
        <v>3</v>
      </c>
      <c r="B426" t="s">
        <v>20</v>
      </c>
      <c r="C426" t="s">
        <v>151</v>
      </c>
      <c r="D426" s="22" t="s">
        <v>183</v>
      </c>
      <c r="E426" t="s">
        <v>54</v>
      </c>
      <c r="F426" s="1">
        <v>9.735648148148148E-4</v>
      </c>
      <c r="G426" s="37">
        <v>2.23</v>
      </c>
      <c r="H426">
        <v>2.86</v>
      </c>
      <c r="I426" s="37">
        <v>1.012</v>
      </c>
      <c r="J426">
        <f t="shared" si="6"/>
        <v>2.89432</v>
      </c>
    </row>
    <row r="427" spans="1:10" x14ac:dyDescent="0.3">
      <c r="A427" t="s">
        <v>3</v>
      </c>
      <c r="B427" t="s">
        <v>20</v>
      </c>
      <c r="C427" t="s">
        <v>151</v>
      </c>
      <c r="D427" s="22" t="s">
        <v>183</v>
      </c>
      <c r="E427" t="s">
        <v>56</v>
      </c>
      <c r="F427" s="1">
        <v>9.6174768518518517E-4</v>
      </c>
      <c r="G427" s="37">
        <v>2.23</v>
      </c>
      <c r="H427">
        <v>2.85</v>
      </c>
      <c r="I427" s="37">
        <v>1.012</v>
      </c>
      <c r="J427">
        <f t="shared" si="6"/>
        <v>2.8842000000000003</v>
      </c>
    </row>
    <row r="428" spans="1:10" x14ac:dyDescent="0.3">
      <c r="A428" t="s">
        <v>3</v>
      </c>
      <c r="B428" t="s">
        <v>20</v>
      </c>
      <c r="C428" t="s">
        <v>151</v>
      </c>
      <c r="D428" s="22" t="s">
        <v>183</v>
      </c>
      <c r="E428" t="s">
        <v>57</v>
      </c>
      <c r="F428" s="1">
        <v>9.6013888888888896E-4</v>
      </c>
      <c r="G428" s="37">
        <v>2.23</v>
      </c>
      <c r="H428">
        <v>2.86</v>
      </c>
      <c r="I428" s="37">
        <v>1.012</v>
      </c>
      <c r="J428">
        <f t="shared" si="6"/>
        <v>2.89432</v>
      </c>
    </row>
    <row r="429" spans="1:10" x14ac:dyDescent="0.3">
      <c r="A429" t="s">
        <v>3</v>
      </c>
      <c r="B429" t="s">
        <v>20</v>
      </c>
      <c r="C429" t="s">
        <v>151</v>
      </c>
      <c r="D429" s="22" t="s">
        <v>183</v>
      </c>
      <c r="E429" t="s">
        <v>58</v>
      </c>
      <c r="F429" s="1">
        <v>9.6193287037037037E-4</v>
      </c>
      <c r="G429" s="37">
        <v>2.2200000000000002</v>
      </c>
      <c r="H429">
        <v>2.84</v>
      </c>
      <c r="I429" s="37">
        <v>1.012</v>
      </c>
      <c r="J429">
        <f t="shared" si="6"/>
        <v>2.8740799999999997</v>
      </c>
    </row>
    <row r="430" spans="1:10" x14ac:dyDescent="0.3">
      <c r="A430" t="s">
        <v>3</v>
      </c>
      <c r="B430" t="s">
        <v>20</v>
      </c>
      <c r="C430" t="s">
        <v>151</v>
      </c>
      <c r="D430" s="22" t="s">
        <v>183</v>
      </c>
      <c r="E430" t="s">
        <v>72</v>
      </c>
      <c r="F430" s="1">
        <v>9.6200231481481484E-4</v>
      </c>
      <c r="G430" s="37">
        <v>2.2200000000000002</v>
      </c>
      <c r="H430">
        <v>2.84</v>
      </c>
      <c r="I430" s="37">
        <v>1.012</v>
      </c>
      <c r="J430">
        <f t="shared" si="6"/>
        <v>2.8740799999999997</v>
      </c>
    </row>
    <row r="431" spans="1:10" x14ac:dyDescent="0.3">
      <c r="A431" t="s">
        <v>3</v>
      </c>
      <c r="B431" t="s">
        <v>20</v>
      </c>
      <c r="C431" t="s">
        <v>151</v>
      </c>
      <c r="D431" s="22" t="s">
        <v>183</v>
      </c>
      <c r="E431" t="s">
        <v>59</v>
      </c>
      <c r="F431" s="1">
        <v>9.6148148148148156E-4</v>
      </c>
      <c r="G431" s="37">
        <v>2.23</v>
      </c>
      <c r="H431">
        <v>2.86</v>
      </c>
      <c r="I431" s="37">
        <v>1.012</v>
      </c>
      <c r="J431">
        <f t="shared" si="6"/>
        <v>2.89432</v>
      </c>
    </row>
    <row r="432" spans="1:10" x14ac:dyDescent="0.3">
      <c r="A432" t="s">
        <v>3</v>
      </c>
      <c r="B432" t="s">
        <v>20</v>
      </c>
      <c r="C432" t="s">
        <v>151</v>
      </c>
      <c r="D432" s="22" t="s">
        <v>183</v>
      </c>
      <c r="E432" t="s">
        <v>60</v>
      </c>
      <c r="F432" s="1">
        <v>9.6534722222222226E-4</v>
      </c>
      <c r="G432" s="37">
        <v>2.21</v>
      </c>
      <c r="H432">
        <v>2.84</v>
      </c>
      <c r="I432" s="37">
        <v>1.012</v>
      </c>
      <c r="J432">
        <f t="shared" si="6"/>
        <v>2.8740799999999997</v>
      </c>
    </row>
    <row r="433" spans="1:10" x14ac:dyDescent="0.3">
      <c r="A433" t="s">
        <v>3</v>
      </c>
      <c r="B433" t="s">
        <v>20</v>
      </c>
      <c r="C433" t="s">
        <v>151</v>
      </c>
      <c r="D433" s="22" t="s">
        <v>183</v>
      </c>
      <c r="E433" t="s">
        <v>61</v>
      </c>
      <c r="F433" s="1">
        <v>9.6818287037037033E-4</v>
      </c>
      <c r="G433" s="37">
        <v>2.19</v>
      </c>
      <c r="H433">
        <v>2.82</v>
      </c>
      <c r="I433" s="37">
        <v>1.012</v>
      </c>
      <c r="J433">
        <f t="shared" si="6"/>
        <v>2.8538399999999999</v>
      </c>
    </row>
    <row r="434" spans="1:10" x14ac:dyDescent="0.3">
      <c r="A434" t="s">
        <v>3</v>
      </c>
      <c r="B434" t="s">
        <v>20</v>
      </c>
      <c r="C434" t="s">
        <v>151</v>
      </c>
      <c r="D434" s="22" t="s">
        <v>183</v>
      </c>
      <c r="E434" t="s">
        <v>62</v>
      </c>
      <c r="F434" s="1">
        <v>9.677777777777778E-4</v>
      </c>
      <c r="G434" s="37">
        <v>2.21</v>
      </c>
      <c r="H434">
        <v>2.83</v>
      </c>
      <c r="I434" s="37">
        <v>1.012</v>
      </c>
      <c r="J434">
        <f t="shared" si="6"/>
        <v>2.8639600000000001</v>
      </c>
    </row>
    <row r="435" spans="1:10" x14ac:dyDescent="0.3">
      <c r="A435" t="s">
        <v>3</v>
      </c>
      <c r="B435" t="s">
        <v>20</v>
      </c>
      <c r="C435" t="s">
        <v>151</v>
      </c>
      <c r="D435" s="22" t="s">
        <v>183</v>
      </c>
      <c r="E435" t="s">
        <v>63</v>
      </c>
      <c r="F435" s="1">
        <v>9.7143518518518521E-4</v>
      </c>
      <c r="G435" s="37">
        <v>2.17</v>
      </c>
      <c r="H435">
        <v>2.81</v>
      </c>
      <c r="I435" s="37">
        <v>1.012</v>
      </c>
      <c r="J435">
        <f t="shared" si="6"/>
        <v>2.8437200000000002</v>
      </c>
    </row>
    <row r="436" spans="1:10" x14ac:dyDescent="0.3">
      <c r="A436" t="s">
        <v>3</v>
      </c>
      <c r="B436" t="s">
        <v>20</v>
      </c>
      <c r="C436" t="s">
        <v>151</v>
      </c>
      <c r="D436" s="22" t="s">
        <v>183</v>
      </c>
      <c r="E436" t="s">
        <v>64</v>
      </c>
      <c r="F436" s="1">
        <v>9.7248842592592591E-4</v>
      </c>
      <c r="G436" s="37">
        <v>2.17</v>
      </c>
      <c r="H436">
        <v>2.8</v>
      </c>
      <c r="I436" s="37">
        <v>1.012</v>
      </c>
      <c r="J436">
        <f t="shared" si="6"/>
        <v>2.8335999999999997</v>
      </c>
    </row>
    <row r="437" spans="1:10" x14ac:dyDescent="0.3">
      <c r="A437" t="s">
        <v>3</v>
      </c>
      <c r="B437" t="s">
        <v>20</v>
      </c>
      <c r="C437" t="s">
        <v>151</v>
      </c>
      <c r="D437" s="22" t="s">
        <v>183</v>
      </c>
      <c r="E437" t="s">
        <v>65</v>
      </c>
      <c r="F437" s="1">
        <v>9.821643518518519E-4</v>
      </c>
      <c r="G437" s="37">
        <v>2.12</v>
      </c>
      <c r="H437">
        <v>2.73</v>
      </c>
      <c r="I437" s="37">
        <v>1.012</v>
      </c>
      <c r="J437">
        <f t="shared" si="6"/>
        <v>2.7627600000000001</v>
      </c>
    </row>
    <row r="438" spans="1:10" x14ac:dyDescent="0.3">
      <c r="A438" t="s">
        <v>3</v>
      </c>
      <c r="B438" t="s">
        <v>20</v>
      </c>
      <c r="C438" t="s">
        <v>151</v>
      </c>
      <c r="D438" s="22" t="s">
        <v>183</v>
      </c>
      <c r="E438" t="s">
        <v>66</v>
      </c>
      <c r="F438" s="1">
        <v>9.8278935185185188E-4</v>
      </c>
      <c r="G438" s="37">
        <v>2.11</v>
      </c>
      <c r="H438">
        <v>2.71</v>
      </c>
      <c r="I438" s="37">
        <v>1.012</v>
      </c>
      <c r="J438">
        <f t="shared" si="6"/>
        <v>2.7425199999999998</v>
      </c>
    </row>
    <row r="439" spans="1:10" x14ac:dyDescent="0.3">
      <c r="A439" t="s">
        <v>3</v>
      </c>
      <c r="B439" t="s">
        <v>20</v>
      </c>
      <c r="C439" t="s">
        <v>151</v>
      </c>
      <c r="D439" s="22" t="s">
        <v>183</v>
      </c>
      <c r="E439" t="s">
        <v>67</v>
      </c>
      <c r="F439" s="1">
        <v>9.864004629629628E-4</v>
      </c>
      <c r="G439" s="37">
        <v>2.06</v>
      </c>
      <c r="H439">
        <v>2.66</v>
      </c>
      <c r="I439" s="37">
        <v>1.012</v>
      </c>
      <c r="J439">
        <f t="shared" si="6"/>
        <v>2.6919200000000001</v>
      </c>
    </row>
    <row r="440" spans="1:10" x14ac:dyDescent="0.3">
      <c r="A440" t="s">
        <v>3</v>
      </c>
      <c r="B440" t="s">
        <v>20</v>
      </c>
      <c r="C440" t="s">
        <v>151</v>
      </c>
      <c r="D440" s="22" t="s">
        <v>183</v>
      </c>
      <c r="E440" t="s">
        <v>68</v>
      </c>
      <c r="F440" s="1">
        <v>9.8278935185185188E-4</v>
      </c>
      <c r="G440" s="37">
        <v>2.1</v>
      </c>
      <c r="H440">
        <v>2.7</v>
      </c>
      <c r="I440" s="37">
        <v>1.012</v>
      </c>
      <c r="J440">
        <f t="shared" si="6"/>
        <v>2.7324000000000002</v>
      </c>
    </row>
    <row r="441" spans="1:10" x14ac:dyDescent="0.3">
      <c r="A441" t="s">
        <v>3</v>
      </c>
      <c r="B441" t="s">
        <v>20</v>
      </c>
      <c r="C441" t="s">
        <v>151</v>
      </c>
      <c r="D441" s="22" t="s">
        <v>183</v>
      </c>
      <c r="E441" t="s">
        <v>69</v>
      </c>
      <c r="F441" s="1">
        <v>9.8107638888888897E-4</v>
      </c>
      <c r="G441" s="37">
        <v>2.13</v>
      </c>
      <c r="H441">
        <v>2.74</v>
      </c>
      <c r="I441" s="37">
        <v>1.012</v>
      </c>
      <c r="J441">
        <f t="shared" si="6"/>
        <v>2.7728800000000002</v>
      </c>
    </row>
    <row r="442" spans="1:10" x14ac:dyDescent="0.3">
      <c r="A442" t="s">
        <v>3</v>
      </c>
      <c r="B442" t="s">
        <v>20</v>
      </c>
      <c r="C442" t="s">
        <v>151</v>
      </c>
      <c r="D442" s="22" t="s">
        <v>183</v>
      </c>
      <c r="E442" t="s">
        <v>70</v>
      </c>
      <c r="F442" s="1">
        <v>9.8502314814814806E-4</v>
      </c>
      <c r="G442" s="37">
        <v>2.12</v>
      </c>
      <c r="H442">
        <v>2.73</v>
      </c>
      <c r="I442" s="37">
        <v>1.012</v>
      </c>
      <c r="J442">
        <f t="shared" si="6"/>
        <v>2.7627600000000001</v>
      </c>
    </row>
    <row r="443" spans="1:10" x14ac:dyDescent="0.3">
      <c r="A443" t="s">
        <v>3</v>
      </c>
      <c r="B443" t="s">
        <v>20</v>
      </c>
      <c r="C443" t="s">
        <v>151</v>
      </c>
      <c r="D443" t="s">
        <v>183</v>
      </c>
      <c r="E443" t="s">
        <v>71</v>
      </c>
      <c r="F443" s="1">
        <v>9.9081018518518507E-4</v>
      </c>
      <c r="G443" s="37">
        <v>2.1</v>
      </c>
      <c r="H443">
        <v>2.7</v>
      </c>
      <c r="I443" s="37">
        <v>1.012</v>
      </c>
      <c r="J443">
        <f t="shared" si="6"/>
        <v>2.7324000000000002</v>
      </c>
    </row>
    <row r="444" spans="1:10" x14ac:dyDescent="0.3">
      <c r="A444" t="s">
        <v>3</v>
      </c>
      <c r="B444" t="s">
        <v>91</v>
      </c>
      <c r="C444" t="s">
        <v>151</v>
      </c>
      <c r="D444" t="s">
        <v>184</v>
      </c>
      <c r="E444" t="s">
        <v>9</v>
      </c>
      <c r="F444" s="1">
        <v>9.7928240740740745E-4</v>
      </c>
      <c r="G444" s="37">
        <v>2.14</v>
      </c>
      <c r="H444">
        <v>2.67</v>
      </c>
      <c r="I444" s="37">
        <v>1.032</v>
      </c>
      <c r="J444">
        <f t="shared" si="6"/>
        <v>2.7554400000000001</v>
      </c>
    </row>
    <row r="445" spans="1:10" x14ac:dyDescent="0.3">
      <c r="A445" t="s">
        <v>3</v>
      </c>
      <c r="B445" t="s">
        <v>91</v>
      </c>
      <c r="C445" t="s">
        <v>151</v>
      </c>
      <c r="D445" t="s">
        <v>184</v>
      </c>
      <c r="E445" t="s">
        <v>10</v>
      </c>
      <c r="F445" s="1">
        <v>9.7175925925925934E-4</v>
      </c>
      <c r="G445" s="37">
        <v>2.15</v>
      </c>
      <c r="H445">
        <v>2.7</v>
      </c>
      <c r="I445" s="37">
        <v>1.032</v>
      </c>
      <c r="J445">
        <f t="shared" si="6"/>
        <v>2.7864000000000004</v>
      </c>
    </row>
    <row r="446" spans="1:10" x14ac:dyDescent="0.3">
      <c r="A446" t="s">
        <v>3</v>
      </c>
      <c r="B446" t="s">
        <v>91</v>
      </c>
      <c r="C446" t="s">
        <v>151</v>
      </c>
      <c r="D446" t="s">
        <v>184</v>
      </c>
      <c r="E446" t="s">
        <v>15</v>
      </c>
      <c r="F446" s="1">
        <v>9.7245370370370367E-4</v>
      </c>
      <c r="G446" s="37">
        <v>2.09</v>
      </c>
      <c r="H446">
        <v>2.63</v>
      </c>
      <c r="I446" s="37">
        <v>1.032</v>
      </c>
      <c r="J446">
        <f t="shared" si="6"/>
        <v>2.7141600000000001</v>
      </c>
    </row>
    <row r="447" spans="1:10" x14ac:dyDescent="0.3">
      <c r="A447" t="s">
        <v>3</v>
      </c>
      <c r="B447" t="s">
        <v>91</v>
      </c>
      <c r="C447" t="s">
        <v>151</v>
      </c>
      <c r="D447" t="s">
        <v>184</v>
      </c>
      <c r="E447" t="s">
        <v>16</v>
      </c>
      <c r="F447" s="1">
        <v>9.7141203703703712E-4</v>
      </c>
      <c r="G447" s="37">
        <v>2.13</v>
      </c>
      <c r="H447">
        <v>2.68</v>
      </c>
      <c r="I447" s="37">
        <v>1.032</v>
      </c>
      <c r="J447">
        <f t="shared" si="6"/>
        <v>2.7657600000000002</v>
      </c>
    </row>
    <row r="448" spans="1:10" x14ac:dyDescent="0.3">
      <c r="A448" t="s">
        <v>3</v>
      </c>
      <c r="B448" t="s">
        <v>91</v>
      </c>
      <c r="C448" t="s">
        <v>151</v>
      </c>
      <c r="D448" t="s">
        <v>184</v>
      </c>
      <c r="E448" t="s">
        <v>17</v>
      </c>
      <c r="F448" s="1">
        <v>9.7320601851851865E-4</v>
      </c>
      <c r="G448" s="37">
        <v>2.11</v>
      </c>
      <c r="H448">
        <v>2.65</v>
      </c>
      <c r="I448" s="37">
        <v>1.032</v>
      </c>
      <c r="J448">
        <f t="shared" si="6"/>
        <v>2.7347999999999999</v>
      </c>
    </row>
    <row r="449" spans="1:10" x14ac:dyDescent="0.3">
      <c r="A449" t="s">
        <v>3</v>
      </c>
      <c r="B449" t="s">
        <v>91</v>
      </c>
      <c r="C449" t="s">
        <v>151</v>
      </c>
      <c r="D449" t="s">
        <v>184</v>
      </c>
      <c r="E449" t="s">
        <v>18</v>
      </c>
      <c r="F449" s="1">
        <v>9.7460648148148157E-4</v>
      </c>
      <c r="G449" s="37">
        <v>2.15</v>
      </c>
      <c r="H449">
        <v>2.69</v>
      </c>
      <c r="I449" s="37">
        <v>1.032</v>
      </c>
      <c r="J449">
        <f t="shared" si="6"/>
        <v>2.7760799999999999</v>
      </c>
    </row>
    <row r="450" spans="1:10" x14ac:dyDescent="0.3">
      <c r="A450" t="s">
        <v>3</v>
      </c>
      <c r="B450" t="s">
        <v>91</v>
      </c>
      <c r="C450" t="s">
        <v>151</v>
      </c>
      <c r="D450" t="s">
        <v>184</v>
      </c>
      <c r="E450" t="s">
        <v>19</v>
      </c>
      <c r="F450" s="1">
        <v>9.7592592592592588E-4</v>
      </c>
      <c r="G450" s="37">
        <v>2.14</v>
      </c>
      <c r="H450">
        <v>2.69</v>
      </c>
      <c r="I450" s="37">
        <v>1.032</v>
      </c>
      <c r="J450">
        <f t="shared" si="6"/>
        <v>2.7760799999999999</v>
      </c>
    </row>
    <row r="451" spans="1:10" x14ac:dyDescent="0.3">
      <c r="A451" t="s">
        <v>3</v>
      </c>
      <c r="B451" t="s">
        <v>91</v>
      </c>
      <c r="C451" t="s">
        <v>151</v>
      </c>
      <c r="D451" t="s">
        <v>184</v>
      </c>
      <c r="E451" t="s">
        <v>45</v>
      </c>
      <c r="F451" s="1">
        <v>9.7903935185185182E-4</v>
      </c>
      <c r="G451" s="37">
        <v>2.13</v>
      </c>
      <c r="H451">
        <v>2.67</v>
      </c>
      <c r="I451" s="37">
        <v>1.032</v>
      </c>
      <c r="J451">
        <f t="shared" si="6"/>
        <v>2.7554400000000001</v>
      </c>
    </row>
    <row r="452" spans="1:10" x14ac:dyDescent="0.3">
      <c r="A452" t="s">
        <v>3</v>
      </c>
      <c r="B452" t="s">
        <v>91</v>
      </c>
      <c r="C452" t="s">
        <v>151</v>
      </c>
      <c r="D452" t="s">
        <v>184</v>
      </c>
      <c r="E452" t="s">
        <v>46</v>
      </c>
      <c r="F452" s="1">
        <v>9.8541666666666678E-4</v>
      </c>
      <c r="G452" s="37">
        <v>2.14</v>
      </c>
      <c r="H452">
        <v>2.68</v>
      </c>
      <c r="I452" s="37">
        <v>1.032</v>
      </c>
      <c r="J452">
        <f t="shared" ref="J452:J515" si="7">H452*I452</f>
        <v>2.7657600000000002</v>
      </c>
    </row>
    <row r="453" spans="1:10" x14ac:dyDescent="0.3">
      <c r="A453" t="s">
        <v>3</v>
      </c>
      <c r="B453" t="s">
        <v>91</v>
      </c>
      <c r="C453" t="s">
        <v>151</v>
      </c>
      <c r="D453" t="s">
        <v>184</v>
      </c>
      <c r="E453" t="s">
        <v>47</v>
      </c>
      <c r="F453" s="1">
        <v>9.7824074074074068E-4</v>
      </c>
      <c r="G453" s="37">
        <v>2.15</v>
      </c>
      <c r="H453">
        <v>2.69</v>
      </c>
      <c r="I453" s="37">
        <v>1.032</v>
      </c>
      <c r="J453">
        <f t="shared" si="7"/>
        <v>2.7760799999999999</v>
      </c>
    </row>
    <row r="454" spans="1:10" x14ac:dyDescent="0.3">
      <c r="A454" t="s">
        <v>3</v>
      </c>
      <c r="B454" t="s">
        <v>91</v>
      </c>
      <c r="C454" t="s">
        <v>151</v>
      </c>
      <c r="D454" t="s">
        <v>184</v>
      </c>
      <c r="E454" t="s">
        <v>48</v>
      </c>
      <c r="F454" s="1">
        <v>9.7685185185185201E-4</v>
      </c>
      <c r="G454" s="37">
        <v>2.15</v>
      </c>
      <c r="H454">
        <v>2.7</v>
      </c>
      <c r="I454" s="37">
        <v>1.032</v>
      </c>
      <c r="J454">
        <f t="shared" si="7"/>
        <v>2.7864000000000004</v>
      </c>
    </row>
    <row r="455" spans="1:10" x14ac:dyDescent="0.3">
      <c r="A455" t="s">
        <v>3</v>
      </c>
      <c r="B455" t="s">
        <v>91</v>
      </c>
      <c r="C455" t="s">
        <v>151</v>
      </c>
      <c r="D455" t="s">
        <v>184</v>
      </c>
      <c r="E455" t="s">
        <v>49</v>
      </c>
      <c r="F455" s="1">
        <v>9.7783564814814825E-4</v>
      </c>
      <c r="G455" s="37">
        <v>2.16</v>
      </c>
      <c r="H455">
        <v>2.71</v>
      </c>
      <c r="I455" s="37">
        <v>1.032</v>
      </c>
      <c r="J455">
        <f t="shared" si="7"/>
        <v>2.7967200000000001</v>
      </c>
    </row>
    <row r="456" spans="1:10" x14ac:dyDescent="0.3">
      <c r="A456" t="s">
        <v>3</v>
      </c>
      <c r="B456" t="s">
        <v>91</v>
      </c>
      <c r="C456" t="s">
        <v>151</v>
      </c>
      <c r="D456" t="s">
        <v>184</v>
      </c>
      <c r="E456" t="s">
        <v>50</v>
      </c>
      <c r="F456" s="1">
        <v>9.7761574074074092E-4</v>
      </c>
      <c r="G456" s="37">
        <v>2.2000000000000002</v>
      </c>
      <c r="H456">
        <v>2.76</v>
      </c>
      <c r="I456" s="37">
        <v>1.032</v>
      </c>
      <c r="J456">
        <f t="shared" si="7"/>
        <v>2.8483199999999997</v>
      </c>
    </row>
    <row r="457" spans="1:10" x14ac:dyDescent="0.3">
      <c r="A457" t="s">
        <v>3</v>
      </c>
      <c r="B457" t="s">
        <v>91</v>
      </c>
      <c r="C457" t="s">
        <v>151</v>
      </c>
      <c r="D457" t="s">
        <v>184</v>
      </c>
      <c r="E457" t="s">
        <v>51</v>
      </c>
      <c r="F457" s="1">
        <v>9.7718749999999997E-4</v>
      </c>
      <c r="G457" s="37">
        <v>2.2000000000000002</v>
      </c>
      <c r="H457">
        <v>2.77</v>
      </c>
      <c r="I457" s="37">
        <v>1.032</v>
      </c>
      <c r="J457">
        <f t="shared" si="7"/>
        <v>2.8586400000000003</v>
      </c>
    </row>
    <row r="458" spans="1:10" x14ac:dyDescent="0.3">
      <c r="A458" t="s">
        <v>3</v>
      </c>
      <c r="B458" t="s">
        <v>91</v>
      </c>
      <c r="C458" t="s">
        <v>151</v>
      </c>
      <c r="D458" t="s">
        <v>184</v>
      </c>
      <c r="E458" t="s">
        <v>52</v>
      </c>
      <c r="F458" s="1">
        <v>9.7679398148148148E-4</v>
      </c>
      <c r="G458" s="37">
        <v>2.2200000000000002</v>
      </c>
      <c r="H458">
        <v>2.78</v>
      </c>
      <c r="I458" s="37">
        <v>1.032</v>
      </c>
      <c r="J458">
        <f t="shared" si="7"/>
        <v>2.86896</v>
      </c>
    </row>
    <row r="459" spans="1:10" x14ac:dyDescent="0.3">
      <c r="A459" t="s">
        <v>3</v>
      </c>
      <c r="B459" t="s">
        <v>91</v>
      </c>
      <c r="C459" t="s">
        <v>151</v>
      </c>
      <c r="D459" t="s">
        <v>184</v>
      </c>
      <c r="E459" t="s">
        <v>53</v>
      </c>
      <c r="F459" s="1">
        <v>9.7760416666666677E-4</v>
      </c>
      <c r="G459" s="37">
        <v>2.21</v>
      </c>
      <c r="H459">
        <v>2.77</v>
      </c>
      <c r="I459" s="37">
        <v>1.032</v>
      </c>
      <c r="J459">
        <f t="shared" si="7"/>
        <v>2.8586400000000003</v>
      </c>
    </row>
    <row r="460" spans="1:10" x14ac:dyDescent="0.3">
      <c r="A460" t="s">
        <v>3</v>
      </c>
      <c r="B460" t="s">
        <v>91</v>
      </c>
      <c r="C460" t="s">
        <v>151</v>
      </c>
      <c r="D460" t="s">
        <v>184</v>
      </c>
      <c r="E460" t="s">
        <v>54</v>
      </c>
      <c r="F460" s="1">
        <v>9.8020833333333337E-4</v>
      </c>
      <c r="G460" s="37">
        <v>2.2200000000000002</v>
      </c>
      <c r="H460">
        <v>2.79</v>
      </c>
      <c r="I460" s="37">
        <v>1.032</v>
      </c>
      <c r="J460">
        <f t="shared" si="7"/>
        <v>2.8792800000000001</v>
      </c>
    </row>
    <row r="461" spans="1:10" x14ac:dyDescent="0.3">
      <c r="A461" t="s">
        <v>3</v>
      </c>
      <c r="B461" t="s">
        <v>91</v>
      </c>
      <c r="C461" t="s">
        <v>151</v>
      </c>
      <c r="D461" t="s">
        <v>184</v>
      </c>
      <c r="E461" t="s">
        <v>55</v>
      </c>
      <c r="F461" s="1">
        <v>9.907407407407406E-4</v>
      </c>
      <c r="G461" s="37">
        <v>2.19</v>
      </c>
      <c r="H461">
        <v>2.76</v>
      </c>
      <c r="I461" s="37">
        <v>1.032</v>
      </c>
      <c r="J461">
        <f t="shared" si="7"/>
        <v>2.8483199999999997</v>
      </c>
    </row>
    <row r="462" spans="1:10" x14ac:dyDescent="0.3">
      <c r="A462" t="s">
        <v>3</v>
      </c>
      <c r="B462" t="s">
        <v>91</v>
      </c>
      <c r="C462" t="s">
        <v>151</v>
      </c>
      <c r="D462" t="s">
        <v>184</v>
      </c>
      <c r="E462" t="s">
        <v>56</v>
      </c>
      <c r="F462" s="1">
        <v>9.8200231481481489E-4</v>
      </c>
      <c r="G462" s="37">
        <v>2.23</v>
      </c>
      <c r="H462">
        <v>2.81</v>
      </c>
      <c r="I462" s="37">
        <v>1.032</v>
      </c>
      <c r="J462">
        <f t="shared" si="7"/>
        <v>2.8999200000000003</v>
      </c>
    </row>
    <row r="463" spans="1:10" x14ac:dyDescent="0.3">
      <c r="A463" t="s">
        <v>3</v>
      </c>
      <c r="B463" t="s">
        <v>91</v>
      </c>
      <c r="C463" t="s">
        <v>151</v>
      </c>
      <c r="D463" t="s">
        <v>184</v>
      </c>
      <c r="E463" t="s">
        <v>58</v>
      </c>
      <c r="F463" s="1">
        <v>9.584953703703703E-4</v>
      </c>
      <c r="G463" s="37">
        <v>2.2200000000000002</v>
      </c>
      <c r="H463">
        <v>2.79</v>
      </c>
      <c r="I463" s="37">
        <v>1.032</v>
      </c>
      <c r="J463">
        <f t="shared" si="7"/>
        <v>2.8792800000000001</v>
      </c>
    </row>
    <row r="464" spans="1:10" x14ac:dyDescent="0.3">
      <c r="A464" t="s">
        <v>3</v>
      </c>
      <c r="B464" t="s">
        <v>91</v>
      </c>
      <c r="C464" t="s">
        <v>151</v>
      </c>
      <c r="D464" t="s">
        <v>184</v>
      </c>
      <c r="E464" t="s">
        <v>59</v>
      </c>
      <c r="F464" s="1">
        <v>9.6210648148148154E-4</v>
      </c>
      <c r="G464" s="37">
        <v>2.23</v>
      </c>
      <c r="H464">
        <v>2.8</v>
      </c>
      <c r="I464" s="37">
        <v>1.032</v>
      </c>
      <c r="J464">
        <f t="shared" si="7"/>
        <v>2.8895999999999997</v>
      </c>
    </row>
    <row r="465" spans="1:10" x14ac:dyDescent="0.3">
      <c r="A465" t="s">
        <v>3</v>
      </c>
      <c r="B465" t="s">
        <v>91</v>
      </c>
      <c r="C465" t="s">
        <v>151</v>
      </c>
      <c r="D465" t="s">
        <v>184</v>
      </c>
      <c r="E465" t="s">
        <v>60</v>
      </c>
      <c r="F465" s="1">
        <v>9.6486111111111121E-4</v>
      </c>
      <c r="G465" s="37">
        <v>2.2400000000000002</v>
      </c>
      <c r="H465">
        <v>2.82</v>
      </c>
      <c r="I465" s="37">
        <v>1.032</v>
      </c>
      <c r="J465">
        <f t="shared" si="7"/>
        <v>2.9102399999999999</v>
      </c>
    </row>
    <row r="466" spans="1:10" x14ac:dyDescent="0.3">
      <c r="A466" t="s">
        <v>3</v>
      </c>
      <c r="B466" t="s">
        <v>91</v>
      </c>
      <c r="C466" t="s">
        <v>151</v>
      </c>
      <c r="D466" t="s">
        <v>184</v>
      </c>
      <c r="E466" t="s">
        <v>61</v>
      </c>
      <c r="F466" s="1">
        <v>9.6979166666666655E-4</v>
      </c>
      <c r="G466" s="37">
        <v>2.2200000000000002</v>
      </c>
      <c r="H466">
        <v>2.79</v>
      </c>
      <c r="I466" s="37">
        <v>1.032</v>
      </c>
      <c r="J466">
        <f t="shared" si="7"/>
        <v>2.8792800000000001</v>
      </c>
    </row>
    <row r="467" spans="1:10" x14ac:dyDescent="0.3">
      <c r="A467" t="s">
        <v>3</v>
      </c>
      <c r="B467" t="s">
        <v>91</v>
      </c>
      <c r="C467" t="s">
        <v>151</v>
      </c>
      <c r="D467" t="s">
        <v>184</v>
      </c>
      <c r="E467" t="s">
        <v>62</v>
      </c>
      <c r="F467" s="1">
        <v>9.7216435185185188E-4</v>
      </c>
      <c r="G467" s="37">
        <v>2.1800000000000002</v>
      </c>
      <c r="H467">
        <v>2.75</v>
      </c>
      <c r="I467" s="37">
        <v>1.032</v>
      </c>
      <c r="J467">
        <f t="shared" si="7"/>
        <v>2.8380000000000001</v>
      </c>
    </row>
    <row r="468" spans="1:10" x14ac:dyDescent="0.3">
      <c r="A468" t="s">
        <v>3</v>
      </c>
      <c r="B468" t="s">
        <v>91</v>
      </c>
      <c r="C468" t="s">
        <v>151</v>
      </c>
      <c r="D468" t="s">
        <v>184</v>
      </c>
      <c r="E468" t="s">
        <v>63</v>
      </c>
      <c r="F468" s="1">
        <v>9.7175925925925934E-4</v>
      </c>
      <c r="G468" s="37">
        <v>2.16</v>
      </c>
      <c r="H468">
        <v>2.72</v>
      </c>
      <c r="I468" s="37">
        <v>1.032</v>
      </c>
      <c r="J468">
        <f t="shared" si="7"/>
        <v>2.8070400000000002</v>
      </c>
    </row>
    <row r="469" spans="1:10" x14ac:dyDescent="0.3">
      <c r="A469" t="s">
        <v>3</v>
      </c>
      <c r="B469" t="s">
        <v>91</v>
      </c>
      <c r="C469" t="s">
        <v>151</v>
      </c>
      <c r="D469" t="s">
        <v>184</v>
      </c>
      <c r="E469" t="s">
        <v>64</v>
      </c>
      <c r="F469" s="1">
        <v>9.8026620370370368E-4</v>
      </c>
      <c r="G469" s="37">
        <v>2.15</v>
      </c>
      <c r="H469">
        <v>2.7</v>
      </c>
      <c r="I469" s="37">
        <v>1.032</v>
      </c>
      <c r="J469">
        <f t="shared" si="7"/>
        <v>2.7864000000000004</v>
      </c>
    </row>
    <row r="470" spans="1:10" x14ac:dyDescent="0.3">
      <c r="A470" t="s">
        <v>3</v>
      </c>
      <c r="B470" t="s">
        <v>91</v>
      </c>
      <c r="C470" t="s">
        <v>151</v>
      </c>
      <c r="D470" t="s">
        <v>184</v>
      </c>
      <c r="E470" t="s">
        <v>65</v>
      </c>
      <c r="F470" s="1">
        <v>9.8084490740740749E-4</v>
      </c>
      <c r="G470" s="37">
        <v>2.13</v>
      </c>
      <c r="H470">
        <v>2.67</v>
      </c>
      <c r="I470" s="37">
        <v>1.032</v>
      </c>
      <c r="J470">
        <f t="shared" si="7"/>
        <v>2.7554400000000001</v>
      </c>
    </row>
    <row r="471" spans="1:10" x14ac:dyDescent="0.3">
      <c r="A471" t="s">
        <v>3</v>
      </c>
      <c r="B471" t="s">
        <v>91</v>
      </c>
      <c r="C471" t="s">
        <v>151</v>
      </c>
      <c r="D471" t="s">
        <v>184</v>
      </c>
      <c r="E471" t="s">
        <v>66</v>
      </c>
      <c r="F471" s="1">
        <v>9.7876157407407395E-4</v>
      </c>
      <c r="G471" s="37">
        <v>2.14</v>
      </c>
      <c r="H471">
        <v>2.68</v>
      </c>
      <c r="I471" s="37">
        <v>1.032</v>
      </c>
      <c r="J471">
        <f t="shared" si="7"/>
        <v>2.7657600000000002</v>
      </c>
    </row>
    <row r="472" spans="1:10" x14ac:dyDescent="0.3">
      <c r="A472" t="s">
        <v>3</v>
      </c>
      <c r="B472" t="s">
        <v>91</v>
      </c>
      <c r="C472" t="s">
        <v>151</v>
      </c>
      <c r="D472" t="s">
        <v>184</v>
      </c>
      <c r="E472" t="s">
        <v>67</v>
      </c>
      <c r="F472" s="1">
        <v>9.7534722222222218E-4</v>
      </c>
      <c r="G472" s="37">
        <v>2.16</v>
      </c>
      <c r="H472">
        <v>2.72</v>
      </c>
      <c r="I472" s="37">
        <v>1.032</v>
      </c>
      <c r="J472">
        <f t="shared" si="7"/>
        <v>2.8070400000000002</v>
      </c>
    </row>
    <row r="473" spans="1:10" x14ac:dyDescent="0.3">
      <c r="A473" t="s">
        <v>3</v>
      </c>
      <c r="B473" t="s">
        <v>91</v>
      </c>
      <c r="C473" t="s">
        <v>151</v>
      </c>
      <c r="D473" t="s">
        <v>184</v>
      </c>
      <c r="E473" t="s">
        <v>68</v>
      </c>
      <c r="F473" s="1">
        <v>9.7326388888888896E-4</v>
      </c>
      <c r="G473" s="37">
        <v>2.2000000000000002</v>
      </c>
      <c r="H473">
        <v>2.78</v>
      </c>
      <c r="I473" s="37">
        <v>1.032</v>
      </c>
      <c r="J473">
        <f t="shared" si="7"/>
        <v>2.86896</v>
      </c>
    </row>
    <row r="474" spans="1:10" x14ac:dyDescent="0.3">
      <c r="A474" t="s">
        <v>3</v>
      </c>
      <c r="B474" t="s">
        <v>91</v>
      </c>
      <c r="C474" t="s">
        <v>151</v>
      </c>
      <c r="D474" t="s">
        <v>184</v>
      </c>
      <c r="E474" t="s">
        <v>69</v>
      </c>
      <c r="F474" s="1">
        <v>9.745370370370371E-4</v>
      </c>
      <c r="G474" s="37">
        <v>2.21</v>
      </c>
      <c r="H474">
        <v>2.77</v>
      </c>
      <c r="I474" s="37">
        <v>1.032</v>
      </c>
      <c r="J474">
        <f t="shared" si="7"/>
        <v>2.8586400000000003</v>
      </c>
    </row>
    <row r="475" spans="1:10" x14ac:dyDescent="0.3">
      <c r="A475" t="s">
        <v>3</v>
      </c>
      <c r="B475" t="s">
        <v>91</v>
      </c>
      <c r="C475" t="s">
        <v>151</v>
      </c>
      <c r="D475" t="s">
        <v>184</v>
      </c>
      <c r="E475" t="s">
        <v>70</v>
      </c>
      <c r="F475" s="1">
        <v>9.7592592592592588E-4</v>
      </c>
      <c r="G475" s="37">
        <v>2.21</v>
      </c>
      <c r="H475">
        <v>2.8</v>
      </c>
      <c r="I475" s="37">
        <v>1.032</v>
      </c>
      <c r="J475">
        <f t="shared" si="7"/>
        <v>2.8895999999999997</v>
      </c>
    </row>
    <row r="476" spans="1:10" x14ac:dyDescent="0.3">
      <c r="A476" t="s">
        <v>3</v>
      </c>
      <c r="B476" t="s">
        <v>91</v>
      </c>
      <c r="C476" t="s">
        <v>151</v>
      </c>
      <c r="D476" s="22" t="s">
        <v>184</v>
      </c>
      <c r="E476" t="s">
        <v>71</v>
      </c>
      <c r="F476" s="1">
        <v>9.7748842592592592E-4</v>
      </c>
      <c r="G476" s="37">
        <v>2.2000000000000002</v>
      </c>
      <c r="H476">
        <v>2.78</v>
      </c>
      <c r="I476" s="37">
        <v>1.032</v>
      </c>
      <c r="J476">
        <f t="shared" si="7"/>
        <v>2.86896</v>
      </c>
    </row>
    <row r="477" spans="1:10" x14ac:dyDescent="0.3">
      <c r="A477" t="s">
        <v>3</v>
      </c>
      <c r="B477" t="s">
        <v>83</v>
      </c>
      <c r="C477" t="s">
        <v>151</v>
      </c>
      <c r="D477" s="22" t="s">
        <v>185</v>
      </c>
      <c r="E477" t="s">
        <v>9</v>
      </c>
      <c r="F477" s="1">
        <v>9.7732638888888891E-4</v>
      </c>
      <c r="G477" s="37">
        <v>2.06</v>
      </c>
      <c r="H477">
        <v>2.66</v>
      </c>
      <c r="I477" s="37">
        <v>1.0069999999999999</v>
      </c>
      <c r="J477">
        <f t="shared" si="7"/>
        <v>2.67862</v>
      </c>
    </row>
    <row r="478" spans="1:10" x14ac:dyDescent="0.3">
      <c r="A478" t="s">
        <v>3</v>
      </c>
      <c r="B478" t="s">
        <v>83</v>
      </c>
      <c r="C478" t="s">
        <v>151</v>
      </c>
      <c r="D478" s="22" t="s">
        <v>185</v>
      </c>
      <c r="E478" t="s">
        <v>10</v>
      </c>
      <c r="F478" s="1">
        <v>9.7708333333333328E-4</v>
      </c>
      <c r="G478" s="37">
        <v>2.08</v>
      </c>
      <c r="H478">
        <v>2.68</v>
      </c>
      <c r="I478" s="37">
        <v>1.0069999999999999</v>
      </c>
      <c r="J478">
        <f t="shared" si="7"/>
        <v>2.69876</v>
      </c>
    </row>
    <row r="479" spans="1:10" x14ac:dyDescent="0.3">
      <c r="A479" t="s">
        <v>3</v>
      </c>
      <c r="B479" t="s">
        <v>83</v>
      </c>
      <c r="C479" t="s">
        <v>151</v>
      </c>
      <c r="D479" s="22" t="s">
        <v>185</v>
      </c>
      <c r="E479" t="s">
        <v>15</v>
      </c>
      <c r="F479" s="1">
        <v>9.6945601851851847E-4</v>
      </c>
      <c r="G479" s="37">
        <v>2.13</v>
      </c>
      <c r="H479">
        <v>2.72</v>
      </c>
      <c r="I479" s="37">
        <v>1.0069999999999999</v>
      </c>
      <c r="J479">
        <f t="shared" si="7"/>
        <v>2.7390399999999997</v>
      </c>
    </row>
    <row r="480" spans="1:10" x14ac:dyDescent="0.3">
      <c r="A480" t="s">
        <v>3</v>
      </c>
      <c r="B480" t="s">
        <v>83</v>
      </c>
      <c r="C480" t="s">
        <v>151</v>
      </c>
      <c r="D480" s="22" t="s">
        <v>185</v>
      </c>
      <c r="E480" t="s">
        <v>16</v>
      </c>
      <c r="F480" s="1">
        <v>9.6714120370370378E-4</v>
      </c>
      <c r="G480" s="37">
        <v>2.12</v>
      </c>
      <c r="H480">
        <v>2.72</v>
      </c>
      <c r="I480" s="37">
        <v>1.0069999999999999</v>
      </c>
      <c r="J480">
        <f t="shared" si="7"/>
        <v>2.7390399999999997</v>
      </c>
    </row>
    <row r="481" spans="1:10" x14ac:dyDescent="0.3">
      <c r="A481" t="s">
        <v>3</v>
      </c>
      <c r="B481" t="s">
        <v>83</v>
      </c>
      <c r="C481" t="s">
        <v>151</v>
      </c>
      <c r="D481" s="22" t="s">
        <v>185</v>
      </c>
      <c r="E481" t="s">
        <v>17</v>
      </c>
      <c r="F481" s="1">
        <v>9.6997685185185186E-4</v>
      </c>
      <c r="G481" s="37">
        <v>2.1</v>
      </c>
      <c r="H481">
        <v>2.7</v>
      </c>
      <c r="I481" s="37">
        <v>1.0069999999999999</v>
      </c>
      <c r="J481">
        <f t="shared" si="7"/>
        <v>2.7189000000000001</v>
      </c>
    </row>
    <row r="482" spans="1:10" x14ac:dyDescent="0.3">
      <c r="A482" t="s">
        <v>3</v>
      </c>
      <c r="B482" t="s">
        <v>83</v>
      </c>
      <c r="C482" t="s">
        <v>151</v>
      </c>
      <c r="D482" s="22" t="s">
        <v>185</v>
      </c>
      <c r="E482" t="s">
        <v>18</v>
      </c>
      <c r="F482" s="1">
        <v>9.7120370370370373E-4</v>
      </c>
      <c r="G482" s="37">
        <v>2.11</v>
      </c>
      <c r="H482">
        <v>2.72</v>
      </c>
      <c r="I482" s="37">
        <v>1.0069999999999999</v>
      </c>
      <c r="J482">
        <f t="shared" si="7"/>
        <v>2.7390399999999997</v>
      </c>
    </row>
    <row r="483" spans="1:10" x14ac:dyDescent="0.3">
      <c r="A483" t="s">
        <v>3</v>
      </c>
      <c r="B483" t="s">
        <v>83</v>
      </c>
      <c r="C483" t="s">
        <v>151</v>
      </c>
      <c r="D483" s="22" t="s">
        <v>185</v>
      </c>
      <c r="E483" t="s">
        <v>19</v>
      </c>
      <c r="F483" s="1">
        <v>9.6905092592592594E-4</v>
      </c>
      <c r="G483" s="37">
        <v>2.16</v>
      </c>
      <c r="H483">
        <v>2.78</v>
      </c>
      <c r="I483" s="37">
        <v>1.0069999999999999</v>
      </c>
      <c r="J483">
        <f t="shared" si="7"/>
        <v>2.7994599999999994</v>
      </c>
    </row>
    <row r="484" spans="1:10" x14ac:dyDescent="0.3">
      <c r="A484" t="s">
        <v>3</v>
      </c>
      <c r="B484" t="s">
        <v>83</v>
      </c>
      <c r="C484" t="s">
        <v>151</v>
      </c>
      <c r="D484" s="22" t="s">
        <v>185</v>
      </c>
      <c r="E484" t="s">
        <v>45</v>
      </c>
      <c r="F484" s="1">
        <v>9.7259259259259261E-4</v>
      </c>
      <c r="G484" s="37">
        <v>2.12</v>
      </c>
      <c r="H484">
        <v>2.73</v>
      </c>
      <c r="I484" s="37">
        <v>1.0069999999999999</v>
      </c>
      <c r="J484">
        <f t="shared" si="7"/>
        <v>2.7491099999999995</v>
      </c>
    </row>
    <row r="485" spans="1:10" x14ac:dyDescent="0.3">
      <c r="A485" t="s">
        <v>3</v>
      </c>
      <c r="B485" t="s">
        <v>83</v>
      </c>
      <c r="C485" t="s">
        <v>151</v>
      </c>
      <c r="D485" s="22" t="s">
        <v>185</v>
      </c>
      <c r="E485" t="s">
        <v>46</v>
      </c>
      <c r="F485" s="1">
        <v>9.7037037037037046E-4</v>
      </c>
      <c r="G485" s="37">
        <v>2.14</v>
      </c>
      <c r="H485">
        <v>2.76</v>
      </c>
      <c r="I485" s="37">
        <v>1.0069999999999999</v>
      </c>
      <c r="J485">
        <f t="shared" si="7"/>
        <v>2.7793199999999993</v>
      </c>
    </row>
    <row r="486" spans="1:10" x14ac:dyDescent="0.3">
      <c r="A486" t="s">
        <v>3</v>
      </c>
      <c r="B486" t="s">
        <v>83</v>
      </c>
      <c r="C486" t="s">
        <v>151</v>
      </c>
      <c r="D486" s="22" t="s">
        <v>185</v>
      </c>
      <c r="E486" t="s">
        <v>47</v>
      </c>
      <c r="F486" s="1">
        <v>9.6673611111111103E-4</v>
      </c>
      <c r="G486" s="37">
        <v>2.16</v>
      </c>
      <c r="H486">
        <v>2.79</v>
      </c>
      <c r="I486" s="37">
        <v>1.0069999999999999</v>
      </c>
      <c r="J486">
        <f t="shared" si="7"/>
        <v>2.8095299999999996</v>
      </c>
    </row>
    <row r="487" spans="1:10" x14ac:dyDescent="0.3">
      <c r="A487" t="s">
        <v>3</v>
      </c>
      <c r="B487" t="s">
        <v>83</v>
      </c>
      <c r="C487" t="s">
        <v>151</v>
      </c>
      <c r="D487" s="22" t="s">
        <v>185</v>
      </c>
      <c r="E487" t="s">
        <v>48</v>
      </c>
      <c r="F487" s="1">
        <v>9.7261574074074069E-4</v>
      </c>
      <c r="G487" s="37">
        <v>2.13</v>
      </c>
      <c r="H487">
        <v>2.74</v>
      </c>
      <c r="I487" s="37">
        <v>1.0069999999999999</v>
      </c>
      <c r="J487">
        <f t="shared" si="7"/>
        <v>2.7591799999999997</v>
      </c>
    </row>
    <row r="488" spans="1:10" x14ac:dyDescent="0.3">
      <c r="A488" t="s">
        <v>3</v>
      </c>
      <c r="B488" t="s">
        <v>83</v>
      </c>
      <c r="C488" t="s">
        <v>151</v>
      </c>
      <c r="D488" s="22" t="s">
        <v>185</v>
      </c>
      <c r="E488" t="s">
        <v>49</v>
      </c>
      <c r="F488" s="1">
        <v>9.7491898148148156E-4</v>
      </c>
      <c r="G488" s="37">
        <v>2.13</v>
      </c>
      <c r="H488">
        <v>2.74</v>
      </c>
      <c r="I488" s="37">
        <v>1.0069999999999999</v>
      </c>
      <c r="J488">
        <f t="shared" si="7"/>
        <v>2.7591799999999997</v>
      </c>
    </row>
    <row r="489" spans="1:10" x14ac:dyDescent="0.3">
      <c r="A489" t="s">
        <v>3</v>
      </c>
      <c r="B489" t="s">
        <v>83</v>
      </c>
      <c r="C489" t="s">
        <v>151</v>
      </c>
      <c r="D489" s="22" t="s">
        <v>185</v>
      </c>
      <c r="E489" t="s">
        <v>50</v>
      </c>
      <c r="F489" s="1">
        <v>9.7368055555555565E-4</v>
      </c>
      <c r="G489" s="37">
        <v>2.14</v>
      </c>
      <c r="H489">
        <v>2.76</v>
      </c>
      <c r="I489" s="37">
        <v>1.0069999999999999</v>
      </c>
      <c r="J489">
        <f t="shared" si="7"/>
        <v>2.7793199999999993</v>
      </c>
    </row>
    <row r="490" spans="1:10" x14ac:dyDescent="0.3">
      <c r="A490" t="s">
        <v>3</v>
      </c>
      <c r="B490" t="s">
        <v>83</v>
      </c>
      <c r="C490" t="s">
        <v>151</v>
      </c>
      <c r="D490" s="22" t="s">
        <v>185</v>
      </c>
      <c r="E490" t="s">
        <v>51</v>
      </c>
      <c r="F490" s="1">
        <v>9.7258101851851856E-4</v>
      </c>
      <c r="G490" s="37">
        <v>2.14</v>
      </c>
      <c r="H490">
        <v>2.75</v>
      </c>
      <c r="I490" s="37">
        <v>1.0069999999999999</v>
      </c>
      <c r="J490">
        <f t="shared" si="7"/>
        <v>2.7692499999999995</v>
      </c>
    </row>
    <row r="491" spans="1:10" x14ac:dyDescent="0.3">
      <c r="A491" t="s">
        <v>3</v>
      </c>
      <c r="B491" t="s">
        <v>83</v>
      </c>
      <c r="C491" t="s">
        <v>151</v>
      </c>
      <c r="D491" s="22" t="s">
        <v>185</v>
      </c>
      <c r="E491" t="s">
        <v>52</v>
      </c>
      <c r="F491" s="1">
        <v>9.741435185185185E-4</v>
      </c>
      <c r="G491" s="37">
        <v>2.12</v>
      </c>
      <c r="H491">
        <v>2.72</v>
      </c>
      <c r="I491" s="37">
        <v>1.0069999999999999</v>
      </c>
      <c r="J491">
        <f t="shared" si="7"/>
        <v>2.7390399999999997</v>
      </c>
    </row>
    <row r="492" spans="1:10" x14ac:dyDescent="0.3">
      <c r="A492" t="s">
        <v>3</v>
      </c>
      <c r="B492" t="s">
        <v>83</v>
      </c>
      <c r="C492" t="s">
        <v>151</v>
      </c>
      <c r="D492" s="22" t="s">
        <v>185</v>
      </c>
      <c r="E492" t="s">
        <v>54</v>
      </c>
      <c r="F492" s="1">
        <v>9.6222222222222217E-4</v>
      </c>
      <c r="G492" s="37">
        <v>2.14</v>
      </c>
      <c r="H492">
        <v>2.77</v>
      </c>
      <c r="I492" s="37">
        <v>1.0069999999999999</v>
      </c>
      <c r="J492">
        <f t="shared" si="7"/>
        <v>2.7893899999999996</v>
      </c>
    </row>
    <row r="493" spans="1:10" x14ac:dyDescent="0.3">
      <c r="A493" t="s">
        <v>3</v>
      </c>
      <c r="B493" t="s">
        <v>83</v>
      </c>
      <c r="C493" t="s">
        <v>151</v>
      </c>
      <c r="D493" s="22" t="s">
        <v>185</v>
      </c>
      <c r="E493" t="s">
        <v>55</v>
      </c>
      <c r="F493" s="1">
        <v>9.6223379629629632E-4</v>
      </c>
      <c r="G493" s="37">
        <v>2.14</v>
      </c>
      <c r="H493">
        <v>2.76</v>
      </c>
      <c r="I493" s="37">
        <v>1.0069999999999999</v>
      </c>
      <c r="J493">
        <f t="shared" si="7"/>
        <v>2.7793199999999993</v>
      </c>
    </row>
    <row r="494" spans="1:10" x14ac:dyDescent="0.3">
      <c r="A494" t="s">
        <v>3</v>
      </c>
      <c r="B494" t="s">
        <v>83</v>
      </c>
      <c r="C494" t="s">
        <v>151</v>
      </c>
      <c r="D494" s="22" t="s">
        <v>185</v>
      </c>
      <c r="E494" t="s">
        <v>56</v>
      </c>
      <c r="F494" s="1">
        <v>9.6221064814814823E-4</v>
      </c>
      <c r="G494" s="37">
        <v>2.13</v>
      </c>
      <c r="H494">
        <v>2.76</v>
      </c>
      <c r="I494" s="37">
        <v>1.0069999999999999</v>
      </c>
      <c r="J494">
        <f t="shared" si="7"/>
        <v>2.7793199999999993</v>
      </c>
    </row>
    <row r="495" spans="1:10" x14ac:dyDescent="0.3">
      <c r="A495" t="s">
        <v>3</v>
      </c>
      <c r="B495" t="s">
        <v>83</v>
      </c>
      <c r="C495" t="s">
        <v>151</v>
      </c>
      <c r="D495" s="22" t="s">
        <v>185</v>
      </c>
      <c r="E495" t="s">
        <v>57</v>
      </c>
      <c r="F495" s="1">
        <v>9.6142361111111125E-4</v>
      </c>
      <c r="G495" s="37">
        <v>2.15</v>
      </c>
      <c r="H495">
        <v>2.77</v>
      </c>
      <c r="I495" s="37">
        <v>1.0069999999999999</v>
      </c>
      <c r="J495">
        <f t="shared" si="7"/>
        <v>2.7893899999999996</v>
      </c>
    </row>
    <row r="496" spans="1:10" x14ac:dyDescent="0.3">
      <c r="A496" t="s">
        <v>3</v>
      </c>
      <c r="B496" t="s">
        <v>83</v>
      </c>
      <c r="C496" t="s">
        <v>151</v>
      </c>
      <c r="D496" s="22" t="s">
        <v>185</v>
      </c>
      <c r="E496" t="s">
        <v>58</v>
      </c>
      <c r="F496" s="1">
        <v>9.6239583333333333E-4</v>
      </c>
      <c r="G496" s="37">
        <v>2.12</v>
      </c>
      <c r="H496">
        <v>2.74</v>
      </c>
      <c r="I496" s="37">
        <v>1.0069999999999999</v>
      </c>
      <c r="J496">
        <f t="shared" si="7"/>
        <v>2.7591799999999997</v>
      </c>
    </row>
    <row r="497" spans="1:10" x14ac:dyDescent="0.3">
      <c r="A497" t="s">
        <v>3</v>
      </c>
      <c r="B497" t="s">
        <v>83</v>
      </c>
      <c r="C497" t="s">
        <v>151</v>
      </c>
      <c r="D497" s="22" t="s">
        <v>185</v>
      </c>
      <c r="E497" t="s">
        <v>72</v>
      </c>
      <c r="F497" s="1">
        <v>9.7230324074074081E-4</v>
      </c>
      <c r="G497" s="37">
        <v>2.12</v>
      </c>
      <c r="H497">
        <v>2.72</v>
      </c>
      <c r="I497" s="37">
        <v>1.0069999999999999</v>
      </c>
      <c r="J497">
        <f t="shared" si="7"/>
        <v>2.7390399999999997</v>
      </c>
    </row>
    <row r="498" spans="1:10" x14ac:dyDescent="0.3">
      <c r="A498" t="s">
        <v>3</v>
      </c>
      <c r="B498" t="s">
        <v>83</v>
      </c>
      <c r="C498" t="s">
        <v>151</v>
      </c>
      <c r="D498" s="22" t="s">
        <v>185</v>
      </c>
      <c r="E498" t="s">
        <v>59</v>
      </c>
      <c r="F498" s="1">
        <v>9.7238425925925921E-4</v>
      </c>
      <c r="G498" s="37">
        <v>2.1</v>
      </c>
      <c r="H498">
        <v>2.71</v>
      </c>
      <c r="I498" s="37">
        <v>1.0069999999999999</v>
      </c>
      <c r="J498">
        <f t="shared" si="7"/>
        <v>2.7289699999999999</v>
      </c>
    </row>
    <row r="499" spans="1:10" x14ac:dyDescent="0.3">
      <c r="A499" t="s">
        <v>3</v>
      </c>
      <c r="B499" t="s">
        <v>83</v>
      </c>
      <c r="C499" t="s">
        <v>151</v>
      </c>
      <c r="D499" s="22" t="s">
        <v>185</v>
      </c>
      <c r="E499" t="s">
        <v>60</v>
      </c>
      <c r="F499" s="1">
        <v>9.740393518518518E-4</v>
      </c>
      <c r="G499" s="37">
        <v>2.0699999999999998</v>
      </c>
      <c r="H499">
        <v>2.67</v>
      </c>
      <c r="I499" s="37">
        <v>1.0069999999999999</v>
      </c>
      <c r="J499">
        <f t="shared" si="7"/>
        <v>2.6886899999999998</v>
      </c>
    </row>
    <row r="500" spans="1:10" x14ac:dyDescent="0.3">
      <c r="A500" t="s">
        <v>3</v>
      </c>
      <c r="B500" t="s">
        <v>83</v>
      </c>
      <c r="C500" t="s">
        <v>151</v>
      </c>
      <c r="D500" s="22" t="s">
        <v>185</v>
      </c>
      <c r="E500" t="s">
        <v>61</v>
      </c>
      <c r="F500" s="1">
        <v>9.7339120370370374E-4</v>
      </c>
      <c r="G500" s="37">
        <v>2.08</v>
      </c>
      <c r="H500">
        <v>2.69</v>
      </c>
      <c r="I500" s="37">
        <v>1.0069999999999999</v>
      </c>
      <c r="J500">
        <f t="shared" si="7"/>
        <v>2.7088299999999998</v>
      </c>
    </row>
    <row r="501" spans="1:10" x14ac:dyDescent="0.3">
      <c r="A501" t="s">
        <v>3</v>
      </c>
      <c r="B501" t="s">
        <v>83</v>
      </c>
      <c r="C501" t="s">
        <v>151</v>
      </c>
      <c r="D501" s="22" t="s">
        <v>185</v>
      </c>
      <c r="E501" t="s">
        <v>62</v>
      </c>
      <c r="F501" s="1">
        <v>9.7223379629629634E-4</v>
      </c>
      <c r="G501" s="37">
        <v>2.09</v>
      </c>
      <c r="H501">
        <v>2.71</v>
      </c>
      <c r="I501" s="37">
        <v>1.0069999999999999</v>
      </c>
      <c r="J501">
        <f t="shared" si="7"/>
        <v>2.7289699999999999</v>
      </c>
    </row>
    <row r="502" spans="1:10" x14ac:dyDescent="0.3">
      <c r="A502" t="s">
        <v>3</v>
      </c>
      <c r="B502" t="s">
        <v>83</v>
      </c>
      <c r="C502" t="s">
        <v>151</v>
      </c>
      <c r="D502" s="22" t="s">
        <v>185</v>
      </c>
      <c r="E502" t="s">
        <v>63</v>
      </c>
      <c r="F502" s="1">
        <v>9.7646990740740745E-4</v>
      </c>
      <c r="G502" s="37">
        <v>2.0299999999999998</v>
      </c>
      <c r="H502">
        <v>2.64</v>
      </c>
      <c r="I502" s="37">
        <v>1.0069999999999999</v>
      </c>
      <c r="J502">
        <f t="shared" si="7"/>
        <v>2.65848</v>
      </c>
    </row>
    <row r="503" spans="1:10" x14ac:dyDescent="0.3">
      <c r="A503" t="s">
        <v>3</v>
      </c>
      <c r="B503" t="s">
        <v>83</v>
      </c>
      <c r="C503" t="s">
        <v>151</v>
      </c>
      <c r="D503" s="22" t="s">
        <v>185</v>
      </c>
      <c r="E503" t="s">
        <v>64</v>
      </c>
      <c r="F503" s="1">
        <v>9.7355324074074065E-4</v>
      </c>
      <c r="G503" s="37">
        <v>2.06</v>
      </c>
      <c r="H503">
        <v>2.68</v>
      </c>
      <c r="I503" s="37">
        <v>1.0069999999999999</v>
      </c>
      <c r="J503">
        <f t="shared" si="7"/>
        <v>2.69876</v>
      </c>
    </row>
    <row r="504" spans="1:10" x14ac:dyDescent="0.3">
      <c r="A504" t="s">
        <v>3</v>
      </c>
      <c r="B504" t="s">
        <v>83</v>
      </c>
      <c r="C504" t="s">
        <v>151</v>
      </c>
      <c r="D504" s="22" t="s">
        <v>185</v>
      </c>
      <c r="E504" t="s">
        <v>65</v>
      </c>
      <c r="F504" s="1">
        <v>9.8201388888888882E-4</v>
      </c>
      <c r="G504" s="37">
        <v>2.04</v>
      </c>
      <c r="H504">
        <v>2.64</v>
      </c>
      <c r="I504" s="37">
        <v>1.0069999999999999</v>
      </c>
      <c r="J504">
        <f t="shared" si="7"/>
        <v>2.65848</v>
      </c>
    </row>
    <row r="505" spans="1:10" x14ac:dyDescent="0.3">
      <c r="A505" t="s">
        <v>3</v>
      </c>
      <c r="B505" t="s">
        <v>83</v>
      </c>
      <c r="C505" t="s">
        <v>151</v>
      </c>
      <c r="D505" s="22" t="s">
        <v>185</v>
      </c>
      <c r="E505" t="s">
        <v>66</v>
      </c>
      <c r="F505" s="1">
        <v>9.9752314814814821E-4</v>
      </c>
      <c r="G505" s="37">
        <v>2.0299999999999998</v>
      </c>
      <c r="H505">
        <v>2.63</v>
      </c>
      <c r="I505" s="37">
        <v>1.0069999999999999</v>
      </c>
      <c r="J505">
        <f t="shared" si="7"/>
        <v>2.6484099999999997</v>
      </c>
    </row>
    <row r="506" spans="1:10" x14ac:dyDescent="0.3">
      <c r="A506" t="s">
        <v>3</v>
      </c>
      <c r="B506" t="s">
        <v>83</v>
      </c>
      <c r="C506" t="s">
        <v>151</v>
      </c>
      <c r="D506" s="22" t="s">
        <v>185</v>
      </c>
      <c r="E506" t="s">
        <v>67</v>
      </c>
      <c r="F506" s="1">
        <v>1.0002546296296296E-3</v>
      </c>
      <c r="G506" s="37">
        <v>2.04</v>
      </c>
      <c r="H506">
        <v>2.64</v>
      </c>
      <c r="I506" s="37">
        <v>1.0069999999999999</v>
      </c>
      <c r="J506">
        <f t="shared" si="7"/>
        <v>2.65848</v>
      </c>
    </row>
    <row r="507" spans="1:10" x14ac:dyDescent="0.3">
      <c r="A507" t="s">
        <v>3</v>
      </c>
      <c r="B507" t="s">
        <v>83</v>
      </c>
      <c r="C507" t="s">
        <v>151</v>
      </c>
      <c r="D507" s="22" t="s">
        <v>185</v>
      </c>
      <c r="E507" t="s">
        <v>68</v>
      </c>
      <c r="F507" s="1">
        <v>9.8626157407407408E-4</v>
      </c>
      <c r="G507" s="37">
        <v>2.02</v>
      </c>
      <c r="H507">
        <v>2.62</v>
      </c>
      <c r="I507" s="37">
        <v>1.0069999999999999</v>
      </c>
      <c r="J507">
        <f t="shared" si="7"/>
        <v>2.6383399999999999</v>
      </c>
    </row>
    <row r="508" spans="1:10" x14ac:dyDescent="0.3">
      <c r="A508" t="s">
        <v>3</v>
      </c>
      <c r="B508" t="s">
        <v>83</v>
      </c>
      <c r="C508" t="s">
        <v>151</v>
      </c>
      <c r="D508" s="22" t="s">
        <v>185</v>
      </c>
      <c r="E508" t="s">
        <v>69</v>
      </c>
      <c r="F508" s="1">
        <v>9.8313657407407399E-4</v>
      </c>
      <c r="G508" s="37">
        <v>2.09</v>
      </c>
      <c r="H508">
        <v>2.72</v>
      </c>
      <c r="I508" s="37">
        <v>1.0069999999999999</v>
      </c>
      <c r="J508">
        <f t="shared" si="7"/>
        <v>2.7390399999999997</v>
      </c>
    </row>
    <row r="509" spans="1:10" x14ac:dyDescent="0.3">
      <c r="A509" t="s">
        <v>3</v>
      </c>
      <c r="B509" t="s">
        <v>83</v>
      </c>
      <c r="C509" t="s">
        <v>151</v>
      </c>
      <c r="D509" t="s">
        <v>185</v>
      </c>
      <c r="E509" t="s">
        <v>70</v>
      </c>
      <c r="F509" s="1">
        <v>9.9768518518518522E-4</v>
      </c>
      <c r="G509" s="37">
        <v>2.09</v>
      </c>
      <c r="H509">
        <v>2.7</v>
      </c>
      <c r="I509" s="37">
        <v>1.0069999999999999</v>
      </c>
      <c r="J509">
        <f t="shared" si="7"/>
        <v>2.7189000000000001</v>
      </c>
    </row>
    <row r="510" spans="1:10" x14ac:dyDescent="0.3">
      <c r="A510" t="s">
        <v>3</v>
      </c>
      <c r="B510" t="s">
        <v>83</v>
      </c>
      <c r="C510" t="s">
        <v>151</v>
      </c>
      <c r="D510" t="s">
        <v>185</v>
      </c>
      <c r="E510" t="s">
        <v>71</v>
      </c>
      <c r="F510" s="1">
        <v>9.9087962962962953E-4</v>
      </c>
      <c r="G510" s="37">
        <v>2.09</v>
      </c>
      <c r="H510">
        <v>2.7</v>
      </c>
      <c r="I510" s="37">
        <v>1.0069999999999999</v>
      </c>
      <c r="J510">
        <f t="shared" si="7"/>
        <v>2.7189000000000001</v>
      </c>
    </row>
    <row r="511" spans="1:10" x14ac:dyDescent="0.3">
      <c r="A511" t="s">
        <v>3</v>
      </c>
      <c r="B511" t="s">
        <v>13</v>
      </c>
      <c r="C511" t="s">
        <v>151</v>
      </c>
      <c r="D511" s="22" t="s">
        <v>186</v>
      </c>
      <c r="E511" t="s">
        <v>9</v>
      </c>
      <c r="F511" s="1">
        <v>9.7708333333333328E-4</v>
      </c>
      <c r="G511" s="37">
        <v>2.1</v>
      </c>
      <c r="H511">
        <v>2.71</v>
      </c>
      <c r="I511" s="37">
        <v>1</v>
      </c>
      <c r="J511">
        <f t="shared" si="7"/>
        <v>2.71</v>
      </c>
    </row>
    <row r="512" spans="1:10" x14ac:dyDescent="0.3">
      <c r="A512" t="s">
        <v>3</v>
      </c>
      <c r="B512" t="s">
        <v>13</v>
      </c>
      <c r="C512" t="s">
        <v>151</v>
      </c>
      <c r="D512" s="22" t="s">
        <v>186</v>
      </c>
      <c r="E512" t="s">
        <v>10</v>
      </c>
      <c r="F512" s="1">
        <v>9.7303240740740737E-4</v>
      </c>
      <c r="G512" s="37">
        <v>2.12</v>
      </c>
      <c r="H512">
        <v>2.74</v>
      </c>
      <c r="I512" s="37">
        <v>1</v>
      </c>
      <c r="J512">
        <f t="shared" si="7"/>
        <v>2.74</v>
      </c>
    </row>
    <row r="513" spans="1:10" x14ac:dyDescent="0.3">
      <c r="A513" t="s">
        <v>3</v>
      </c>
      <c r="B513" t="s">
        <v>13</v>
      </c>
      <c r="C513" t="s">
        <v>151</v>
      </c>
      <c r="D513" s="22" t="s">
        <v>186</v>
      </c>
      <c r="E513" t="s">
        <v>15</v>
      </c>
      <c r="F513" s="1">
        <v>9.7101851851851852E-4</v>
      </c>
      <c r="G513" s="37">
        <v>2.12</v>
      </c>
      <c r="H513">
        <v>2.74</v>
      </c>
      <c r="I513" s="37">
        <v>1</v>
      </c>
      <c r="J513">
        <f t="shared" si="7"/>
        <v>2.74</v>
      </c>
    </row>
    <row r="514" spans="1:10" x14ac:dyDescent="0.3">
      <c r="A514" t="s">
        <v>3</v>
      </c>
      <c r="B514" t="s">
        <v>13</v>
      </c>
      <c r="C514" t="s">
        <v>151</v>
      </c>
      <c r="D514" s="22" t="s">
        <v>186</v>
      </c>
      <c r="E514" t="s">
        <v>16</v>
      </c>
      <c r="F514" s="1">
        <v>9.7181712962962966E-4</v>
      </c>
      <c r="G514" s="37">
        <v>2.11</v>
      </c>
      <c r="H514">
        <v>2.74</v>
      </c>
      <c r="I514" s="37">
        <v>1</v>
      </c>
      <c r="J514">
        <f t="shared" si="7"/>
        <v>2.74</v>
      </c>
    </row>
    <row r="515" spans="1:10" x14ac:dyDescent="0.3">
      <c r="A515" t="s">
        <v>3</v>
      </c>
      <c r="B515" t="s">
        <v>13</v>
      </c>
      <c r="C515" t="s">
        <v>151</v>
      </c>
      <c r="D515" s="22" t="s">
        <v>186</v>
      </c>
      <c r="E515" t="s">
        <v>17</v>
      </c>
      <c r="F515" s="1">
        <v>9.7935185185185191E-4</v>
      </c>
      <c r="G515" s="37">
        <v>2.06</v>
      </c>
      <c r="H515">
        <v>2.67</v>
      </c>
      <c r="I515" s="37">
        <v>1</v>
      </c>
      <c r="J515">
        <f t="shared" si="7"/>
        <v>2.67</v>
      </c>
    </row>
    <row r="516" spans="1:10" x14ac:dyDescent="0.3">
      <c r="A516" t="s">
        <v>3</v>
      </c>
      <c r="B516" t="s">
        <v>13</v>
      </c>
      <c r="C516" t="s">
        <v>151</v>
      </c>
      <c r="D516" s="22" t="s">
        <v>186</v>
      </c>
      <c r="E516" t="s">
        <v>18</v>
      </c>
      <c r="F516" s="1">
        <v>9.7575231481481493E-4</v>
      </c>
      <c r="G516" s="37">
        <v>2.13</v>
      </c>
      <c r="H516">
        <v>2.76</v>
      </c>
      <c r="I516" s="37">
        <v>1</v>
      </c>
      <c r="J516">
        <f t="shared" ref="J516:J579" si="8">H516*I516</f>
        <v>2.76</v>
      </c>
    </row>
    <row r="517" spans="1:10" x14ac:dyDescent="0.3">
      <c r="A517" t="s">
        <v>3</v>
      </c>
      <c r="B517" t="s">
        <v>13</v>
      </c>
      <c r="C517" t="s">
        <v>151</v>
      </c>
      <c r="D517" s="22" t="s">
        <v>186</v>
      </c>
      <c r="E517" t="s">
        <v>19</v>
      </c>
      <c r="F517" s="1">
        <v>9.7521990740740739E-4</v>
      </c>
      <c r="G517" s="37">
        <v>2.15</v>
      </c>
      <c r="H517">
        <v>2.79</v>
      </c>
      <c r="I517" s="37">
        <v>1</v>
      </c>
      <c r="J517">
        <f t="shared" si="8"/>
        <v>2.79</v>
      </c>
    </row>
    <row r="518" spans="1:10" x14ac:dyDescent="0.3">
      <c r="A518" t="s">
        <v>3</v>
      </c>
      <c r="B518" t="s">
        <v>13</v>
      </c>
      <c r="C518" t="s">
        <v>151</v>
      </c>
      <c r="D518" s="22" t="s">
        <v>186</v>
      </c>
      <c r="E518" t="s">
        <v>45</v>
      </c>
      <c r="F518" s="1">
        <v>9.7537037037037026E-4</v>
      </c>
      <c r="G518" s="37">
        <v>2.14</v>
      </c>
      <c r="H518">
        <v>2.78</v>
      </c>
      <c r="I518" s="37">
        <v>1</v>
      </c>
      <c r="J518">
        <f t="shared" si="8"/>
        <v>2.78</v>
      </c>
    </row>
    <row r="519" spans="1:10" x14ac:dyDescent="0.3">
      <c r="A519" t="s">
        <v>3</v>
      </c>
      <c r="B519" t="s">
        <v>13</v>
      </c>
      <c r="C519" t="s">
        <v>151</v>
      </c>
      <c r="D519" s="22" t="s">
        <v>186</v>
      </c>
      <c r="E519" t="s">
        <v>46</v>
      </c>
      <c r="F519" s="1">
        <v>9.7936342592592606E-4</v>
      </c>
      <c r="G519" s="37">
        <v>2.1</v>
      </c>
      <c r="H519">
        <v>2.72</v>
      </c>
      <c r="I519" s="37">
        <v>1</v>
      </c>
      <c r="J519">
        <f t="shared" si="8"/>
        <v>2.72</v>
      </c>
    </row>
    <row r="520" spans="1:10" x14ac:dyDescent="0.3">
      <c r="A520" t="s">
        <v>3</v>
      </c>
      <c r="B520" t="s">
        <v>13</v>
      </c>
      <c r="C520" t="s">
        <v>151</v>
      </c>
      <c r="D520" s="22" t="s">
        <v>186</v>
      </c>
      <c r="E520" t="s">
        <v>47</v>
      </c>
      <c r="F520" s="1">
        <v>9.7903935185185182E-4</v>
      </c>
      <c r="G520" s="37">
        <v>2.0699999999999998</v>
      </c>
      <c r="H520">
        <v>2.68</v>
      </c>
      <c r="I520" s="37">
        <v>1</v>
      </c>
      <c r="J520">
        <f t="shared" si="8"/>
        <v>2.68</v>
      </c>
    </row>
    <row r="521" spans="1:10" x14ac:dyDescent="0.3">
      <c r="A521" t="s">
        <v>3</v>
      </c>
      <c r="B521" t="s">
        <v>13</v>
      </c>
      <c r="C521" t="s">
        <v>151</v>
      </c>
      <c r="D521" s="22" t="s">
        <v>186</v>
      </c>
      <c r="E521" t="s">
        <v>48</v>
      </c>
      <c r="F521" s="1">
        <v>9.8247685185185178E-4</v>
      </c>
      <c r="G521" s="37">
        <v>2.09</v>
      </c>
      <c r="H521">
        <v>2.7</v>
      </c>
      <c r="I521" s="37">
        <v>1</v>
      </c>
      <c r="J521">
        <f t="shared" si="8"/>
        <v>2.7</v>
      </c>
    </row>
    <row r="522" spans="1:10" x14ac:dyDescent="0.3">
      <c r="A522" t="s">
        <v>3</v>
      </c>
      <c r="B522" t="s">
        <v>13</v>
      </c>
      <c r="C522" t="s">
        <v>151</v>
      </c>
      <c r="D522" s="22" t="s">
        <v>186</v>
      </c>
      <c r="E522" t="s">
        <v>49</v>
      </c>
      <c r="F522" s="1">
        <v>9.7638888888888884E-4</v>
      </c>
      <c r="G522" s="37">
        <v>2.14</v>
      </c>
      <c r="H522">
        <v>2.78</v>
      </c>
      <c r="I522" s="37">
        <v>1</v>
      </c>
      <c r="J522">
        <f t="shared" si="8"/>
        <v>2.78</v>
      </c>
    </row>
    <row r="523" spans="1:10" x14ac:dyDescent="0.3">
      <c r="A523" t="s">
        <v>3</v>
      </c>
      <c r="B523" t="s">
        <v>13</v>
      </c>
      <c r="C523" t="s">
        <v>151</v>
      </c>
      <c r="D523" s="22" t="s">
        <v>186</v>
      </c>
      <c r="E523" t="s">
        <v>50</v>
      </c>
      <c r="F523" s="1">
        <v>9.7605324074074077E-4</v>
      </c>
      <c r="G523" s="37">
        <v>2.11</v>
      </c>
      <c r="H523">
        <v>2.73</v>
      </c>
      <c r="I523" s="37">
        <v>1</v>
      </c>
      <c r="J523">
        <f t="shared" si="8"/>
        <v>2.73</v>
      </c>
    </row>
    <row r="524" spans="1:10" x14ac:dyDescent="0.3">
      <c r="A524" t="s">
        <v>3</v>
      </c>
      <c r="B524" t="s">
        <v>13</v>
      </c>
      <c r="C524" t="s">
        <v>151</v>
      </c>
      <c r="D524" s="22" t="s">
        <v>186</v>
      </c>
      <c r="E524" t="s">
        <v>51</v>
      </c>
      <c r="F524" s="1">
        <v>9.8634259259259248E-4</v>
      </c>
      <c r="G524" s="37">
        <v>2.0499999999999998</v>
      </c>
      <c r="H524">
        <v>2.66</v>
      </c>
      <c r="I524" s="37">
        <v>1</v>
      </c>
      <c r="J524">
        <f t="shared" si="8"/>
        <v>2.66</v>
      </c>
    </row>
    <row r="525" spans="1:10" x14ac:dyDescent="0.3">
      <c r="A525" t="s">
        <v>3</v>
      </c>
      <c r="B525" t="s">
        <v>13</v>
      </c>
      <c r="C525" t="s">
        <v>151</v>
      </c>
      <c r="D525" s="22" t="s">
        <v>186</v>
      </c>
      <c r="E525" t="s">
        <v>52</v>
      </c>
      <c r="F525" s="1">
        <v>9.7958333333333339E-4</v>
      </c>
      <c r="G525" s="37">
        <v>2.11</v>
      </c>
      <c r="H525">
        <v>2.75</v>
      </c>
      <c r="I525" s="37">
        <v>1</v>
      </c>
      <c r="J525">
        <f t="shared" si="8"/>
        <v>2.75</v>
      </c>
    </row>
    <row r="526" spans="1:10" x14ac:dyDescent="0.3">
      <c r="A526" t="s">
        <v>3</v>
      </c>
      <c r="B526" t="s">
        <v>13</v>
      </c>
      <c r="C526" t="s">
        <v>151</v>
      </c>
      <c r="D526" s="22" t="s">
        <v>186</v>
      </c>
      <c r="E526" t="s">
        <v>53</v>
      </c>
      <c r="F526" s="1">
        <v>9.7428240740740732E-4</v>
      </c>
      <c r="G526" s="37">
        <v>2.15</v>
      </c>
      <c r="H526">
        <v>2.8</v>
      </c>
      <c r="I526" s="37">
        <v>1</v>
      </c>
      <c r="J526">
        <f t="shared" si="8"/>
        <v>2.8</v>
      </c>
    </row>
    <row r="527" spans="1:10" x14ac:dyDescent="0.3">
      <c r="A527" t="s">
        <v>3</v>
      </c>
      <c r="B527" t="s">
        <v>13</v>
      </c>
      <c r="C527" t="s">
        <v>151</v>
      </c>
      <c r="D527" s="22" t="s">
        <v>186</v>
      </c>
      <c r="E527" t="s">
        <v>54</v>
      </c>
      <c r="F527" s="1">
        <v>9.7660879629629638E-4</v>
      </c>
      <c r="G527" s="37">
        <v>2.15</v>
      </c>
      <c r="H527">
        <v>2.79</v>
      </c>
      <c r="I527" s="37">
        <v>1</v>
      </c>
      <c r="J527">
        <f t="shared" si="8"/>
        <v>2.79</v>
      </c>
    </row>
    <row r="528" spans="1:10" x14ac:dyDescent="0.3">
      <c r="A528" t="s">
        <v>3</v>
      </c>
      <c r="B528" t="s">
        <v>13</v>
      </c>
      <c r="C528" t="s">
        <v>151</v>
      </c>
      <c r="D528" s="22" t="s">
        <v>186</v>
      </c>
      <c r="E528" t="s">
        <v>55</v>
      </c>
      <c r="F528" s="1">
        <v>9.7736111111111114E-4</v>
      </c>
      <c r="G528" s="37">
        <v>2.17</v>
      </c>
      <c r="H528">
        <v>2.82</v>
      </c>
      <c r="I528" s="37">
        <v>1</v>
      </c>
      <c r="J528">
        <f t="shared" si="8"/>
        <v>2.82</v>
      </c>
    </row>
    <row r="529" spans="1:10" x14ac:dyDescent="0.3">
      <c r="A529" t="s">
        <v>3</v>
      </c>
      <c r="B529" t="s">
        <v>13</v>
      </c>
      <c r="C529" t="s">
        <v>151</v>
      </c>
      <c r="D529" s="22" t="s">
        <v>186</v>
      </c>
      <c r="E529" t="s">
        <v>56</v>
      </c>
      <c r="F529" s="1">
        <v>9.7564814814814801E-4</v>
      </c>
      <c r="G529" s="37">
        <v>2.16</v>
      </c>
      <c r="H529">
        <v>2.81</v>
      </c>
      <c r="I529" s="37">
        <v>1</v>
      </c>
      <c r="J529">
        <f t="shared" si="8"/>
        <v>2.81</v>
      </c>
    </row>
    <row r="530" spans="1:10" x14ac:dyDescent="0.3">
      <c r="A530" t="s">
        <v>3</v>
      </c>
      <c r="B530" t="s">
        <v>13</v>
      </c>
      <c r="C530" t="s">
        <v>151</v>
      </c>
      <c r="D530" s="22" t="s">
        <v>186</v>
      </c>
      <c r="E530" t="s">
        <v>58</v>
      </c>
      <c r="F530" s="1">
        <v>9.8254629629629625E-4</v>
      </c>
      <c r="G530" s="37">
        <v>2.0499999999999998</v>
      </c>
      <c r="H530">
        <v>2.67</v>
      </c>
      <c r="I530" s="37">
        <v>1</v>
      </c>
      <c r="J530">
        <f t="shared" si="8"/>
        <v>2.67</v>
      </c>
    </row>
    <row r="531" spans="1:10" x14ac:dyDescent="0.3">
      <c r="A531" t="s">
        <v>3</v>
      </c>
      <c r="B531" t="s">
        <v>13</v>
      </c>
      <c r="C531" t="s">
        <v>151</v>
      </c>
      <c r="D531" s="22" t="s">
        <v>186</v>
      </c>
      <c r="E531" t="s">
        <v>72</v>
      </c>
      <c r="F531" s="1">
        <v>9.7365740740740735E-4</v>
      </c>
      <c r="G531" s="37">
        <v>2.08</v>
      </c>
      <c r="H531">
        <v>2.7</v>
      </c>
      <c r="I531" s="37">
        <v>1</v>
      </c>
      <c r="J531">
        <f t="shared" si="8"/>
        <v>2.7</v>
      </c>
    </row>
    <row r="532" spans="1:10" x14ac:dyDescent="0.3">
      <c r="A532" t="s">
        <v>3</v>
      </c>
      <c r="B532" t="s">
        <v>13</v>
      </c>
      <c r="C532" t="s">
        <v>151</v>
      </c>
      <c r="D532" s="22" t="s">
        <v>186</v>
      </c>
      <c r="E532" t="s">
        <v>59</v>
      </c>
      <c r="F532" s="1">
        <v>9.7245370370370367E-4</v>
      </c>
      <c r="G532" s="37">
        <v>2.08</v>
      </c>
      <c r="H532">
        <v>2.71</v>
      </c>
      <c r="I532" s="37">
        <v>1</v>
      </c>
      <c r="J532">
        <f t="shared" si="8"/>
        <v>2.71</v>
      </c>
    </row>
    <row r="533" spans="1:10" x14ac:dyDescent="0.3">
      <c r="A533" t="s">
        <v>3</v>
      </c>
      <c r="B533" t="s">
        <v>13</v>
      </c>
      <c r="C533" t="s">
        <v>151</v>
      </c>
      <c r="D533" s="22" t="s">
        <v>186</v>
      </c>
      <c r="E533" t="s">
        <v>60</v>
      </c>
      <c r="F533" s="1">
        <v>9.7217592592592592E-4</v>
      </c>
      <c r="G533" s="37">
        <v>2.1</v>
      </c>
      <c r="H533">
        <v>2.72</v>
      </c>
      <c r="I533" s="37">
        <v>1</v>
      </c>
      <c r="J533">
        <f t="shared" si="8"/>
        <v>2.72</v>
      </c>
    </row>
    <row r="534" spans="1:10" x14ac:dyDescent="0.3">
      <c r="A534" t="s">
        <v>3</v>
      </c>
      <c r="B534" t="s">
        <v>13</v>
      </c>
      <c r="C534" t="s">
        <v>151</v>
      </c>
      <c r="D534" s="22" t="s">
        <v>186</v>
      </c>
      <c r="E534" t="s">
        <v>61</v>
      </c>
      <c r="F534" s="1">
        <v>9.7186342592592582E-4</v>
      </c>
      <c r="G534" s="37">
        <v>2.13</v>
      </c>
      <c r="H534">
        <v>2.76</v>
      </c>
      <c r="I534" s="37">
        <v>1</v>
      </c>
      <c r="J534">
        <f t="shared" si="8"/>
        <v>2.76</v>
      </c>
    </row>
    <row r="535" spans="1:10" x14ac:dyDescent="0.3">
      <c r="A535" t="s">
        <v>3</v>
      </c>
      <c r="B535" t="s">
        <v>13</v>
      </c>
      <c r="C535" t="s">
        <v>151</v>
      </c>
      <c r="D535" s="22" t="s">
        <v>186</v>
      </c>
      <c r="E535" t="s">
        <v>62</v>
      </c>
      <c r="F535" s="1">
        <v>9.7658564814814808E-4</v>
      </c>
      <c r="G535" s="37">
        <v>2.08</v>
      </c>
      <c r="H535">
        <v>2.7</v>
      </c>
      <c r="I535" s="37">
        <v>1</v>
      </c>
      <c r="J535">
        <f t="shared" si="8"/>
        <v>2.7</v>
      </c>
    </row>
    <row r="536" spans="1:10" x14ac:dyDescent="0.3">
      <c r="A536" t="s">
        <v>3</v>
      </c>
      <c r="B536" t="s">
        <v>13</v>
      </c>
      <c r="C536" t="s">
        <v>151</v>
      </c>
      <c r="D536" s="22" t="s">
        <v>186</v>
      </c>
      <c r="E536" t="s">
        <v>63</v>
      </c>
      <c r="F536" s="1">
        <v>9.7719907407407412E-4</v>
      </c>
      <c r="G536" s="37">
        <v>2.1</v>
      </c>
      <c r="H536">
        <v>2.75</v>
      </c>
      <c r="I536" s="37">
        <v>1</v>
      </c>
      <c r="J536">
        <f t="shared" si="8"/>
        <v>2.75</v>
      </c>
    </row>
    <row r="537" spans="1:10" x14ac:dyDescent="0.3">
      <c r="A537" t="s">
        <v>3</v>
      </c>
      <c r="B537" t="s">
        <v>13</v>
      </c>
      <c r="C537" t="s">
        <v>151</v>
      </c>
      <c r="D537" s="22" t="s">
        <v>186</v>
      </c>
      <c r="E537" t="s">
        <v>64</v>
      </c>
      <c r="F537" s="1">
        <v>9.7526620370370378E-4</v>
      </c>
      <c r="G537" s="37">
        <v>2.12</v>
      </c>
      <c r="H537">
        <v>2.76</v>
      </c>
      <c r="I537" s="37">
        <v>1</v>
      </c>
      <c r="J537">
        <f t="shared" si="8"/>
        <v>2.76</v>
      </c>
    </row>
    <row r="538" spans="1:10" x14ac:dyDescent="0.3">
      <c r="A538" t="s">
        <v>3</v>
      </c>
      <c r="B538" t="s">
        <v>13</v>
      </c>
      <c r="C538" t="s">
        <v>151</v>
      </c>
      <c r="D538" s="22" t="s">
        <v>186</v>
      </c>
      <c r="E538" t="s">
        <v>65</v>
      </c>
      <c r="F538" s="1">
        <v>9.8857638888888888E-4</v>
      </c>
      <c r="G538" s="37">
        <v>2.09</v>
      </c>
      <c r="H538">
        <v>2.72</v>
      </c>
      <c r="I538" s="37">
        <v>1</v>
      </c>
      <c r="J538">
        <f t="shared" si="8"/>
        <v>2.72</v>
      </c>
    </row>
    <row r="539" spans="1:10" x14ac:dyDescent="0.3">
      <c r="A539" t="s">
        <v>3</v>
      </c>
      <c r="B539" t="s">
        <v>13</v>
      </c>
      <c r="C539" t="s">
        <v>151</v>
      </c>
      <c r="D539" s="22" t="s">
        <v>186</v>
      </c>
      <c r="E539" t="s">
        <v>66</v>
      </c>
      <c r="F539" s="1">
        <v>9.8445601851851862E-4</v>
      </c>
      <c r="G539" s="37">
        <v>2.12</v>
      </c>
      <c r="H539">
        <v>2.78</v>
      </c>
      <c r="I539" s="37">
        <v>1</v>
      </c>
      <c r="J539">
        <f t="shared" si="8"/>
        <v>2.78</v>
      </c>
    </row>
    <row r="540" spans="1:10" x14ac:dyDescent="0.3">
      <c r="A540" t="s">
        <v>3</v>
      </c>
      <c r="B540" t="s">
        <v>13</v>
      </c>
      <c r="C540" t="s">
        <v>151</v>
      </c>
      <c r="D540" s="22" t="s">
        <v>186</v>
      </c>
      <c r="E540" t="s">
        <v>67</v>
      </c>
      <c r="F540" s="1">
        <v>9.8557870370370357E-4</v>
      </c>
      <c r="G540" s="37">
        <v>2.11</v>
      </c>
      <c r="H540">
        <v>2.75</v>
      </c>
      <c r="I540" s="37">
        <v>1</v>
      </c>
      <c r="J540">
        <f t="shared" si="8"/>
        <v>2.75</v>
      </c>
    </row>
    <row r="541" spans="1:10" x14ac:dyDescent="0.3">
      <c r="A541" t="s">
        <v>3</v>
      </c>
      <c r="B541" t="s">
        <v>13</v>
      </c>
      <c r="C541" t="s">
        <v>151</v>
      </c>
      <c r="D541" t="s">
        <v>186</v>
      </c>
      <c r="E541" t="s">
        <v>68</v>
      </c>
      <c r="F541" s="1">
        <v>9.7888888888888873E-4</v>
      </c>
      <c r="G541" s="37">
        <v>2.1800000000000002</v>
      </c>
      <c r="H541">
        <v>2.83</v>
      </c>
      <c r="I541" s="37">
        <v>1</v>
      </c>
      <c r="J541">
        <f t="shared" si="8"/>
        <v>2.83</v>
      </c>
    </row>
    <row r="542" spans="1:10" x14ac:dyDescent="0.3">
      <c r="A542" t="s">
        <v>3</v>
      </c>
      <c r="B542" t="s">
        <v>13</v>
      </c>
      <c r="C542" t="s">
        <v>151</v>
      </c>
      <c r="D542" t="s">
        <v>186</v>
      </c>
      <c r="E542" t="s">
        <v>69</v>
      </c>
      <c r="F542" s="1">
        <v>9.7876157407407395E-4</v>
      </c>
      <c r="G542" s="37">
        <v>2.15</v>
      </c>
      <c r="H542">
        <v>2.79</v>
      </c>
      <c r="I542" s="37">
        <v>1</v>
      </c>
      <c r="J542">
        <f t="shared" si="8"/>
        <v>2.79</v>
      </c>
    </row>
    <row r="543" spans="1:10" x14ac:dyDescent="0.3">
      <c r="A543" t="s">
        <v>3</v>
      </c>
      <c r="B543" t="s">
        <v>13</v>
      </c>
      <c r="C543" t="s">
        <v>151</v>
      </c>
      <c r="D543" t="s">
        <v>186</v>
      </c>
      <c r="E543" t="s">
        <v>70</v>
      </c>
      <c r="F543" s="1">
        <v>9.8004629629629635E-4</v>
      </c>
      <c r="G543" s="37">
        <v>2.15</v>
      </c>
      <c r="H543">
        <v>2.8</v>
      </c>
      <c r="I543" s="37">
        <v>1</v>
      </c>
      <c r="J543">
        <f t="shared" si="8"/>
        <v>2.8</v>
      </c>
    </row>
    <row r="544" spans="1:10" x14ac:dyDescent="0.3">
      <c r="A544" t="s">
        <v>3</v>
      </c>
      <c r="B544" t="s">
        <v>13</v>
      </c>
      <c r="C544" t="s">
        <v>151</v>
      </c>
      <c r="D544" t="s">
        <v>186</v>
      </c>
      <c r="E544" t="s">
        <v>71</v>
      </c>
      <c r="F544" s="1">
        <v>9.8107638888888897E-4</v>
      </c>
      <c r="G544" s="37">
        <v>2.12</v>
      </c>
      <c r="H544">
        <v>2.75</v>
      </c>
      <c r="I544" s="37">
        <v>1</v>
      </c>
      <c r="J544">
        <f t="shared" si="8"/>
        <v>2.75</v>
      </c>
    </row>
    <row r="545" spans="1:10" x14ac:dyDescent="0.3">
      <c r="A545" t="s">
        <v>3</v>
      </c>
      <c r="B545" t="s">
        <v>87</v>
      </c>
      <c r="C545" t="s">
        <v>151</v>
      </c>
      <c r="D545" t="s">
        <v>187</v>
      </c>
      <c r="E545" t="s">
        <v>9</v>
      </c>
      <c r="F545" s="1">
        <v>9.811111111111112E-4</v>
      </c>
      <c r="G545" s="37">
        <v>2.08</v>
      </c>
      <c r="H545">
        <v>2.68</v>
      </c>
      <c r="I545" s="37">
        <v>1.006</v>
      </c>
      <c r="J545">
        <f t="shared" si="8"/>
        <v>2.6960800000000003</v>
      </c>
    </row>
    <row r="546" spans="1:10" x14ac:dyDescent="0.3">
      <c r="A546" t="s">
        <v>3</v>
      </c>
      <c r="B546" t="s">
        <v>87</v>
      </c>
      <c r="C546" t="s">
        <v>151</v>
      </c>
      <c r="D546" t="s">
        <v>187</v>
      </c>
      <c r="E546" t="s">
        <v>10</v>
      </c>
      <c r="F546" s="1">
        <v>9.7732638888888891E-4</v>
      </c>
      <c r="G546" s="37">
        <v>2.12</v>
      </c>
      <c r="H546">
        <v>2.72</v>
      </c>
      <c r="I546" s="37">
        <v>1.006</v>
      </c>
      <c r="J546">
        <f t="shared" si="8"/>
        <v>2.7363200000000001</v>
      </c>
    </row>
    <row r="547" spans="1:10" x14ac:dyDescent="0.3">
      <c r="A547" t="s">
        <v>3</v>
      </c>
      <c r="B547" t="s">
        <v>87</v>
      </c>
      <c r="C547" t="s">
        <v>151</v>
      </c>
      <c r="D547" t="s">
        <v>187</v>
      </c>
      <c r="E547" t="s">
        <v>15</v>
      </c>
      <c r="F547" s="1">
        <v>9.7640046296296299E-4</v>
      </c>
      <c r="G547" s="37">
        <v>2.14</v>
      </c>
      <c r="H547">
        <v>2.77</v>
      </c>
      <c r="I547" s="37">
        <v>1.006</v>
      </c>
      <c r="J547">
        <f t="shared" si="8"/>
        <v>2.7866200000000001</v>
      </c>
    </row>
    <row r="548" spans="1:10" x14ac:dyDescent="0.3">
      <c r="A548" t="s">
        <v>3</v>
      </c>
      <c r="B548" t="s">
        <v>87</v>
      </c>
      <c r="C548" t="s">
        <v>151</v>
      </c>
      <c r="D548" t="s">
        <v>187</v>
      </c>
      <c r="E548" t="s">
        <v>16</v>
      </c>
      <c r="F548" s="1">
        <v>9.751157407407407E-4</v>
      </c>
      <c r="G548" s="37">
        <v>2.16</v>
      </c>
      <c r="H548">
        <v>2.79</v>
      </c>
      <c r="I548" s="37">
        <v>1.006</v>
      </c>
      <c r="J548">
        <f t="shared" si="8"/>
        <v>2.80674</v>
      </c>
    </row>
    <row r="549" spans="1:10" x14ac:dyDescent="0.3">
      <c r="A549" t="s">
        <v>3</v>
      </c>
      <c r="B549" t="s">
        <v>87</v>
      </c>
      <c r="C549" t="s">
        <v>151</v>
      </c>
      <c r="D549" t="s">
        <v>187</v>
      </c>
      <c r="E549" t="s">
        <v>17</v>
      </c>
      <c r="F549" s="1">
        <v>9.9724537037037034E-4</v>
      </c>
      <c r="G549" s="37">
        <v>2.13</v>
      </c>
      <c r="H549">
        <v>2.74</v>
      </c>
      <c r="I549" s="37">
        <v>1.006</v>
      </c>
      <c r="J549">
        <f t="shared" si="8"/>
        <v>2.7564400000000004</v>
      </c>
    </row>
    <row r="550" spans="1:10" x14ac:dyDescent="0.3">
      <c r="A550" t="s">
        <v>3</v>
      </c>
      <c r="B550" t="s">
        <v>87</v>
      </c>
      <c r="C550" t="s">
        <v>151</v>
      </c>
      <c r="D550" t="s">
        <v>187</v>
      </c>
      <c r="E550" t="s">
        <v>18</v>
      </c>
      <c r="F550" s="1">
        <v>9.7802083333333335E-4</v>
      </c>
      <c r="G550" s="37">
        <v>2.1</v>
      </c>
      <c r="H550">
        <v>2.7</v>
      </c>
      <c r="I550" s="37">
        <v>1.006</v>
      </c>
      <c r="J550">
        <f t="shared" si="8"/>
        <v>2.7162000000000002</v>
      </c>
    </row>
    <row r="551" spans="1:10" x14ac:dyDescent="0.3">
      <c r="A551" t="s">
        <v>3</v>
      </c>
      <c r="B551" t="s">
        <v>87</v>
      </c>
      <c r="C551" t="s">
        <v>151</v>
      </c>
      <c r="D551" t="s">
        <v>187</v>
      </c>
      <c r="E551" t="s">
        <v>19</v>
      </c>
      <c r="F551" s="1">
        <v>9.7755787037037039E-4</v>
      </c>
      <c r="G551" s="37">
        <v>2.1</v>
      </c>
      <c r="H551">
        <v>2.7</v>
      </c>
      <c r="I551" s="37">
        <v>1.006</v>
      </c>
      <c r="J551">
        <f t="shared" si="8"/>
        <v>2.7162000000000002</v>
      </c>
    </row>
    <row r="552" spans="1:10" x14ac:dyDescent="0.3">
      <c r="A552" t="s">
        <v>3</v>
      </c>
      <c r="B552" t="s">
        <v>87</v>
      </c>
      <c r="C552" t="s">
        <v>151</v>
      </c>
      <c r="D552" t="s">
        <v>187</v>
      </c>
      <c r="E552" t="s">
        <v>45</v>
      </c>
      <c r="F552" s="1">
        <v>9.7828703703703706E-4</v>
      </c>
      <c r="G552" s="37">
        <v>2.11</v>
      </c>
      <c r="H552">
        <v>2.72</v>
      </c>
      <c r="I552" s="37">
        <v>1.006</v>
      </c>
      <c r="J552">
        <f t="shared" si="8"/>
        <v>2.7363200000000001</v>
      </c>
    </row>
    <row r="553" spans="1:10" x14ac:dyDescent="0.3">
      <c r="A553" t="s">
        <v>3</v>
      </c>
      <c r="B553" t="s">
        <v>87</v>
      </c>
      <c r="C553" t="s">
        <v>151</v>
      </c>
      <c r="D553" t="s">
        <v>187</v>
      </c>
      <c r="E553" t="s">
        <v>46</v>
      </c>
      <c r="F553" s="1">
        <v>9.8858796296296303E-4</v>
      </c>
      <c r="G553" s="37">
        <v>2.06</v>
      </c>
      <c r="H553">
        <v>2.67</v>
      </c>
      <c r="I553" s="37">
        <v>1.006</v>
      </c>
      <c r="J553">
        <f t="shared" si="8"/>
        <v>2.6860200000000001</v>
      </c>
    </row>
    <row r="554" spans="1:10" x14ac:dyDescent="0.3">
      <c r="A554" t="s">
        <v>3</v>
      </c>
      <c r="B554" t="s">
        <v>87</v>
      </c>
      <c r="C554" t="s">
        <v>151</v>
      </c>
      <c r="D554" t="s">
        <v>187</v>
      </c>
      <c r="E554" t="s">
        <v>47</v>
      </c>
      <c r="F554" s="1">
        <v>1.0099074074074075E-3</v>
      </c>
      <c r="G554" s="37">
        <v>2.06</v>
      </c>
      <c r="H554">
        <v>2.65</v>
      </c>
      <c r="I554" s="37">
        <v>1.006</v>
      </c>
      <c r="J554">
        <f t="shared" si="8"/>
        <v>2.6658999999999997</v>
      </c>
    </row>
    <row r="555" spans="1:10" x14ac:dyDescent="0.3">
      <c r="A555" t="s">
        <v>3</v>
      </c>
      <c r="B555" t="s">
        <v>87</v>
      </c>
      <c r="C555" t="s">
        <v>151</v>
      </c>
      <c r="D555" t="s">
        <v>187</v>
      </c>
      <c r="E555" t="s">
        <v>48</v>
      </c>
      <c r="F555" s="1">
        <v>9.988657407407407E-4</v>
      </c>
      <c r="G555" s="37">
        <v>2.06</v>
      </c>
      <c r="H555">
        <v>2.65</v>
      </c>
      <c r="I555" s="37">
        <v>1.006</v>
      </c>
      <c r="J555">
        <f t="shared" si="8"/>
        <v>2.6658999999999997</v>
      </c>
    </row>
    <row r="556" spans="1:10" x14ac:dyDescent="0.3">
      <c r="A556" t="s">
        <v>3</v>
      </c>
      <c r="B556" t="s">
        <v>87</v>
      </c>
      <c r="C556" t="s">
        <v>151</v>
      </c>
      <c r="D556" t="s">
        <v>187</v>
      </c>
      <c r="E556" t="s">
        <v>49</v>
      </c>
      <c r="F556" s="1">
        <v>9.9638888888888889E-4</v>
      </c>
      <c r="G556" s="37">
        <v>2.1</v>
      </c>
      <c r="H556">
        <v>2.71</v>
      </c>
      <c r="I556" s="37">
        <v>1.006</v>
      </c>
      <c r="J556">
        <f t="shared" si="8"/>
        <v>2.7262599999999999</v>
      </c>
    </row>
    <row r="557" spans="1:10" x14ac:dyDescent="0.3">
      <c r="A557" t="s">
        <v>3</v>
      </c>
      <c r="B557" t="s">
        <v>87</v>
      </c>
      <c r="C557" t="s">
        <v>151</v>
      </c>
      <c r="D557" t="s">
        <v>187</v>
      </c>
      <c r="E557" t="s">
        <v>50</v>
      </c>
      <c r="F557" s="1">
        <v>9.8436342592592607E-4</v>
      </c>
      <c r="G557" s="37">
        <v>2.12</v>
      </c>
      <c r="H557">
        <v>2.75</v>
      </c>
      <c r="I557" s="37">
        <v>1.006</v>
      </c>
      <c r="J557">
        <f t="shared" si="8"/>
        <v>2.7665000000000002</v>
      </c>
    </row>
    <row r="558" spans="1:10" x14ac:dyDescent="0.3">
      <c r="A558" t="s">
        <v>3</v>
      </c>
      <c r="B558" t="s">
        <v>87</v>
      </c>
      <c r="C558" t="s">
        <v>151</v>
      </c>
      <c r="D558" t="s">
        <v>187</v>
      </c>
      <c r="E558" t="s">
        <v>51</v>
      </c>
      <c r="F558" s="1">
        <v>9.966550925925926E-4</v>
      </c>
      <c r="G558" s="37">
        <v>2.12</v>
      </c>
      <c r="H558">
        <v>2.75</v>
      </c>
      <c r="I558" s="37">
        <v>1.006</v>
      </c>
      <c r="J558">
        <f t="shared" si="8"/>
        <v>2.7665000000000002</v>
      </c>
    </row>
    <row r="559" spans="1:10" x14ac:dyDescent="0.3">
      <c r="A559" t="s">
        <v>3</v>
      </c>
      <c r="B559" t="s">
        <v>87</v>
      </c>
      <c r="C559" t="s">
        <v>151</v>
      </c>
      <c r="D559" t="s">
        <v>187</v>
      </c>
      <c r="E559" t="s">
        <v>53</v>
      </c>
      <c r="F559" s="1">
        <v>9.7931712962962968E-4</v>
      </c>
      <c r="G559" s="37">
        <v>2.16</v>
      </c>
      <c r="H559">
        <v>2.79</v>
      </c>
      <c r="I559" s="37">
        <v>1.006</v>
      </c>
      <c r="J559">
        <f t="shared" si="8"/>
        <v>2.80674</v>
      </c>
    </row>
    <row r="560" spans="1:10" x14ac:dyDescent="0.3">
      <c r="A560" t="s">
        <v>3</v>
      </c>
      <c r="B560" t="s">
        <v>87</v>
      </c>
      <c r="C560" t="s">
        <v>151</v>
      </c>
      <c r="D560" t="s">
        <v>187</v>
      </c>
      <c r="E560" t="s">
        <v>54</v>
      </c>
      <c r="F560" s="1">
        <v>9.7870370370370364E-4</v>
      </c>
      <c r="G560" s="37">
        <v>2.16</v>
      </c>
      <c r="H560">
        <v>2.78</v>
      </c>
      <c r="I560" s="37">
        <v>1.006</v>
      </c>
      <c r="J560">
        <f t="shared" si="8"/>
        <v>2.7966799999999998</v>
      </c>
    </row>
    <row r="561" spans="1:10" x14ac:dyDescent="0.3">
      <c r="A561" t="s">
        <v>3</v>
      </c>
      <c r="B561" t="s">
        <v>87</v>
      </c>
      <c r="C561" t="s">
        <v>151</v>
      </c>
      <c r="D561" t="s">
        <v>187</v>
      </c>
      <c r="E561" t="s">
        <v>55</v>
      </c>
      <c r="F561" s="1">
        <v>9.735648148148148E-4</v>
      </c>
      <c r="G561" s="37">
        <v>2.17</v>
      </c>
      <c r="H561">
        <v>2.79</v>
      </c>
      <c r="I561" s="37">
        <v>1.006</v>
      </c>
      <c r="J561">
        <f t="shared" si="8"/>
        <v>2.80674</v>
      </c>
    </row>
    <row r="562" spans="1:10" x14ac:dyDescent="0.3">
      <c r="A562" t="s">
        <v>3</v>
      </c>
      <c r="B562" t="s">
        <v>87</v>
      </c>
      <c r="C562" t="s">
        <v>151</v>
      </c>
      <c r="D562" t="s">
        <v>187</v>
      </c>
      <c r="E562" t="s">
        <v>56</v>
      </c>
      <c r="F562" s="1">
        <v>9.8928240740740747E-4</v>
      </c>
      <c r="G562" s="37">
        <v>2.1</v>
      </c>
      <c r="H562">
        <v>2.7</v>
      </c>
      <c r="I562" s="37">
        <v>1.006</v>
      </c>
      <c r="J562">
        <f t="shared" si="8"/>
        <v>2.7162000000000002</v>
      </c>
    </row>
    <row r="563" spans="1:10" x14ac:dyDescent="0.3">
      <c r="A563" t="s">
        <v>3</v>
      </c>
      <c r="B563" t="s">
        <v>87</v>
      </c>
      <c r="C563" t="s">
        <v>151</v>
      </c>
      <c r="D563" t="s">
        <v>187</v>
      </c>
      <c r="E563" t="s">
        <v>57</v>
      </c>
      <c r="F563" s="1">
        <v>9.7273148148148143E-4</v>
      </c>
      <c r="G563" s="37">
        <v>2.15</v>
      </c>
      <c r="H563">
        <v>2.77</v>
      </c>
      <c r="I563" s="37">
        <v>1.006</v>
      </c>
      <c r="J563">
        <f t="shared" si="8"/>
        <v>2.7866200000000001</v>
      </c>
    </row>
    <row r="564" spans="1:10" x14ac:dyDescent="0.3">
      <c r="A564" t="s">
        <v>3</v>
      </c>
      <c r="B564" t="s">
        <v>87</v>
      </c>
      <c r="C564" t="s">
        <v>151</v>
      </c>
      <c r="D564" t="s">
        <v>187</v>
      </c>
      <c r="E564" t="s">
        <v>58</v>
      </c>
      <c r="F564" s="1">
        <v>9.7612268518518523E-4</v>
      </c>
      <c r="G564" s="37">
        <v>2.14</v>
      </c>
      <c r="H564">
        <v>2.76</v>
      </c>
      <c r="I564" s="37">
        <v>1.006</v>
      </c>
      <c r="J564">
        <f t="shared" si="8"/>
        <v>2.7765599999999999</v>
      </c>
    </row>
    <row r="565" spans="1:10" x14ac:dyDescent="0.3">
      <c r="A565" t="s">
        <v>3</v>
      </c>
      <c r="B565" t="s">
        <v>87</v>
      </c>
      <c r="C565" t="s">
        <v>151</v>
      </c>
      <c r="D565" t="s">
        <v>187</v>
      </c>
      <c r="E565" t="s">
        <v>72</v>
      </c>
      <c r="F565" s="1">
        <v>9.7454861111111104E-4</v>
      </c>
      <c r="G565" s="37">
        <v>2.14</v>
      </c>
      <c r="H565">
        <v>2.76</v>
      </c>
      <c r="I565" s="37">
        <v>1.006</v>
      </c>
      <c r="J565">
        <f t="shared" si="8"/>
        <v>2.7765599999999999</v>
      </c>
    </row>
    <row r="566" spans="1:10" x14ac:dyDescent="0.3">
      <c r="A566" t="s">
        <v>3</v>
      </c>
      <c r="B566" t="s">
        <v>87</v>
      </c>
      <c r="C566" t="s">
        <v>151</v>
      </c>
      <c r="D566" t="s">
        <v>187</v>
      </c>
      <c r="E566" t="s">
        <v>59</v>
      </c>
      <c r="F566" s="1">
        <v>9.8109953703703705E-4</v>
      </c>
      <c r="G566" s="37">
        <v>2.15</v>
      </c>
      <c r="H566">
        <v>2.78</v>
      </c>
      <c r="I566" s="37">
        <v>1.006</v>
      </c>
      <c r="J566">
        <f t="shared" si="8"/>
        <v>2.7966799999999998</v>
      </c>
    </row>
    <row r="567" spans="1:10" x14ac:dyDescent="0.3">
      <c r="A567" t="s">
        <v>3</v>
      </c>
      <c r="B567" t="s">
        <v>87</v>
      </c>
      <c r="C567" t="s">
        <v>151</v>
      </c>
      <c r="D567" t="s">
        <v>187</v>
      </c>
      <c r="E567" t="s">
        <v>60</v>
      </c>
      <c r="F567" s="1">
        <v>9.814814814814814E-4</v>
      </c>
      <c r="G567" s="37">
        <v>2.16</v>
      </c>
      <c r="H567">
        <v>2.79</v>
      </c>
      <c r="I567" s="37">
        <v>1.006</v>
      </c>
      <c r="J567">
        <f t="shared" si="8"/>
        <v>2.80674</v>
      </c>
    </row>
    <row r="568" spans="1:10" x14ac:dyDescent="0.3">
      <c r="A568" t="s">
        <v>3</v>
      </c>
      <c r="B568" t="s">
        <v>87</v>
      </c>
      <c r="C568" t="s">
        <v>151</v>
      </c>
      <c r="D568" t="s">
        <v>187</v>
      </c>
      <c r="E568" t="s">
        <v>61</v>
      </c>
      <c r="F568" s="1">
        <v>9.821412037037036E-4</v>
      </c>
      <c r="G568" s="37">
        <v>2.16</v>
      </c>
      <c r="H568">
        <v>2.78</v>
      </c>
      <c r="I568" s="37">
        <v>1.006</v>
      </c>
      <c r="J568">
        <f t="shared" si="8"/>
        <v>2.7966799999999998</v>
      </c>
    </row>
    <row r="569" spans="1:10" x14ac:dyDescent="0.3">
      <c r="A569" t="s">
        <v>3</v>
      </c>
      <c r="B569" t="s">
        <v>87</v>
      </c>
      <c r="C569" t="s">
        <v>151</v>
      </c>
      <c r="D569" t="s">
        <v>187</v>
      </c>
      <c r="E569" t="s">
        <v>62</v>
      </c>
      <c r="F569" s="1">
        <v>9.8201388888888882E-4</v>
      </c>
      <c r="G569" s="37">
        <v>2.16</v>
      </c>
      <c r="H569">
        <v>2.79</v>
      </c>
      <c r="I569" s="37">
        <v>1.006</v>
      </c>
      <c r="J569">
        <f t="shared" si="8"/>
        <v>2.80674</v>
      </c>
    </row>
    <row r="570" spans="1:10" x14ac:dyDescent="0.3">
      <c r="A570" t="s">
        <v>3</v>
      </c>
      <c r="B570" t="s">
        <v>87</v>
      </c>
      <c r="C570" t="s">
        <v>151</v>
      </c>
      <c r="D570" t="s">
        <v>187</v>
      </c>
      <c r="E570" t="s">
        <v>63</v>
      </c>
      <c r="F570" s="1">
        <v>9.838194444444445E-4</v>
      </c>
      <c r="G570" s="37">
        <v>2.15</v>
      </c>
      <c r="H570">
        <v>2.78</v>
      </c>
      <c r="I570" s="37">
        <v>1.006</v>
      </c>
      <c r="J570">
        <f t="shared" si="8"/>
        <v>2.7966799999999998</v>
      </c>
    </row>
    <row r="571" spans="1:10" x14ac:dyDescent="0.3">
      <c r="A571" t="s">
        <v>3</v>
      </c>
      <c r="B571" t="s">
        <v>87</v>
      </c>
      <c r="C571" t="s">
        <v>151</v>
      </c>
      <c r="D571" t="s">
        <v>187</v>
      </c>
      <c r="E571" t="s">
        <v>64</v>
      </c>
      <c r="F571" s="1">
        <v>9.9869212962962976E-4</v>
      </c>
      <c r="G571" s="37">
        <v>2.12</v>
      </c>
      <c r="H571">
        <v>2.74</v>
      </c>
      <c r="I571" s="37">
        <v>1.006</v>
      </c>
      <c r="J571">
        <f t="shared" si="8"/>
        <v>2.7564400000000004</v>
      </c>
    </row>
    <row r="572" spans="1:10" x14ac:dyDescent="0.3">
      <c r="A572" t="s">
        <v>3</v>
      </c>
      <c r="B572" t="s">
        <v>87</v>
      </c>
      <c r="C572" t="s">
        <v>151</v>
      </c>
      <c r="D572" t="s">
        <v>187</v>
      </c>
      <c r="E572" t="s">
        <v>65</v>
      </c>
      <c r="F572" s="1">
        <v>9.8327546296296292E-4</v>
      </c>
      <c r="G572" s="37">
        <v>2.11</v>
      </c>
      <c r="H572">
        <v>2.73</v>
      </c>
      <c r="I572" s="37">
        <v>1.006</v>
      </c>
      <c r="J572">
        <f t="shared" si="8"/>
        <v>2.7463799999999998</v>
      </c>
    </row>
    <row r="573" spans="1:10" x14ac:dyDescent="0.3">
      <c r="A573" t="s">
        <v>3</v>
      </c>
      <c r="B573" t="s">
        <v>87</v>
      </c>
      <c r="C573" t="s">
        <v>151</v>
      </c>
      <c r="D573" t="s">
        <v>187</v>
      </c>
      <c r="E573" t="s">
        <v>67</v>
      </c>
      <c r="F573" s="1">
        <v>9.8994212962962968E-4</v>
      </c>
      <c r="G573" s="37">
        <v>2.14</v>
      </c>
      <c r="H573">
        <v>2.76</v>
      </c>
      <c r="I573" s="37">
        <v>1.006</v>
      </c>
      <c r="J573">
        <f t="shared" si="8"/>
        <v>2.7765599999999999</v>
      </c>
    </row>
    <row r="574" spans="1:10" x14ac:dyDescent="0.3">
      <c r="A574" t="s">
        <v>3</v>
      </c>
      <c r="B574" t="s">
        <v>87</v>
      </c>
      <c r="C574" t="s">
        <v>151</v>
      </c>
      <c r="D574" t="s">
        <v>187</v>
      </c>
      <c r="E574" t="s">
        <v>68</v>
      </c>
      <c r="F574" s="1">
        <v>1.0101620370370368E-3</v>
      </c>
      <c r="G574" s="37">
        <v>2.08</v>
      </c>
      <c r="H574">
        <v>2.69</v>
      </c>
      <c r="I574" s="37">
        <v>1.006</v>
      </c>
      <c r="J574">
        <f t="shared" si="8"/>
        <v>2.70614</v>
      </c>
    </row>
    <row r="575" spans="1:10" x14ac:dyDescent="0.3">
      <c r="A575" t="s">
        <v>3</v>
      </c>
      <c r="B575" t="s">
        <v>87</v>
      </c>
      <c r="C575" t="s">
        <v>151</v>
      </c>
      <c r="D575" t="s">
        <v>187</v>
      </c>
      <c r="E575" t="s">
        <v>69</v>
      </c>
      <c r="F575" s="1">
        <v>9.9618055555555549E-4</v>
      </c>
      <c r="G575" s="37">
        <v>2.0699999999999998</v>
      </c>
      <c r="H575">
        <v>2.68</v>
      </c>
      <c r="I575" s="37">
        <v>1.006</v>
      </c>
      <c r="J575">
        <f t="shared" si="8"/>
        <v>2.6960800000000003</v>
      </c>
    </row>
    <row r="576" spans="1:10" x14ac:dyDescent="0.3">
      <c r="A576" t="s">
        <v>3</v>
      </c>
      <c r="B576" t="s">
        <v>87</v>
      </c>
      <c r="C576" t="s">
        <v>151</v>
      </c>
      <c r="D576" t="s">
        <v>187</v>
      </c>
      <c r="E576" t="s">
        <v>70</v>
      </c>
      <c r="F576" s="1">
        <v>9.9885416666666677E-4</v>
      </c>
      <c r="G576" s="37">
        <v>2.0299999999999998</v>
      </c>
      <c r="H576">
        <v>2.64</v>
      </c>
      <c r="I576" s="37">
        <v>1.006</v>
      </c>
      <c r="J576">
        <f t="shared" si="8"/>
        <v>2.65584</v>
      </c>
    </row>
    <row r="577" spans="1:10" x14ac:dyDescent="0.3">
      <c r="A577" t="s">
        <v>3</v>
      </c>
      <c r="B577" t="s">
        <v>79</v>
      </c>
      <c r="C577" t="s">
        <v>151</v>
      </c>
      <c r="D577" s="22" t="s">
        <v>188</v>
      </c>
      <c r="E577" t="s">
        <v>8</v>
      </c>
      <c r="F577" s="1">
        <v>1.00625E-3</v>
      </c>
      <c r="G577" s="37">
        <v>2.31</v>
      </c>
      <c r="H577">
        <v>2.95</v>
      </c>
      <c r="I577" s="37">
        <v>1.0169999999999999</v>
      </c>
      <c r="J577">
        <f t="shared" si="8"/>
        <v>3.0001500000000001</v>
      </c>
    </row>
    <row r="578" spans="1:10" x14ac:dyDescent="0.3">
      <c r="A578" t="s">
        <v>3</v>
      </c>
      <c r="B578" t="s">
        <v>79</v>
      </c>
      <c r="C578" t="s">
        <v>151</v>
      </c>
      <c r="D578" s="22" t="s">
        <v>188</v>
      </c>
      <c r="E578" t="s">
        <v>9</v>
      </c>
      <c r="F578" s="1">
        <v>9.6343749999999999E-4</v>
      </c>
      <c r="G578" s="37">
        <v>2.1800000000000002</v>
      </c>
      <c r="H578">
        <v>2.78</v>
      </c>
      <c r="I578" s="37">
        <v>1.0169999999999999</v>
      </c>
      <c r="J578">
        <f t="shared" si="8"/>
        <v>2.8272599999999994</v>
      </c>
    </row>
    <row r="579" spans="1:10" x14ac:dyDescent="0.3">
      <c r="A579" t="s">
        <v>3</v>
      </c>
      <c r="B579" t="s">
        <v>79</v>
      </c>
      <c r="C579" t="s">
        <v>151</v>
      </c>
      <c r="D579" s="22" t="s">
        <v>188</v>
      </c>
      <c r="E579" t="s">
        <v>10</v>
      </c>
      <c r="F579" s="1">
        <v>9.6180555555555548E-4</v>
      </c>
      <c r="G579" s="37">
        <v>2.2000000000000002</v>
      </c>
      <c r="H579">
        <v>2.82</v>
      </c>
      <c r="I579" s="37">
        <v>1.0169999999999999</v>
      </c>
      <c r="J579">
        <f t="shared" si="8"/>
        <v>2.8679399999999995</v>
      </c>
    </row>
    <row r="580" spans="1:10" x14ac:dyDescent="0.3">
      <c r="A580" t="s">
        <v>3</v>
      </c>
      <c r="B580" t="s">
        <v>79</v>
      </c>
      <c r="C580" t="s">
        <v>151</v>
      </c>
      <c r="D580" s="22" t="s">
        <v>188</v>
      </c>
      <c r="E580" t="s">
        <v>15</v>
      </c>
      <c r="F580" s="1">
        <v>9.6309027777777777E-4</v>
      </c>
      <c r="G580" s="37">
        <v>2.21</v>
      </c>
      <c r="H580">
        <v>2.81</v>
      </c>
      <c r="I580" s="37">
        <v>1.0169999999999999</v>
      </c>
      <c r="J580">
        <f t="shared" ref="J580:J643" si="9">H580*I580</f>
        <v>2.8577699999999999</v>
      </c>
    </row>
    <row r="581" spans="1:10" x14ac:dyDescent="0.3">
      <c r="A581" t="s">
        <v>3</v>
      </c>
      <c r="B581" t="s">
        <v>79</v>
      </c>
      <c r="C581" t="s">
        <v>151</v>
      </c>
      <c r="D581" s="22" t="s">
        <v>188</v>
      </c>
      <c r="E581" t="s">
        <v>16</v>
      </c>
      <c r="F581" s="1">
        <v>9.6361111111111116E-4</v>
      </c>
      <c r="G581" s="37">
        <v>2.2200000000000002</v>
      </c>
      <c r="H581">
        <v>2.82</v>
      </c>
      <c r="I581" s="37">
        <v>1.0169999999999999</v>
      </c>
      <c r="J581">
        <f t="shared" si="9"/>
        <v>2.8679399999999995</v>
      </c>
    </row>
    <row r="582" spans="1:10" x14ac:dyDescent="0.3">
      <c r="A582" t="s">
        <v>3</v>
      </c>
      <c r="B582" t="s">
        <v>79</v>
      </c>
      <c r="C582" t="s">
        <v>151</v>
      </c>
      <c r="D582" s="22" t="s">
        <v>188</v>
      </c>
      <c r="E582" t="s">
        <v>17</v>
      </c>
      <c r="F582" s="1">
        <v>9.6458333333333335E-4</v>
      </c>
      <c r="G582" s="37">
        <v>2.23</v>
      </c>
      <c r="H582">
        <v>2.83</v>
      </c>
      <c r="I582" s="37">
        <v>1.0169999999999999</v>
      </c>
      <c r="J582">
        <f t="shared" si="9"/>
        <v>2.8781099999999999</v>
      </c>
    </row>
    <row r="583" spans="1:10" x14ac:dyDescent="0.3">
      <c r="A583" t="s">
        <v>3</v>
      </c>
      <c r="B583" t="s">
        <v>79</v>
      </c>
      <c r="C583" t="s">
        <v>151</v>
      </c>
      <c r="D583" s="22" t="s">
        <v>188</v>
      </c>
      <c r="E583" t="s">
        <v>18</v>
      </c>
      <c r="F583" s="1">
        <v>9.6606481481481489E-4</v>
      </c>
      <c r="G583" s="37">
        <v>2.21</v>
      </c>
      <c r="H583">
        <v>2.81</v>
      </c>
      <c r="I583" s="37">
        <v>1.0169999999999999</v>
      </c>
      <c r="J583">
        <f t="shared" si="9"/>
        <v>2.8577699999999999</v>
      </c>
    </row>
    <row r="584" spans="1:10" x14ac:dyDescent="0.3">
      <c r="A584" t="s">
        <v>3</v>
      </c>
      <c r="B584" t="s">
        <v>79</v>
      </c>
      <c r="C584" t="s">
        <v>151</v>
      </c>
      <c r="D584" s="22" t="s">
        <v>188</v>
      </c>
      <c r="E584" t="s">
        <v>19</v>
      </c>
      <c r="F584" s="1">
        <v>9.6585648148148149E-4</v>
      </c>
      <c r="G584" s="37">
        <v>2.2400000000000002</v>
      </c>
      <c r="H584">
        <v>2.84</v>
      </c>
      <c r="I584" s="37">
        <v>1.0169999999999999</v>
      </c>
      <c r="J584">
        <f t="shared" si="9"/>
        <v>2.8882799999999995</v>
      </c>
    </row>
    <row r="585" spans="1:10" x14ac:dyDescent="0.3">
      <c r="A585" t="s">
        <v>3</v>
      </c>
      <c r="B585" t="s">
        <v>79</v>
      </c>
      <c r="C585" t="s">
        <v>151</v>
      </c>
      <c r="D585" s="22" t="s">
        <v>188</v>
      </c>
      <c r="E585" t="s">
        <v>45</v>
      </c>
      <c r="F585" s="1">
        <v>9.6759259259259248E-4</v>
      </c>
      <c r="G585" s="37">
        <v>2.2400000000000002</v>
      </c>
      <c r="H585">
        <v>2.85</v>
      </c>
      <c r="I585" s="37">
        <v>1.0169999999999999</v>
      </c>
      <c r="J585">
        <f t="shared" si="9"/>
        <v>2.89845</v>
      </c>
    </row>
    <row r="586" spans="1:10" x14ac:dyDescent="0.3">
      <c r="A586" t="s">
        <v>3</v>
      </c>
      <c r="B586" t="s">
        <v>79</v>
      </c>
      <c r="C586" t="s">
        <v>151</v>
      </c>
      <c r="D586" s="22" t="s">
        <v>188</v>
      </c>
      <c r="E586" t="s">
        <v>46</v>
      </c>
      <c r="F586" s="1">
        <v>9.6575231481481479E-4</v>
      </c>
      <c r="G586" s="37">
        <v>2.25</v>
      </c>
      <c r="H586">
        <v>2.84</v>
      </c>
      <c r="I586" s="37">
        <v>1.0169999999999999</v>
      </c>
      <c r="J586">
        <f t="shared" si="9"/>
        <v>2.8882799999999995</v>
      </c>
    </row>
    <row r="587" spans="1:10" x14ac:dyDescent="0.3">
      <c r="A587" t="s">
        <v>3</v>
      </c>
      <c r="B587" t="s">
        <v>79</v>
      </c>
      <c r="C587" t="s">
        <v>151</v>
      </c>
      <c r="D587" s="22" t="s">
        <v>188</v>
      </c>
      <c r="E587" t="s">
        <v>47</v>
      </c>
      <c r="F587" s="1">
        <v>9.6960648148148145E-4</v>
      </c>
      <c r="G587" s="37">
        <v>2.25</v>
      </c>
      <c r="H587">
        <v>2.85</v>
      </c>
      <c r="I587" s="37">
        <v>1.0169999999999999</v>
      </c>
      <c r="J587">
        <f t="shared" si="9"/>
        <v>2.89845</v>
      </c>
    </row>
    <row r="588" spans="1:10" x14ac:dyDescent="0.3">
      <c r="A588" t="s">
        <v>3</v>
      </c>
      <c r="B588" t="s">
        <v>79</v>
      </c>
      <c r="C588" t="s">
        <v>151</v>
      </c>
      <c r="D588" s="22" t="s">
        <v>188</v>
      </c>
      <c r="E588" t="s">
        <v>48</v>
      </c>
      <c r="F588" s="1">
        <v>9.7084490740740746E-4</v>
      </c>
      <c r="G588" s="37">
        <v>2.23</v>
      </c>
      <c r="H588">
        <v>2.82</v>
      </c>
      <c r="I588" s="37">
        <v>1.0169999999999999</v>
      </c>
      <c r="J588">
        <f t="shared" si="9"/>
        <v>2.8679399999999995</v>
      </c>
    </row>
    <row r="589" spans="1:10" x14ac:dyDescent="0.3">
      <c r="A589" t="s">
        <v>3</v>
      </c>
      <c r="B589" t="s">
        <v>79</v>
      </c>
      <c r="C589" t="s">
        <v>151</v>
      </c>
      <c r="D589" s="22" t="s">
        <v>188</v>
      </c>
      <c r="E589" t="s">
        <v>49</v>
      </c>
      <c r="F589" s="1">
        <v>9.7262731481481473E-4</v>
      </c>
      <c r="G589" s="37">
        <v>2.25</v>
      </c>
      <c r="H589">
        <v>2.84</v>
      </c>
      <c r="I589" s="37">
        <v>1.0169999999999999</v>
      </c>
      <c r="J589">
        <f t="shared" si="9"/>
        <v>2.8882799999999995</v>
      </c>
    </row>
    <row r="590" spans="1:10" x14ac:dyDescent="0.3">
      <c r="A590" t="s">
        <v>3</v>
      </c>
      <c r="B590" t="s">
        <v>79</v>
      </c>
      <c r="C590" t="s">
        <v>151</v>
      </c>
      <c r="D590" s="22" t="s">
        <v>188</v>
      </c>
      <c r="E590" t="s">
        <v>50</v>
      </c>
      <c r="F590" s="1">
        <v>9.7321759259259258E-4</v>
      </c>
      <c r="G590" s="37">
        <v>2.23</v>
      </c>
      <c r="H590">
        <v>2.84</v>
      </c>
      <c r="I590" s="37">
        <v>1.0169999999999999</v>
      </c>
      <c r="J590">
        <f t="shared" si="9"/>
        <v>2.8882799999999995</v>
      </c>
    </row>
    <row r="591" spans="1:10" x14ac:dyDescent="0.3">
      <c r="A591" t="s">
        <v>3</v>
      </c>
      <c r="B591" t="s">
        <v>79</v>
      </c>
      <c r="C591" t="s">
        <v>151</v>
      </c>
      <c r="D591" s="22" t="s">
        <v>188</v>
      </c>
      <c r="E591" t="s">
        <v>52</v>
      </c>
      <c r="F591" s="1">
        <v>9.7719907407407412E-4</v>
      </c>
      <c r="G591" s="37">
        <v>2.2000000000000002</v>
      </c>
      <c r="H591">
        <v>2.8</v>
      </c>
      <c r="I591" s="37">
        <v>1.0169999999999999</v>
      </c>
      <c r="J591">
        <f t="shared" si="9"/>
        <v>2.8475999999999995</v>
      </c>
    </row>
    <row r="592" spans="1:10" x14ac:dyDescent="0.3">
      <c r="A592" t="s">
        <v>3</v>
      </c>
      <c r="B592" t="s">
        <v>79</v>
      </c>
      <c r="C592" t="s">
        <v>151</v>
      </c>
      <c r="D592" s="22" t="s">
        <v>188</v>
      </c>
      <c r="E592" t="s">
        <v>53</v>
      </c>
      <c r="F592" s="1">
        <v>9.6959490740740741E-4</v>
      </c>
      <c r="G592" s="37">
        <v>2.17</v>
      </c>
      <c r="H592">
        <v>2.77</v>
      </c>
      <c r="I592" s="37">
        <v>1.0169999999999999</v>
      </c>
      <c r="J592">
        <f t="shared" si="9"/>
        <v>2.8170899999999999</v>
      </c>
    </row>
    <row r="593" spans="1:10" x14ac:dyDescent="0.3">
      <c r="A593" t="s">
        <v>3</v>
      </c>
      <c r="B593" t="s">
        <v>79</v>
      </c>
      <c r="C593" t="s">
        <v>151</v>
      </c>
      <c r="D593" s="22" t="s">
        <v>188</v>
      </c>
      <c r="E593" t="s">
        <v>54</v>
      </c>
      <c r="F593" s="1">
        <v>9.6910879629629625E-4</v>
      </c>
      <c r="G593" s="37">
        <v>2.14</v>
      </c>
      <c r="H593">
        <v>2.74</v>
      </c>
      <c r="I593" s="37">
        <v>1.0169999999999999</v>
      </c>
      <c r="J593">
        <f t="shared" si="9"/>
        <v>2.7865799999999998</v>
      </c>
    </row>
    <row r="594" spans="1:10" x14ac:dyDescent="0.3">
      <c r="A594" t="s">
        <v>3</v>
      </c>
      <c r="B594" t="s">
        <v>79</v>
      </c>
      <c r="C594" t="s">
        <v>151</v>
      </c>
      <c r="D594" s="22" t="s">
        <v>188</v>
      </c>
      <c r="E594" t="s">
        <v>55</v>
      </c>
      <c r="F594" s="1">
        <v>9.7121527777777777E-4</v>
      </c>
      <c r="G594" s="37">
        <v>2.14</v>
      </c>
      <c r="H594">
        <v>2.73</v>
      </c>
      <c r="I594" s="37">
        <v>1.0169999999999999</v>
      </c>
      <c r="J594">
        <f t="shared" si="9"/>
        <v>2.7764099999999998</v>
      </c>
    </row>
    <row r="595" spans="1:10" x14ac:dyDescent="0.3">
      <c r="A595" t="s">
        <v>3</v>
      </c>
      <c r="B595" t="s">
        <v>79</v>
      </c>
      <c r="C595" t="s">
        <v>151</v>
      </c>
      <c r="D595" s="22" t="s">
        <v>188</v>
      </c>
      <c r="E595" t="s">
        <v>56</v>
      </c>
      <c r="F595" s="1">
        <v>9.7449074074074072E-4</v>
      </c>
      <c r="G595" s="37">
        <v>2.11</v>
      </c>
      <c r="H595">
        <v>2.7</v>
      </c>
      <c r="I595" s="37">
        <v>1.0169999999999999</v>
      </c>
      <c r="J595">
        <f t="shared" si="9"/>
        <v>2.7458999999999998</v>
      </c>
    </row>
    <row r="596" spans="1:10" x14ac:dyDescent="0.3">
      <c r="A596" t="s">
        <v>3</v>
      </c>
      <c r="B596" t="s">
        <v>79</v>
      </c>
      <c r="C596" t="s">
        <v>151</v>
      </c>
      <c r="D596" s="22" t="s">
        <v>188</v>
      </c>
      <c r="E596" t="s">
        <v>57</v>
      </c>
      <c r="F596" s="1">
        <v>9.6760416666666663E-4</v>
      </c>
      <c r="G596" s="37">
        <v>2.19</v>
      </c>
      <c r="H596">
        <v>2.79</v>
      </c>
      <c r="I596" s="37">
        <v>1.0169999999999999</v>
      </c>
      <c r="J596">
        <f t="shared" si="9"/>
        <v>2.8374299999999999</v>
      </c>
    </row>
    <row r="597" spans="1:10" x14ac:dyDescent="0.3">
      <c r="A597" t="s">
        <v>3</v>
      </c>
      <c r="B597" t="s">
        <v>79</v>
      </c>
      <c r="C597" t="s">
        <v>151</v>
      </c>
      <c r="D597" s="22" t="s">
        <v>188</v>
      </c>
      <c r="E597" t="s">
        <v>58</v>
      </c>
      <c r="F597" s="1">
        <v>9.6892361111111116E-4</v>
      </c>
      <c r="G597" s="37">
        <v>2.19</v>
      </c>
      <c r="H597">
        <v>2.8</v>
      </c>
      <c r="I597" s="37">
        <v>1.0169999999999999</v>
      </c>
      <c r="J597">
        <f t="shared" si="9"/>
        <v>2.8475999999999995</v>
      </c>
    </row>
    <row r="598" spans="1:10" x14ac:dyDescent="0.3">
      <c r="A598" t="s">
        <v>3</v>
      </c>
      <c r="B598" t="s">
        <v>79</v>
      </c>
      <c r="C598" t="s">
        <v>151</v>
      </c>
      <c r="D598" s="22" t="s">
        <v>188</v>
      </c>
      <c r="E598" t="s">
        <v>72</v>
      </c>
      <c r="F598" s="1">
        <v>9.6782407407407407E-4</v>
      </c>
      <c r="G598" s="37">
        <v>2.19</v>
      </c>
      <c r="H598">
        <v>2.8</v>
      </c>
      <c r="I598" s="37">
        <v>1.0169999999999999</v>
      </c>
      <c r="J598">
        <f t="shared" si="9"/>
        <v>2.8475999999999995</v>
      </c>
    </row>
    <row r="599" spans="1:10" x14ac:dyDescent="0.3">
      <c r="A599" t="s">
        <v>3</v>
      </c>
      <c r="B599" t="s">
        <v>79</v>
      </c>
      <c r="C599" t="s">
        <v>151</v>
      </c>
      <c r="D599" s="22" t="s">
        <v>188</v>
      </c>
      <c r="E599" t="s">
        <v>59</v>
      </c>
      <c r="F599" s="1">
        <v>9.8033564814814815E-4</v>
      </c>
      <c r="G599" s="37">
        <v>2.2000000000000002</v>
      </c>
      <c r="H599">
        <v>2.8</v>
      </c>
      <c r="I599" s="37">
        <v>1.0169999999999999</v>
      </c>
      <c r="J599">
        <f t="shared" si="9"/>
        <v>2.8475999999999995</v>
      </c>
    </row>
    <row r="600" spans="1:10" x14ac:dyDescent="0.3">
      <c r="A600" t="s">
        <v>3</v>
      </c>
      <c r="B600" t="s">
        <v>79</v>
      </c>
      <c r="C600" t="s">
        <v>151</v>
      </c>
      <c r="D600" s="22" t="s">
        <v>188</v>
      </c>
      <c r="E600" t="s">
        <v>60</v>
      </c>
      <c r="F600" s="1">
        <v>9.7495370370370379E-4</v>
      </c>
      <c r="G600" s="37">
        <v>2.2000000000000002</v>
      </c>
      <c r="H600">
        <v>2.81</v>
      </c>
      <c r="I600" s="37">
        <v>1.0169999999999999</v>
      </c>
      <c r="J600">
        <f t="shared" si="9"/>
        <v>2.8577699999999999</v>
      </c>
    </row>
    <row r="601" spans="1:10" x14ac:dyDescent="0.3">
      <c r="A601" t="s">
        <v>3</v>
      </c>
      <c r="B601" t="s">
        <v>79</v>
      </c>
      <c r="C601" t="s">
        <v>151</v>
      </c>
      <c r="D601" s="22" t="s">
        <v>188</v>
      </c>
      <c r="E601" t="s">
        <v>61</v>
      </c>
      <c r="F601" s="1">
        <v>9.7438657407407402E-4</v>
      </c>
      <c r="G601" s="37">
        <v>2.2200000000000002</v>
      </c>
      <c r="H601">
        <v>2.83</v>
      </c>
      <c r="I601" s="37">
        <v>1.0169999999999999</v>
      </c>
      <c r="J601">
        <f t="shared" si="9"/>
        <v>2.8781099999999999</v>
      </c>
    </row>
    <row r="602" spans="1:10" x14ac:dyDescent="0.3">
      <c r="A602" t="s">
        <v>3</v>
      </c>
      <c r="B602" t="s">
        <v>79</v>
      </c>
      <c r="C602" t="s">
        <v>151</v>
      </c>
      <c r="D602" s="22" t="s">
        <v>188</v>
      </c>
      <c r="E602" t="s">
        <v>62</v>
      </c>
      <c r="F602" s="1">
        <v>9.7337962962962959E-4</v>
      </c>
      <c r="G602" s="37">
        <v>2.2200000000000002</v>
      </c>
      <c r="H602">
        <v>2.83</v>
      </c>
      <c r="I602" s="37">
        <v>1.0169999999999999</v>
      </c>
      <c r="J602">
        <f t="shared" si="9"/>
        <v>2.8781099999999999</v>
      </c>
    </row>
    <row r="603" spans="1:10" x14ac:dyDescent="0.3">
      <c r="A603" t="s">
        <v>3</v>
      </c>
      <c r="B603" t="s">
        <v>79</v>
      </c>
      <c r="C603" t="s">
        <v>151</v>
      </c>
      <c r="D603" s="22" t="s">
        <v>188</v>
      </c>
      <c r="E603" t="s">
        <v>63</v>
      </c>
      <c r="F603" s="1">
        <v>9.7215277777777773E-4</v>
      </c>
      <c r="G603" s="37">
        <v>2.2000000000000002</v>
      </c>
      <c r="H603">
        <v>2.81</v>
      </c>
      <c r="I603" s="37">
        <v>1.0169999999999999</v>
      </c>
      <c r="J603">
        <f t="shared" si="9"/>
        <v>2.8577699999999999</v>
      </c>
    </row>
    <row r="604" spans="1:10" x14ac:dyDescent="0.3">
      <c r="A604" t="s">
        <v>3</v>
      </c>
      <c r="B604" t="s">
        <v>79</v>
      </c>
      <c r="C604" t="s">
        <v>151</v>
      </c>
      <c r="D604" s="22" t="s">
        <v>188</v>
      </c>
      <c r="E604" t="s">
        <v>64</v>
      </c>
      <c r="F604" s="1">
        <v>9.7524305555555548E-4</v>
      </c>
      <c r="G604" s="37">
        <v>2.2000000000000002</v>
      </c>
      <c r="H604">
        <v>2.8</v>
      </c>
      <c r="I604" s="37">
        <v>1.0169999999999999</v>
      </c>
      <c r="J604">
        <f t="shared" si="9"/>
        <v>2.8475999999999995</v>
      </c>
    </row>
    <row r="605" spans="1:10" x14ac:dyDescent="0.3">
      <c r="A605" t="s">
        <v>3</v>
      </c>
      <c r="B605" t="s">
        <v>79</v>
      </c>
      <c r="C605" t="s">
        <v>151</v>
      </c>
      <c r="D605" s="22" t="s">
        <v>188</v>
      </c>
      <c r="E605" t="s">
        <v>65</v>
      </c>
      <c r="F605" s="1">
        <v>9.7611111111111108E-4</v>
      </c>
      <c r="G605" s="37">
        <v>2.19</v>
      </c>
      <c r="H605">
        <v>2.79</v>
      </c>
      <c r="I605" s="37">
        <v>1.0169999999999999</v>
      </c>
      <c r="J605">
        <f t="shared" si="9"/>
        <v>2.8374299999999999</v>
      </c>
    </row>
    <row r="606" spans="1:10" x14ac:dyDescent="0.3">
      <c r="A606" t="s">
        <v>3</v>
      </c>
      <c r="B606" t="s">
        <v>79</v>
      </c>
      <c r="C606" t="s">
        <v>151</v>
      </c>
      <c r="D606" s="22" t="s">
        <v>188</v>
      </c>
      <c r="E606" t="s">
        <v>66</v>
      </c>
      <c r="F606" s="1">
        <v>9.7721064814814806E-4</v>
      </c>
      <c r="G606" s="37">
        <v>2.19</v>
      </c>
      <c r="H606">
        <v>2.8</v>
      </c>
      <c r="I606" s="37">
        <v>1.0169999999999999</v>
      </c>
      <c r="J606">
        <f t="shared" si="9"/>
        <v>2.8475999999999995</v>
      </c>
    </row>
    <row r="607" spans="1:10" x14ac:dyDescent="0.3">
      <c r="A607" t="s">
        <v>3</v>
      </c>
      <c r="B607" t="s">
        <v>79</v>
      </c>
      <c r="C607" t="s">
        <v>151</v>
      </c>
      <c r="D607" t="s">
        <v>188</v>
      </c>
      <c r="E607" t="s">
        <v>67</v>
      </c>
      <c r="F607" s="1">
        <v>9.8008101851851858E-4</v>
      </c>
      <c r="G607" s="37">
        <v>2.2000000000000002</v>
      </c>
      <c r="H607">
        <v>2.81</v>
      </c>
      <c r="I607" s="37">
        <v>1.0169999999999999</v>
      </c>
      <c r="J607">
        <f t="shared" si="9"/>
        <v>2.8577699999999999</v>
      </c>
    </row>
    <row r="608" spans="1:10" x14ac:dyDescent="0.3">
      <c r="A608" t="s">
        <v>3</v>
      </c>
      <c r="B608" t="s">
        <v>79</v>
      </c>
      <c r="C608" t="s">
        <v>151</v>
      </c>
      <c r="D608" t="s">
        <v>188</v>
      </c>
      <c r="E608" t="s">
        <v>68</v>
      </c>
      <c r="F608" s="1">
        <v>9.81273148148148E-4</v>
      </c>
      <c r="G608" s="37">
        <v>2.19</v>
      </c>
      <c r="H608">
        <v>2.8</v>
      </c>
      <c r="I608" s="37">
        <v>1.0169999999999999</v>
      </c>
      <c r="J608">
        <f t="shared" si="9"/>
        <v>2.8475999999999995</v>
      </c>
    </row>
    <row r="609" spans="1:10" x14ac:dyDescent="0.3">
      <c r="A609" t="s">
        <v>3</v>
      </c>
      <c r="B609" t="s">
        <v>79</v>
      </c>
      <c r="C609" t="s">
        <v>151</v>
      </c>
      <c r="D609" t="s">
        <v>188</v>
      </c>
      <c r="E609" t="s">
        <v>69</v>
      </c>
      <c r="F609" s="1">
        <v>9.8055555555555548E-4</v>
      </c>
      <c r="G609" s="37">
        <v>2.17</v>
      </c>
      <c r="H609">
        <v>2.78</v>
      </c>
      <c r="I609" s="37">
        <v>1.0169999999999999</v>
      </c>
      <c r="J609">
        <f t="shared" si="9"/>
        <v>2.8272599999999994</v>
      </c>
    </row>
    <row r="610" spans="1:10" x14ac:dyDescent="0.3">
      <c r="A610" t="s">
        <v>3</v>
      </c>
      <c r="B610" t="s">
        <v>79</v>
      </c>
      <c r="C610" t="s">
        <v>151</v>
      </c>
      <c r="D610" t="s">
        <v>188</v>
      </c>
      <c r="E610" t="s">
        <v>70</v>
      </c>
      <c r="F610" s="1">
        <v>9.8121527777777768E-4</v>
      </c>
      <c r="G610" s="37">
        <v>2.16</v>
      </c>
      <c r="H610">
        <v>2.76</v>
      </c>
      <c r="I610" s="37">
        <v>1.0169999999999999</v>
      </c>
      <c r="J610">
        <f t="shared" si="9"/>
        <v>2.8069199999999994</v>
      </c>
    </row>
    <row r="611" spans="1:10" x14ac:dyDescent="0.3">
      <c r="A611" t="s">
        <v>3</v>
      </c>
      <c r="B611" t="s">
        <v>79</v>
      </c>
      <c r="C611" t="s">
        <v>151</v>
      </c>
      <c r="D611" t="s">
        <v>188</v>
      </c>
      <c r="E611" t="s">
        <v>71</v>
      </c>
      <c r="F611" s="1">
        <v>9.8337962962962962E-4</v>
      </c>
      <c r="G611" s="37">
        <v>2.14</v>
      </c>
      <c r="H611">
        <v>2.73</v>
      </c>
      <c r="I611" s="37">
        <v>1.0169999999999999</v>
      </c>
      <c r="J611">
        <f t="shared" si="9"/>
        <v>2.7764099999999998</v>
      </c>
    </row>
    <row r="612" spans="1:10" x14ac:dyDescent="0.3">
      <c r="A612" t="s">
        <v>3</v>
      </c>
      <c r="B612" t="s">
        <v>85</v>
      </c>
      <c r="C612" t="s">
        <v>151</v>
      </c>
      <c r="D612" t="s">
        <v>189</v>
      </c>
      <c r="E612" t="s">
        <v>9</v>
      </c>
      <c r="F612" s="1">
        <v>9.6523148148148152E-4</v>
      </c>
      <c r="G612" s="37">
        <v>2.19</v>
      </c>
      <c r="H612">
        <v>2.73</v>
      </c>
      <c r="I612" s="37">
        <v>1.04</v>
      </c>
      <c r="J612">
        <f t="shared" si="9"/>
        <v>2.8391999999999999</v>
      </c>
    </row>
    <row r="613" spans="1:10" x14ac:dyDescent="0.3">
      <c r="A613" t="s">
        <v>3</v>
      </c>
      <c r="B613" t="s">
        <v>85</v>
      </c>
      <c r="C613" t="s">
        <v>151</v>
      </c>
      <c r="D613" t="s">
        <v>189</v>
      </c>
      <c r="E613" t="s">
        <v>10</v>
      </c>
      <c r="F613" s="1">
        <v>9.662268518518518E-4</v>
      </c>
      <c r="G613" s="37">
        <v>2.19</v>
      </c>
      <c r="H613">
        <v>2.74</v>
      </c>
      <c r="I613" s="37">
        <v>1.04</v>
      </c>
      <c r="J613">
        <f t="shared" si="9"/>
        <v>2.8496000000000001</v>
      </c>
    </row>
    <row r="614" spans="1:10" x14ac:dyDescent="0.3">
      <c r="A614" t="s">
        <v>3</v>
      </c>
      <c r="B614" t="s">
        <v>85</v>
      </c>
      <c r="C614" t="s">
        <v>151</v>
      </c>
      <c r="D614" t="s">
        <v>189</v>
      </c>
      <c r="E614" t="s">
        <v>15</v>
      </c>
      <c r="F614" s="1">
        <v>9.6550925925925927E-4</v>
      </c>
      <c r="G614" s="37">
        <v>2.2000000000000002</v>
      </c>
      <c r="H614">
        <v>2.74</v>
      </c>
      <c r="I614" s="37">
        <v>1.04</v>
      </c>
      <c r="J614">
        <f t="shared" si="9"/>
        <v>2.8496000000000001</v>
      </c>
    </row>
    <row r="615" spans="1:10" x14ac:dyDescent="0.3">
      <c r="A615" t="s">
        <v>3</v>
      </c>
      <c r="B615" t="s">
        <v>85</v>
      </c>
      <c r="C615" t="s">
        <v>151</v>
      </c>
      <c r="D615" t="s">
        <v>189</v>
      </c>
      <c r="E615" t="s">
        <v>16</v>
      </c>
      <c r="F615" s="1">
        <v>9.6708333333333325E-4</v>
      </c>
      <c r="G615" s="37">
        <v>2.19</v>
      </c>
      <c r="H615">
        <v>2.73</v>
      </c>
      <c r="I615" s="37">
        <v>1.04</v>
      </c>
      <c r="J615">
        <f t="shared" si="9"/>
        <v>2.8391999999999999</v>
      </c>
    </row>
    <row r="616" spans="1:10" x14ac:dyDescent="0.3">
      <c r="A616" t="s">
        <v>3</v>
      </c>
      <c r="B616" t="s">
        <v>85</v>
      </c>
      <c r="C616" t="s">
        <v>151</v>
      </c>
      <c r="D616" t="s">
        <v>189</v>
      </c>
      <c r="E616" t="s">
        <v>17</v>
      </c>
      <c r="F616" s="1">
        <v>9.6616898148148148E-4</v>
      </c>
      <c r="G616" s="37">
        <v>2.21</v>
      </c>
      <c r="H616">
        <v>2.75</v>
      </c>
      <c r="I616" s="37">
        <v>1.04</v>
      </c>
      <c r="J616">
        <f t="shared" si="9"/>
        <v>2.8600000000000003</v>
      </c>
    </row>
    <row r="617" spans="1:10" x14ac:dyDescent="0.3">
      <c r="A617" t="s">
        <v>3</v>
      </c>
      <c r="B617" t="s">
        <v>85</v>
      </c>
      <c r="C617" t="s">
        <v>151</v>
      </c>
      <c r="D617" t="s">
        <v>189</v>
      </c>
      <c r="E617" t="s">
        <v>18</v>
      </c>
      <c r="F617" s="1">
        <v>9.6678240740740741E-4</v>
      </c>
      <c r="G617" s="37">
        <v>2.23</v>
      </c>
      <c r="H617">
        <v>2.77</v>
      </c>
      <c r="I617" s="37">
        <v>1.04</v>
      </c>
      <c r="J617">
        <f t="shared" si="9"/>
        <v>2.8808000000000002</v>
      </c>
    </row>
    <row r="618" spans="1:10" x14ac:dyDescent="0.3">
      <c r="A618" t="s">
        <v>3</v>
      </c>
      <c r="B618" t="s">
        <v>85</v>
      </c>
      <c r="C618" t="s">
        <v>151</v>
      </c>
      <c r="D618" t="s">
        <v>189</v>
      </c>
      <c r="E618" t="s">
        <v>19</v>
      </c>
      <c r="F618" s="1">
        <v>9.671990740740741E-4</v>
      </c>
      <c r="G618" s="37">
        <v>2.2200000000000002</v>
      </c>
      <c r="H618">
        <v>2.76</v>
      </c>
      <c r="I618" s="37">
        <v>1.04</v>
      </c>
      <c r="J618">
        <f t="shared" si="9"/>
        <v>2.8704000000000001</v>
      </c>
    </row>
    <row r="619" spans="1:10" x14ac:dyDescent="0.3">
      <c r="A619" t="s">
        <v>3</v>
      </c>
      <c r="B619" t="s">
        <v>85</v>
      </c>
      <c r="C619" t="s">
        <v>151</v>
      </c>
      <c r="D619" t="s">
        <v>189</v>
      </c>
      <c r="E619" t="s">
        <v>45</v>
      </c>
      <c r="F619" s="1">
        <v>9.6766203703703695E-4</v>
      </c>
      <c r="G619" s="37">
        <v>2.2000000000000002</v>
      </c>
      <c r="H619">
        <v>2.73</v>
      </c>
      <c r="I619" s="37">
        <v>1.04</v>
      </c>
      <c r="J619">
        <f t="shared" si="9"/>
        <v>2.8391999999999999</v>
      </c>
    </row>
    <row r="620" spans="1:10" x14ac:dyDescent="0.3">
      <c r="A620" t="s">
        <v>3</v>
      </c>
      <c r="B620" t="s">
        <v>85</v>
      </c>
      <c r="C620" t="s">
        <v>151</v>
      </c>
      <c r="D620" t="s">
        <v>189</v>
      </c>
      <c r="E620" t="s">
        <v>46</v>
      </c>
      <c r="F620" s="1">
        <v>9.7013888888888877E-4</v>
      </c>
      <c r="G620" s="37">
        <v>2.19</v>
      </c>
      <c r="H620">
        <v>2.71</v>
      </c>
      <c r="I620" s="37">
        <v>1.04</v>
      </c>
      <c r="J620">
        <f t="shared" si="9"/>
        <v>2.8184</v>
      </c>
    </row>
    <row r="621" spans="1:10" x14ac:dyDescent="0.3">
      <c r="A621" t="s">
        <v>3</v>
      </c>
      <c r="B621" t="s">
        <v>85</v>
      </c>
      <c r="C621" t="s">
        <v>151</v>
      </c>
      <c r="D621" t="s">
        <v>189</v>
      </c>
      <c r="E621" t="s">
        <v>47</v>
      </c>
      <c r="F621" s="1">
        <v>9.7055555555555545E-4</v>
      </c>
      <c r="G621" s="37">
        <v>2.19</v>
      </c>
      <c r="H621">
        <v>2.71</v>
      </c>
      <c r="I621" s="37">
        <v>1.04</v>
      </c>
      <c r="J621">
        <f t="shared" si="9"/>
        <v>2.8184</v>
      </c>
    </row>
    <row r="622" spans="1:10" x14ac:dyDescent="0.3">
      <c r="A622" t="s">
        <v>3</v>
      </c>
      <c r="B622" t="s">
        <v>85</v>
      </c>
      <c r="C622" t="s">
        <v>151</v>
      </c>
      <c r="D622" t="s">
        <v>189</v>
      </c>
      <c r="E622" t="s">
        <v>48</v>
      </c>
      <c r="F622" s="1">
        <v>9.7548611111111111E-4</v>
      </c>
      <c r="G622" s="37">
        <v>2.17</v>
      </c>
      <c r="H622">
        <v>2.7</v>
      </c>
      <c r="I622" s="37">
        <v>1.04</v>
      </c>
      <c r="J622">
        <f t="shared" si="9"/>
        <v>2.8080000000000003</v>
      </c>
    </row>
    <row r="623" spans="1:10" x14ac:dyDescent="0.3">
      <c r="A623" t="s">
        <v>3</v>
      </c>
      <c r="B623" t="s">
        <v>85</v>
      </c>
      <c r="C623" t="s">
        <v>151</v>
      </c>
      <c r="D623" t="s">
        <v>189</v>
      </c>
      <c r="E623" t="s">
        <v>49</v>
      </c>
      <c r="F623" s="1">
        <v>9.716435185185186E-4</v>
      </c>
      <c r="G623" s="37">
        <v>2.17</v>
      </c>
      <c r="H623">
        <v>2.69</v>
      </c>
      <c r="I623" s="37">
        <v>1.04</v>
      </c>
      <c r="J623">
        <f t="shared" si="9"/>
        <v>2.7976000000000001</v>
      </c>
    </row>
    <row r="624" spans="1:10" x14ac:dyDescent="0.3">
      <c r="A624" t="s">
        <v>3</v>
      </c>
      <c r="B624" t="s">
        <v>85</v>
      </c>
      <c r="C624" t="s">
        <v>151</v>
      </c>
      <c r="D624" t="s">
        <v>189</v>
      </c>
      <c r="E624" t="s">
        <v>50</v>
      </c>
      <c r="F624" s="1">
        <v>9.7380787037037032E-4</v>
      </c>
      <c r="G624" s="37">
        <v>2.19</v>
      </c>
      <c r="H624">
        <v>2.71</v>
      </c>
      <c r="I624" s="37">
        <v>1.04</v>
      </c>
      <c r="J624">
        <f t="shared" si="9"/>
        <v>2.8184</v>
      </c>
    </row>
    <row r="625" spans="1:10" x14ac:dyDescent="0.3">
      <c r="A625" t="s">
        <v>3</v>
      </c>
      <c r="B625" t="s">
        <v>85</v>
      </c>
      <c r="C625" t="s">
        <v>151</v>
      </c>
      <c r="D625" t="s">
        <v>189</v>
      </c>
      <c r="E625" t="s">
        <v>51</v>
      </c>
      <c r="F625" s="1">
        <v>9.7258101851851856E-4</v>
      </c>
      <c r="G625" s="37">
        <v>2.19</v>
      </c>
      <c r="H625">
        <v>2.71</v>
      </c>
      <c r="I625" s="37">
        <v>1.04</v>
      </c>
      <c r="J625">
        <f t="shared" si="9"/>
        <v>2.8184</v>
      </c>
    </row>
    <row r="626" spans="1:10" x14ac:dyDescent="0.3">
      <c r="A626" t="s">
        <v>3</v>
      </c>
      <c r="B626" t="s">
        <v>85</v>
      </c>
      <c r="C626" t="s">
        <v>151</v>
      </c>
      <c r="D626" t="s">
        <v>189</v>
      </c>
      <c r="E626" t="s">
        <v>52</v>
      </c>
      <c r="F626" s="1">
        <v>9.7268518518518505E-4</v>
      </c>
      <c r="G626" s="37">
        <v>2.17</v>
      </c>
      <c r="H626">
        <v>2.7</v>
      </c>
      <c r="I626" s="37">
        <v>1.04</v>
      </c>
      <c r="J626">
        <f t="shared" si="9"/>
        <v>2.8080000000000003</v>
      </c>
    </row>
    <row r="627" spans="1:10" x14ac:dyDescent="0.3">
      <c r="A627" t="s">
        <v>3</v>
      </c>
      <c r="B627" t="s">
        <v>85</v>
      </c>
      <c r="C627" t="s">
        <v>151</v>
      </c>
      <c r="D627" t="s">
        <v>189</v>
      </c>
      <c r="E627" t="s">
        <v>53</v>
      </c>
      <c r="F627" s="1">
        <v>9.7159722222222222E-4</v>
      </c>
      <c r="G627" s="37">
        <v>2.19</v>
      </c>
      <c r="H627">
        <v>2.72</v>
      </c>
      <c r="I627" s="37">
        <v>1.04</v>
      </c>
      <c r="J627">
        <f t="shared" si="9"/>
        <v>2.8288000000000002</v>
      </c>
    </row>
    <row r="628" spans="1:10" x14ac:dyDescent="0.3">
      <c r="A628" t="s">
        <v>3</v>
      </c>
      <c r="B628" t="s">
        <v>85</v>
      </c>
      <c r="C628" t="s">
        <v>151</v>
      </c>
      <c r="D628" t="s">
        <v>189</v>
      </c>
      <c r="E628" t="s">
        <v>55</v>
      </c>
      <c r="F628" s="1">
        <v>9.582870370370369E-4</v>
      </c>
      <c r="G628" s="37">
        <v>2.2200000000000002</v>
      </c>
      <c r="H628">
        <v>2.75</v>
      </c>
      <c r="I628" s="37">
        <v>1.04</v>
      </c>
      <c r="J628">
        <f t="shared" si="9"/>
        <v>2.8600000000000003</v>
      </c>
    </row>
    <row r="629" spans="1:10" x14ac:dyDescent="0.3">
      <c r="A629" t="s">
        <v>3</v>
      </c>
      <c r="B629" t="s">
        <v>85</v>
      </c>
      <c r="C629" t="s">
        <v>151</v>
      </c>
      <c r="D629" t="s">
        <v>189</v>
      </c>
      <c r="E629" t="s">
        <v>56</v>
      </c>
      <c r="F629" s="1">
        <v>9.597337962962962E-4</v>
      </c>
      <c r="G629" s="37">
        <v>2.2200000000000002</v>
      </c>
      <c r="H629">
        <v>2.77</v>
      </c>
      <c r="I629" s="37">
        <v>1.04</v>
      </c>
      <c r="J629">
        <f t="shared" si="9"/>
        <v>2.8808000000000002</v>
      </c>
    </row>
    <row r="630" spans="1:10" x14ac:dyDescent="0.3">
      <c r="A630" t="s">
        <v>3</v>
      </c>
      <c r="B630" t="s">
        <v>85</v>
      </c>
      <c r="C630" t="s">
        <v>151</v>
      </c>
      <c r="D630" t="s">
        <v>189</v>
      </c>
      <c r="E630" t="s">
        <v>57</v>
      </c>
      <c r="F630" s="1">
        <v>9.5909722222222219E-4</v>
      </c>
      <c r="G630" s="37">
        <v>2.2400000000000002</v>
      </c>
      <c r="H630">
        <v>2.79</v>
      </c>
      <c r="I630" s="37">
        <v>1.04</v>
      </c>
      <c r="J630">
        <f t="shared" si="9"/>
        <v>2.9016000000000002</v>
      </c>
    </row>
    <row r="631" spans="1:10" x14ac:dyDescent="0.3">
      <c r="A631" t="s">
        <v>3</v>
      </c>
      <c r="B631" t="s">
        <v>85</v>
      </c>
      <c r="C631" t="s">
        <v>151</v>
      </c>
      <c r="D631" t="s">
        <v>189</v>
      </c>
      <c r="E631" t="s">
        <v>58</v>
      </c>
      <c r="F631" s="1">
        <v>9.6350694444444446E-4</v>
      </c>
      <c r="G631" s="37">
        <v>2.2200000000000002</v>
      </c>
      <c r="H631">
        <v>2.76</v>
      </c>
      <c r="I631" s="37">
        <v>1.04</v>
      </c>
      <c r="J631">
        <f t="shared" si="9"/>
        <v>2.8704000000000001</v>
      </c>
    </row>
    <row r="632" spans="1:10" x14ac:dyDescent="0.3">
      <c r="A632" t="s">
        <v>3</v>
      </c>
      <c r="B632" t="s">
        <v>85</v>
      </c>
      <c r="C632" t="s">
        <v>151</v>
      </c>
      <c r="D632" t="s">
        <v>189</v>
      </c>
      <c r="E632" t="s">
        <v>72</v>
      </c>
      <c r="F632" s="1">
        <v>9.6041666666666671E-4</v>
      </c>
      <c r="G632" s="37">
        <v>2.23</v>
      </c>
      <c r="H632">
        <v>2.77</v>
      </c>
      <c r="I632" s="37">
        <v>1.04</v>
      </c>
      <c r="J632">
        <f t="shared" si="9"/>
        <v>2.8808000000000002</v>
      </c>
    </row>
    <row r="633" spans="1:10" x14ac:dyDescent="0.3">
      <c r="A633" t="s">
        <v>3</v>
      </c>
      <c r="B633" t="s">
        <v>85</v>
      </c>
      <c r="C633" t="s">
        <v>151</v>
      </c>
      <c r="D633" t="s">
        <v>189</v>
      </c>
      <c r="E633" t="s">
        <v>59</v>
      </c>
      <c r="F633" s="1">
        <v>9.6355324074074084E-4</v>
      </c>
      <c r="G633" s="37">
        <v>2.21</v>
      </c>
      <c r="H633">
        <v>2.76</v>
      </c>
      <c r="I633" s="37">
        <v>1.04</v>
      </c>
      <c r="J633">
        <f t="shared" si="9"/>
        <v>2.8704000000000001</v>
      </c>
    </row>
    <row r="634" spans="1:10" x14ac:dyDescent="0.3">
      <c r="A634" t="s">
        <v>3</v>
      </c>
      <c r="B634" t="s">
        <v>85</v>
      </c>
      <c r="C634" t="s">
        <v>151</v>
      </c>
      <c r="D634" t="s">
        <v>189</v>
      </c>
      <c r="E634" t="s">
        <v>60</v>
      </c>
      <c r="F634" s="1">
        <v>9.7408564814814818E-4</v>
      </c>
      <c r="G634" s="37">
        <v>2.15</v>
      </c>
      <c r="H634">
        <v>2.68</v>
      </c>
      <c r="I634" s="37">
        <v>1.04</v>
      </c>
      <c r="J634">
        <f t="shared" si="9"/>
        <v>2.7872000000000003</v>
      </c>
    </row>
    <row r="635" spans="1:10" x14ac:dyDescent="0.3">
      <c r="A635" t="s">
        <v>3</v>
      </c>
      <c r="B635" t="s">
        <v>85</v>
      </c>
      <c r="C635" t="s">
        <v>151</v>
      </c>
      <c r="D635" t="s">
        <v>189</v>
      </c>
      <c r="E635" t="s">
        <v>61</v>
      </c>
      <c r="F635" s="1">
        <v>9.7218749999999996E-4</v>
      </c>
      <c r="G635" s="37">
        <v>2.13</v>
      </c>
      <c r="H635">
        <v>2.66</v>
      </c>
      <c r="I635" s="37">
        <v>1.04</v>
      </c>
      <c r="J635">
        <f t="shared" si="9"/>
        <v>2.7664000000000004</v>
      </c>
    </row>
    <row r="636" spans="1:10" x14ac:dyDescent="0.3">
      <c r="A636" t="s">
        <v>3</v>
      </c>
      <c r="B636" t="s">
        <v>85</v>
      </c>
      <c r="C636" t="s">
        <v>151</v>
      </c>
      <c r="D636" t="s">
        <v>189</v>
      </c>
      <c r="E636" t="s">
        <v>62</v>
      </c>
      <c r="F636" s="1">
        <v>9.7245370370370367E-4</v>
      </c>
      <c r="G636" s="37">
        <v>2.13</v>
      </c>
      <c r="H636">
        <v>2.66</v>
      </c>
      <c r="I636" s="37">
        <v>1.04</v>
      </c>
      <c r="J636">
        <f t="shared" si="9"/>
        <v>2.7664000000000004</v>
      </c>
    </row>
    <row r="637" spans="1:10" x14ac:dyDescent="0.3">
      <c r="A637" t="s">
        <v>3</v>
      </c>
      <c r="B637" t="s">
        <v>85</v>
      </c>
      <c r="C637" t="s">
        <v>151</v>
      </c>
      <c r="D637" t="s">
        <v>189</v>
      </c>
      <c r="E637" t="s">
        <v>63</v>
      </c>
      <c r="F637" s="1">
        <v>9.7968749999999987E-4</v>
      </c>
      <c r="G637" s="37">
        <v>2.16</v>
      </c>
      <c r="H637">
        <v>2.71</v>
      </c>
      <c r="I637" s="37">
        <v>1.04</v>
      </c>
      <c r="J637">
        <f t="shared" si="9"/>
        <v>2.8184</v>
      </c>
    </row>
    <row r="638" spans="1:10" x14ac:dyDescent="0.3">
      <c r="A638" t="s">
        <v>3</v>
      </c>
      <c r="B638" t="s">
        <v>85</v>
      </c>
      <c r="C638" t="s">
        <v>151</v>
      </c>
      <c r="D638" t="s">
        <v>189</v>
      </c>
      <c r="E638" t="s">
        <v>64</v>
      </c>
      <c r="F638" s="1">
        <v>9.67488425925926E-4</v>
      </c>
      <c r="G638" s="37">
        <v>2.21</v>
      </c>
      <c r="H638">
        <v>2.77</v>
      </c>
      <c r="I638" s="37">
        <v>1.04</v>
      </c>
      <c r="J638">
        <f t="shared" si="9"/>
        <v>2.8808000000000002</v>
      </c>
    </row>
    <row r="639" spans="1:10" x14ac:dyDescent="0.3">
      <c r="A639" t="s">
        <v>3</v>
      </c>
      <c r="B639" t="s">
        <v>85</v>
      </c>
      <c r="C639" t="s">
        <v>151</v>
      </c>
      <c r="D639" t="s">
        <v>189</v>
      </c>
      <c r="E639" t="s">
        <v>65</v>
      </c>
      <c r="F639" s="1">
        <v>9.7640046296296299E-4</v>
      </c>
      <c r="G639" s="37">
        <v>2.16</v>
      </c>
      <c r="H639">
        <v>2.7</v>
      </c>
      <c r="I639" s="37">
        <v>1.04</v>
      </c>
      <c r="J639">
        <f t="shared" si="9"/>
        <v>2.8080000000000003</v>
      </c>
    </row>
    <row r="640" spans="1:10" x14ac:dyDescent="0.3">
      <c r="A640" t="s">
        <v>3</v>
      </c>
      <c r="B640" t="s">
        <v>85</v>
      </c>
      <c r="C640" t="s">
        <v>151</v>
      </c>
      <c r="D640" t="s">
        <v>189</v>
      </c>
      <c r="E640" t="s">
        <v>66</v>
      </c>
      <c r="F640" s="1">
        <v>9.7182870370370381E-4</v>
      </c>
      <c r="G640" s="37">
        <v>2.1800000000000002</v>
      </c>
      <c r="H640">
        <v>2.72</v>
      </c>
      <c r="I640" s="37">
        <v>1.04</v>
      </c>
      <c r="J640">
        <f t="shared" si="9"/>
        <v>2.8288000000000002</v>
      </c>
    </row>
    <row r="641" spans="1:10" x14ac:dyDescent="0.3">
      <c r="A641" t="s">
        <v>3</v>
      </c>
      <c r="B641" t="s">
        <v>85</v>
      </c>
      <c r="C641" t="s">
        <v>151</v>
      </c>
      <c r="D641" t="s">
        <v>189</v>
      </c>
      <c r="E641" t="s">
        <v>67</v>
      </c>
      <c r="F641" s="1">
        <v>9.7357638888888895E-4</v>
      </c>
      <c r="G641" s="37">
        <v>2.17</v>
      </c>
      <c r="H641">
        <v>2.72</v>
      </c>
      <c r="I641" s="37">
        <v>1.04</v>
      </c>
      <c r="J641">
        <f t="shared" si="9"/>
        <v>2.8288000000000002</v>
      </c>
    </row>
    <row r="642" spans="1:10" x14ac:dyDescent="0.3">
      <c r="A642" t="s">
        <v>3</v>
      </c>
      <c r="B642" t="s">
        <v>85</v>
      </c>
      <c r="C642" t="s">
        <v>151</v>
      </c>
      <c r="D642" t="s">
        <v>189</v>
      </c>
      <c r="E642" t="s">
        <v>68</v>
      </c>
      <c r="F642" s="1">
        <v>9.745370370370371E-4</v>
      </c>
      <c r="G642" s="37">
        <v>2.17</v>
      </c>
      <c r="H642">
        <v>2.71</v>
      </c>
      <c r="I642" s="37">
        <v>1.04</v>
      </c>
      <c r="J642">
        <f t="shared" si="9"/>
        <v>2.8184</v>
      </c>
    </row>
    <row r="643" spans="1:10" x14ac:dyDescent="0.3">
      <c r="A643" t="s">
        <v>3</v>
      </c>
      <c r="B643" t="s">
        <v>85</v>
      </c>
      <c r="C643" t="s">
        <v>151</v>
      </c>
      <c r="D643" t="s">
        <v>189</v>
      </c>
      <c r="E643" t="s">
        <v>69</v>
      </c>
      <c r="F643" s="1">
        <v>9.8496527777777775E-4</v>
      </c>
      <c r="G643" s="37">
        <v>2.13</v>
      </c>
      <c r="H643">
        <v>2.67</v>
      </c>
      <c r="I643" s="37">
        <v>1.04</v>
      </c>
      <c r="J643">
        <f t="shared" si="9"/>
        <v>2.7768000000000002</v>
      </c>
    </row>
    <row r="644" spans="1:10" x14ac:dyDescent="0.3">
      <c r="A644" t="s">
        <v>3</v>
      </c>
      <c r="B644" t="s">
        <v>85</v>
      </c>
      <c r="C644" t="s">
        <v>151</v>
      </c>
      <c r="D644" t="s">
        <v>189</v>
      </c>
      <c r="E644" t="s">
        <v>70</v>
      </c>
      <c r="F644" s="1">
        <v>9.8658564814814811E-4</v>
      </c>
      <c r="G644" s="37">
        <v>2.15</v>
      </c>
      <c r="H644">
        <v>2.7</v>
      </c>
      <c r="I644" s="37">
        <v>1.04</v>
      </c>
      <c r="J644">
        <f t="shared" ref="J644:J707" si="10">H644*I644</f>
        <v>2.8080000000000003</v>
      </c>
    </row>
    <row r="645" spans="1:10" x14ac:dyDescent="0.3">
      <c r="A645" t="s">
        <v>3</v>
      </c>
      <c r="B645" t="s">
        <v>85</v>
      </c>
      <c r="C645" t="s">
        <v>151</v>
      </c>
      <c r="D645" t="s">
        <v>189</v>
      </c>
      <c r="E645" t="s">
        <v>71</v>
      </c>
      <c r="F645" s="1">
        <v>9.7998842592592582E-4</v>
      </c>
      <c r="G645" s="37">
        <v>2.15</v>
      </c>
      <c r="H645">
        <v>2.7</v>
      </c>
      <c r="I645" s="37">
        <v>1.04</v>
      </c>
      <c r="J645">
        <f t="shared" si="10"/>
        <v>2.8080000000000003</v>
      </c>
    </row>
    <row r="646" spans="1:10" x14ac:dyDescent="0.3">
      <c r="A646" t="s">
        <v>25</v>
      </c>
      <c r="B646" t="s">
        <v>159</v>
      </c>
      <c r="C646" t="s">
        <v>151</v>
      </c>
      <c r="D646" s="22">
        <v>0.7153356481481481</v>
      </c>
      <c r="E646" t="s">
        <v>9</v>
      </c>
      <c r="F646" s="1">
        <v>9.7233796296296304E-4</v>
      </c>
      <c r="G646" s="37">
        <v>2.11</v>
      </c>
      <c r="H646">
        <v>3.3</v>
      </c>
      <c r="I646" s="37">
        <v>0.84499999999999997</v>
      </c>
      <c r="J646">
        <f t="shared" si="10"/>
        <v>2.7885</v>
      </c>
    </row>
    <row r="647" spans="1:10" x14ac:dyDescent="0.3">
      <c r="A647" t="s">
        <v>25</v>
      </c>
      <c r="B647" t="s">
        <v>159</v>
      </c>
      <c r="C647" t="s">
        <v>151</v>
      </c>
      <c r="D647" s="22">
        <v>0.7153356481481481</v>
      </c>
      <c r="E647" t="s">
        <v>10</v>
      </c>
      <c r="F647" s="1">
        <v>9.7222222222222219E-4</v>
      </c>
      <c r="G647" s="37">
        <v>2.16</v>
      </c>
      <c r="H647">
        <v>3.38</v>
      </c>
      <c r="I647" s="37">
        <v>0.84499999999999997</v>
      </c>
      <c r="J647">
        <f t="shared" si="10"/>
        <v>2.8560999999999996</v>
      </c>
    </row>
    <row r="648" spans="1:10" x14ac:dyDescent="0.3">
      <c r="A648" t="s">
        <v>25</v>
      </c>
      <c r="B648" t="s">
        <v>159</v>
      </c>
      <c r="C648" t="s">
        <v>151</v>
      </c>
      <c r="D648" s="22">
        <v>0.7153356481481481</v>
      </c>
      <c r="E648" t="s">
        <v>15</v>
      </c>
      <c r="F648" s="1">
        <v>9.7209490740740741E-4</v>
      </c>
      <c r="G648" s="37">
        <v>2.16</v>
      </c>
      <c r="H648">
        <v>3.38</v>
      </c>
      <c r="I648" s="37">
        <v>0.84499999999999997</v>
      </c>
      <c r="J648">
        <f t="shared" si="10"/>
        <v>2.8560999999999996</v>
      </c>
    </row>
    <row r="649" spans="1:10" x14ac:dyDescent="0.3">
      <c r="A649" t="s">
        <v>25</v>
      </c>
      <c r="B649" t="s">
        <v>159</v>
      </c>
      <c r="C649" t="s">
        <v>151</v>
      </c>
      <c r="D649" s="22">
        <v>0.7153356481481481</v>
      </c>
      <c r="E649" t="s">
        <v>16</v>
      </c>
      <c r="F649" s="1">
        <v>9.7238425925925921E-4</v>
      </c>
      <c r="G649" s="37">
        <v>2.17</v>
      </c>
      <c r="H649">
        <v>3.39</v>
      </c>
      <c r="I649" s="37">
        <v>0.84499999999999997</v>
      </c>
      <c r="J649">
        <f t="shared" si="10"/>
        <v>2.8645499999999999</v>
      </c>
    </row>
    <row r="650" spans="1:10" x14ac:dyDescent="0.3">
      <c r="A650" t="s">
        <v>25</v>
      </c>
      <c r="B650" t="s">
        <v>159</v>
      </c>
      <c r="C650" t="s">
        <v>151</v>
      </c>
      <c r="D650" s="22">
        <v>0.7153356481481481</v>
      </c>
      <c r="E650" t="s">
        <v>17</v>
      </c>
      <c r="F650" s="1">
        <v>9.7442129629629626E-4</v>
      </c>
      <c r="G650" s="37">
        <v>2.1800000000000002</v>
      </c>
      <c r="H650">
        <v>3.41</v>
      </c>
      <c r="I650" s="37">
        <v>0.84499999999999997</v>
      </c>
      <c r="J650">
        <f t="shared" si="10"/>
        <v>2.8814500000000001</v>
      </c>
    </row>
    <row r="651" spans="1:10" x14ac:dyDescent="0.3">
      <c r="A651" t="s">
        <v>25</v>
      </c>
      <c r="B651" t="s">
        <v>159</v>
      </c>
      <c r="C651" t="s">
        <v>151</v>
      </c>
      <c r="D651" s="22">
        <v>0.7153356481481481</v>
      </c>
      <c r="E651" t="s">
        <v>18</v>
      </c>
      <c r="F651" s="1">
        <v>9.7343750000000002E-4</v>
      </c>
      <c r="G651" s="37">
        <v>2.16</v>
      </c>
      <c r="H651">
        <v>3.4</v>
      </c>
      <c r="I651" s="37">
        <v>0.84499999999999997</v>
      </c>
      <c r="J651">
        <f t="shared" si="10"/>
        <v>2.8729999999999998</v>
      </c>
    </row>
    <row r="652" spans="1:10" x14ac:dyDescent="0.3">
      <c r="A652" t="s">
        <v>25</v>
      </c>
      <c r="B652" t="s">
        <v>159</v>
      </c>
      <c r="C652" t="s">
        <v>151</v>
      </c>
      <c r="D652" s="22">
        <v>0.7153356481481481</v>
      </c>
      <c r="E652" t="s">
        <v>19</v>
      </c>
      <c r="F652" s="1">
        <v>9.7678240740740755E-4</v>
      </c>
      <c r="G652" s="37">
        <v>2.15</v>
      </c>
      <c r="H652">
        <v>3.37</v>
      </c>
      <c r="I652" s="37">
        <v>0.84499999999999997</v>
      </c>
      <c r="J652">
        <f t="shared" si="10"/>
        <v>2.8476499999999998</v>
      </c>
    </row>
    <row r="653" spans="1:10" x14ac:dyDescent="0.3">
      <c r="A653" t="s">
        <v>25</v>
      </c>
      <c r="B653" t="s">
        <v>159</v>
      </c>
      <c r="C653" t="s">
        <v>151</v>
      </c>
      <c r="D653" s="22">
        <v>0.7153356481481481</v>
      </c>
      <c r="E653" t="s">
        <v>45</v>
      </c>
      <c r="F653" s="1">
        <v>9.7799768518518505E-4</v>
      </c>
      <c r="G653" s="37">
        <v>2.15</v>
      </c>
      <c r="H653">
        <v>3.38</v>
      </c>
      <c r="I653" s="37">
        <v>0.84499999999999997</v>
      </c>
      <c r="J653">
        <f t="shared" si="10"/>
        <v>2.8560999999999996</v>
      </c>
    </row>
    <row r="654" spans="1:10" x14ac:dyDescent="0.3">
      <c r="A654" t="s">
        <v>25</v>
      </c>
      <c r="B654" t="s">
        <v>159</v>
      </c>
      <c r="C654" t="s">
        <v>151</v>
      </c>
      <c r="D654" s="22">
        <v>0.7153356481481481</v>
      </c>
      <c r="E654" t="s">
        <v>46</v>
      </c>
      <c r="F654" s="1">
        <v>9.8217592592592584E-4</v>
      </c>
      <c r="G654" s="37">
        <v>2.11</v>
      </c>
      <c r="H654">
        <v>3.31</v>
      </c>
      <c r="I654" s="37">
        <v>0.84499999999999997</v>
      </c>
      <c r="J654">
        <f t="shared" si="10"/>
        <v>2.7969499999999998</v>
      </c>
    </row>
    <row r="655" spans="1:10" x14ac:dyDescent="0.3">
      <c r="A655" t="s">
        <v>25</v>
      </c>
      <c r="B655" t="s">
        <v>159</v>
      </c>
      <c r="C655" t="s">
        <v>151</v>
      </c>
      <c r="D655" s="22">
        <v>0.7153356481481481</v>
      </c>
      <c r="E655" t="s">
        <v>47</v>
      </c>
      <c r="F655" s="1">
        <v>9.8094907407407419E-4</v>
      </c>
      <c r="G655" s="37">
        <v>2.15</v>
      </c>
      <c r="H655">
        <v>3.36</v>
      </c>
      <c r="I655" s="37">
        <v>0.84499999999999997</v>
      </c>
      <c r="J655">
        <f t="shared" si="10"/>
        <v>2.8391999999999999</v>
      </c>
    </row>
    <row r="656" spans="1:10" x14ac:dyDescent="0.3">
      <c r="A656" t="s">
        <v>25</v>
      </c>
      <c r="B656" t="s">
        <v>159</v>
      </c>
      <c r="C656" t="s">
        <v>151</v>
      </c>
      <c r="D656" s="22">
        <v>0.7153356481481481</v>
      </c>
      <c r="E656" t="s">
        <v>49</v>
      </c>
      <c r="F656" s="1">
        <v>9.7001157407407409E-4</v>
      </c>
      <c r="G656" s="37">
        <v>2.2400000000000002</v>
      </c>
      <c r="H656">
        <v>3.52</v>
      </c>
      <c r="I656" s="37">
        <v>0.84499999999999997</v>
      </c>
      <c r="J656">
        <f t="shared" si="10"/>
        <v>2.9743999999999997</v>
      </c>
    </row>
    <row r="657" spans="1:10" x14ac:dyDescent="0.3">
      <c r="A657" t="s">
        <v>25</v>
      </c>
      <c r="B657" t="s">
        <v>159</v>
      </c>
      <c r="C657" t="s">
        <v>151</v>
      </c>
      <c r="D657" s="22">
        <v>0.7153356481481481</v>
      </c>
      <c r="E657" t="s">
        <v>50</v>
      </c>
      <c r="F657" s="1">
        <v>9.7195601851851859E-4</v>
      </c>
      <c r="G657" s="37">
        <v>2.2599999999999998</v>
      </c>
      <c r="H657">
        <v>3.55</v>
      </c>
      <c r="I657" s="37">
        <v>0.84499999999999997</v>
      </c>
      <c r="J657">
        <f t="shared" si="10"/>
        <v>2.9997499999999997</v>
      </c>
    </row>
    <row r="658" spans="1:10" x14ac:dyDescent="0.3">
      <c r="A658" t="s">
        <v>25</v>
      </c>
      <c r="B658" t="s">
        <v>159</v>
      </c>
      <c r="C658" t="s">
        <v>151</v>
      </c>
      <c r="D658" s="22">
        <v>0.7153356481481481</v>
      </c>
      <c r="E658" t="s">
        <v>51</v>
      </c>
      <c r="F658" s="1">
        <v>9.6877314814814808E-4</v>
      </c>
      <c r="G658" s="37">
        <v>2.23</v>
      </c>
      <c r="H658">
        <v>3.49</v>
      </c>
      <c r="I658" s="37">
        <v>0.84499999999999997</v>
      </c>
      <c r="J658">
        <f t="shared" si="10"/>
        <v>2.9490500000000002</v>
      </c>
    </row>
    <row r="659" spans="1:10" x14ac:dyDescent="0.3">
      <c r="A659" t="s">
        <v>25</v>
      </c>
      <c r="B659" t="s">
        <v>159</v>
      </c>
      <c r="C659" t="s">
        <v>151</v>
      </c>
      <c r="D659" s="22">
        <v>0.7153356481481481</v>
      </c>
      <c r="E659" t="s">
        <v>52</v>
      </c>
      <c r="F659" s="1">
        <v>9.6989583333333346E-4</v>
      </c>
      <c r="G659" s="37">
        <v>2.2400000000000002</v>
      </c>
      <c r="H659">
        <v>3.48</v>
      </c>
      <c r="I659" s="37">
        <v>0.84499999999999997</v>
      </c>
      <c r="J659">
        <f t="shared" si="10"/>
        <v>2.9405999999999999</v>
      </c>
    </row>
    <row r="660" spans="1:10" x14ac:dyDescent="0.3">
      <c r="A660" t="s">
        <v>25</v>
      </c>
      <c r="B660" t="s">
        <v>159</v>
      </c>
      <c r="C660" t="s">
        <v>151</v>
      </c>
      <c r="D660" s="22">
        <v>0.7153356481481481</v>
      </c>
      <c r="E660" t="s">
        <v>53</v>
      </c>
      <c r="F660" s="1">
        <v>9.6973379629629623E-4</v>
      </c>
      <c r="G660" s="37">
        <v>2.25</v>
      </c>
      <c r="H660">
        <v>3.51</v>
      </c>
      <c r="I660" s="37">
        <v>0.84499999999999997</v>
      </c>
      <c r="J660">
        <f t="shared" si="10"/>
        <v>2.9659499999999999</v>
      </c>
    </row>
    <row r="661" spans="1:10" x14ac:dyDescent="0.3">
      <c r="A661" t="s">
        <v>25</v>
      </c>
      <c r="B661" t="s">
        <v>159</v>
      </c>
      <c r="C661" t="s">
        <v>151</v>
      </c>
      <c r="D661" s="22">
        <v>0.7153356481481481</v>
      </c>
      <c r="E661" t="s">
        <v>54</v>
      </c>
      <c r="F661" s="1">
        <v>9.7296296296296291E-4</v>
      </c>
      <c r="G661" s="37">
        <v>2.2000000000000002</v>
      </c>
      <c r="H661">
        <v>3.42</v>
      </c>
      <c r="I661" s="37">
        <v>0.84499999999999997</v>
      </c>
      <c r="J661">
        <f t="shared" si="10"/>
        <v>2.8898999999999999</v>
      </c>
    </row>
    <row r="662" spans="1:10" x14ac:dyDescent="0.3">
      <c r="A662" t="s">
        <v>25</v>
      </c>
      <c r="B662" t="s">
        <v>159</v>
      </c>
      <c r="C662" t="s">
        <v>151</v>
      </c>
      <c r="D662" s="22">
        <v>0.7153356481481481</v>
      </c>
      <c r="E662" t="s">
        <v>55</v>
      </c>
      <c r="F662" s="1">
        <v>9.7008101851851845E-4</v>
      </c>
      <c r="G662" s="37">
        <v>2.19</v>
      </c>
      <c r="H662">
        <v>3.43</v>
      </c>
      <c r="I662" s="37">
        <v>0.84499999999999997</v>
      </c>
      <c r="J662">
        <f t="shared" si="10"/>
        <v>2.8983500000000002</v>
      </c>
    </row>
    <row r="663" spans="1:10" x14ac:dyDescent="0.3">
      <c r="A663" t="s">
        <v>25</v>
      </c>
      <c r="B663" t="s">
        <v>159</v>
      </c>
      <c r="C663" t="s">
        <v>151</v>
      </c>
      <c r="D663" s="22">
        <v>0.7153356481481481</v>
      </c>
      <c r="E663" t="s">
        <v>56</v>
      </c>
      <c r="F663" s="1">
        <v>9.7788194444444441E-4</v>
      </c>
      <c r="G663" s="37">
        <v>2.11</v>
      </c>
      <c r="H663">
        <v>3.3</v>
      </c>
      <c r="I663" s="37">
        <v>0.84499999999999997</v>
      </c>
      <c r="J663">
        <f t="shared" si="10"/>
        <v>2.7885</v>
      </c>
    </row>
    <row r="664" spans="1:10" x14ac:dyDescent="0.3">
      <c r="A664" t="s">
        <v>25</v>
      </c>
      <c r="B664" t="s">
        <v>159</v>
      </c>
      <c r="C664" t="s">
        <v>151</v>
      </c>
      <c r="D664" s="22">
        <v>0.7153356481481481</v>
      </c>
      <c r="E664" t="s">
        <v>57</v>
      </c>
      <c r="F664" s="1">
        <v>9.6984953703703708E-4</v>
      </c>
      <c r="G664" s="37">
        <v>2.2000000000000002</v>
      </c>
      <c r="H664">
        <v>3.43</v>
      </c>
      <c r="I664" s="37">
        <v>0.84499999999999997</v>
      </c>
      <c r="J664">
        <f t="shared" si="10"/>
        <v>2.8983500000000002</v>
      </c>
    </row>
    <row r="665" spans="1:10" x14ac:dyDescent="0.3">
      <c r="A665" t="s">
        <v>25</v>
      </c>
      <c r="B665" t="s">
        <v>159</v>
      </c>
      <c r="C665" t="s">
        <v>151</v>
      </c>
      <c r="D665" s="22">
        <v>0.7153356481481481</v>
      </c>
      <c r="E665" t="s">
        <v>58</v>
      </c>
      <c r="F665" s="1">
        <v>9.7318287037037035E-4</v>
      </c>
      <c r="G665" s="37">
        <v>2.15</v>
      </c>
      <c r="H665">
        <v>3.39</v>
      </c>
      <c r="I665" s="37">
        <v>0.84499999999999997</v>
      </c>
      <c r="J665">
        <f t="shared" si="10"/>
        <v>2.8645499999999999</v>
      </c>
    </row>
    <row r="666" spans="1:10" x14ac:dyDescent="0.3">
      <c r="A666" t="s">
        <v>25</v>
      </c>
      <c r="B666" t="s">
        <v>159</v>
      </c>
      <c r="C666" t="s">
        <v>151</v>
      </c>
      <c r="D666" s="22">
        <v>0.7153356481481481</v>
      </c>
      <c r="E666" t="s">
        <v>72</v>
      </c>
      <c r="F666" s="1">
        <v>9.7343750000000002E-4</v>
      </c>
      <c r="G666" s="37">
        <v>2.21</v>
      </c>
      <c r="H666">
        <v>3.47</v>
      </c>
      <c r="I666" s="37">
        <v>0.84499999999999997</v>
      </c>
      <c r="J666">
        <f t="shared" si="10"/>
        <v>2.93215</v>
      </c>
    </row>
    <row r="667" spans="1:10" x14ac:dyDescent="0.3">
      <c r="A667" t="s">
        <v>25</v>
      </c>
      <c r="B667" t="s">
        <v>159</v>
      </c>
      <c r="C667" t="s">
        <v>151</v>
      </c>
      <c r="D667" s="22">
        <v>0.7153356481481481</v>
      </c>
      <c r="E667" t="s">
        <v>59</v>
      </c>
      <c r="F667" s="1">
        <v>9.7274305555555558E-4</v>
      </c>
      <c r="G667" s="37">
        <v>2.2200000000000002</v>
      </c>
      <c r="H667">
        <v>3.47</v>
      </c>
      <c r="I667" s="37">
        <v>0.84499999999999997</v>
      </c>
      <c r="J667">
        <f t="shared" si="10"/>
        <v>2.93215</v>
      </c>
    </row>
    <row r="668" spans="1:10" x14ac:dyDescent="0.3">
      <c r="A668" t="s">
        <v>25</v>
      </c>
      <c r="B668" t="s">
        <v>159</v>
      </c>
      <c r="C668" t="s">
        <v>151</v>
      </c>
      <c r="D668" s="22">
        <v>0.7153356481481481</v>
      </c>
      <c r="E668" t="s">
        <v>60</v>
      </c>
      <c r="F668" s="1">
        <v>9.7550925925925919E-4</v>
      </c>
      <c r="G668" s="37">
        <v>2.2200000000000002</v>
      </c>
      <c r="H668">
        <v>3.45</v>
      </c>
      <c r="I668" s="37">
        <v>0.84499999999999997</v>
      </c>
      <c r="J668">
        <f t="shared" si="10"/>
        <v>2.9152499999999999</v>
      </c>
    </row>
    <row r="669" spans="1:10" x14ac:dyDescent="0.3">
      <c r="A669" t="s">
        <v>25</v>
      </c>
      <c r="B669" t="s">
        <v>159</v>
      </c>
      <c r="C669" t="s">
        <v>151</v>
      </c>
      <c r="D669" s="22">
        <v>0.7153356481481481</v>
      </c>
      <c r="E669" t="s">
        <v>61</v>
      </c>
      <c r="F669" s="1">
        <v>9.8657407407407396E-4</v>
      </c>
      <c r="G669" s="37">
        <v>2.16</v>
      </c>
      <c r="H669">
        <v>3.37</v>
      </c>
      <c r="I669" s="37">
        <v>0.84499999999999997</v>
      </c>
      <c r="J669">
        <f t="shared" si="10"/>
        <v>2.8476499999999998</v>
      </c>
    </row>
    <row r="670" spans="1:10" x14ac:dyDescent="0.3">
      <c r="A670" t="s">
        <v>25</v>
      </c>
      <c r="B670" t="s">
        <v>159</v>
      </c>
      <c r="C670" t="s">
        <v>151</v>
      </c>
      <c r="D670" s="22">
        <v>0.7153356481481481</v>
      </c>
      <c r="E670" t="s">
        <v>62</v>
      </c>
      <c r="F670" s="1">
        <v>9.7868055555555555E-4</v>
      </c>
      <c r="G670" s="37">
        <v>2.1800000000000002</v>
      </c>
      <c r="H670">
        <v>3.42</v>
      </c>
      <c r="I670" s="37">
        <v>0.84499999999999997</v>
      </c>
      <c r="J670">
        <f t="shared" si="10"/>
        <v>2.8898999999999999</v>
      </c>
    </row>
    <row r="671" spans="1:10" x14ac:dyDescent="0.3">
      <c r="A671" t="s">
        <v>25</v>
      </c>
      <c r="B671" t="s">
        <v>159</v>
      </c>
      <c r="C671" t="s">
        <v>151</v>
      </c>
      <c r="D671" s="22">
        <v>0.7153356481481481</v>
      </c>
      <c r="E671" t="s">
        <v>63</v>
      </c>
      <c r="F671" s="1">
        <v>9.8599537037037037E-4</v>
      </c>
      <c r="G671" s="37">
        <v>2.13</v>
      </c>
      <c r="H671">
        <v>3.37</v>
      </c>
      <c r="I671" s="37">
        <v>0.84499999999999997</v>
      </c>
      <c r="J671">
        <f t="shared" si="10"/>
        <v>2.8476499999999998</v>
      </c>
    </row>
    <row r="672" spans="1:10" x14ac:dyDescent="0.3">
      <c r="A672" t="s">
        <v>25</v>
      </c>
      <c r="B672" t="s">
        <v>159</v>
      </c>
      <c r="C672" t="s">
        <v>151</v>
      </c>
      <c r="D672" s="22">
        <v>0.7153356481481481</v>
      </c>
      <c r="E672" t="s">
        <v>64</v>
      </c>
      <c r="F672" s="1">
        <v>9.7878472222222225E-4</v>
      </c>
      <c r="G672" s="37">
        <v>2.2000000000000002</v>
      </c>
      <c r="H672">
        <v>3.44</v>
      </c>
      <c r="I672" s="37">
        <v>0.84499999999999997</v>
      </c>
      <c r="J672">
        <f t="shared" si="10"/>
        <v>2.9068000000000001</v>
      </c>
    </row>
    <row r="673" spans="1:10" x14ac:dyDescent="0.3">
      <c r="A673" t="s">
        <v>25</v>
      </c>
      <c r="B673" t="s">
        <v>159</v>
      </c>
      <c r="C673" t="s">
        <v>151</v>
      </c>
      <c r="D673" s="22">
        <v>0.7153356481481481</v>
      </c>
      <c r="E673" t="s">
        <v>65</v>
      </c>
      <c r="F673" s="1">
        <v>9.7965277777777764E-4</v>
      </c>
      <c r="G673" s="37">
        <v>2.23</v>
      </c>
      <c r="H673">
        <v>3.47</v>
      </c>
      <c r="I673" s="37">
        <v>0.84499999999999997</v>
      </c>
      <c r="J673">
        <f t="shared" si="10"/>
        <v>2.93215</v>
      </c>
    </row>
    <row r="674" spans="1:10" x14ac:dyDescent="0.3">
      <c r="A674" t="s">
        <v>25</v>
      </c>
      <c r="B674" t="s">
        <v>159</v>
      </c>
      <c r="C674" t="s">
        <v>151</v>
      </c>
      <c r="D674" s="22">
        <v>0.7153356481481481</v>
      </c>
      <c r="E674" t="s">
        <v>66</v>
      </c>
      <c r="F674" s="1">
        <v>9.8490740740740743E-4</v>
      </c>
      <c r="G674" s="37">
        <v>2.2000000000000002</v>
      </c>
      <c r="H674">
        <v>3.43</v>
      </c>
      <c r="I674" s="37">
        <v>0.84499999999999997</v>
      </c>
      <c r="J674">
        <f t="shared" si="10"/>
        <v>2.8983500000000002</v>
      </c>
    </row>
    <row r="675" spans="1:10" x14ac:dyDescent="0.3">
      <c r="A675" t="s">
        <v>25</v>
      </c>
      <c r="B675" t="s">
        <v>159</v>
      </c>
      <c r="C675" t="s">
        <v>151</v>
      </c>
      <c r="D675" s="22">
        <v>0.7153356481481481</v>
      </c>
      <c r="E675" t="s">
        <v>67</v>
      </c>
      <c r="F675" s="1">
        <v>9.9135416666666664E-4</v>
      </c>
      <c r="G675" s="37">
        <v>2.12</v>
      </c>
      <c r="H675">
        <v>3.3</v>
      </c>
      <c r="I675" s="37">
        <v>0.84499999999999997</v>
      </c>
      <c r="J675">
        <f t="shared" si="10"/>
        <v>2.7885</v>
      </c>
    </row>
    <row r="676" spans="1:10" x14ac:dyDescent="0.3">
      <c r="A676" t="s">
        <v>25</v>
      </c>
      <c r="B676" t="s">
        <v>159</v>
      </c>
      <c r="C676" t="s">
        <v>151</v>
      </c>
      <c r="D676" s="22">
        <v>0.7153356481481481</v>
      </c>
      <c r="E676" t="s">
        <v>68</v>
      </c>
      <c r="F676" s="1">
        <v>9.8430555555555554E-4</v>
      </c>
      <c r="G676" s="37">
        <v>2.2000000000000002</v>
      </c>
      <c r="H676">
        <v>3.43</v>
      </c>
      <c r="I676" s="37">
        <v>0.84499999999999997</v>
      </c>
      <c r="J676">
        <f t="shared" si="10"/>
        <v>2.8983500000000002</v>
      </c>
    </row>
    <row r="677" spans="1:10" x14ac:dyDescent="0.3">
      <c r="A677" t="s">
        <v>25</v>
      </c>
      <c r="B677" t="s">
        <v>159</v>
      </c>
      <c r="C677" t="s">
        <v>151</v>
      </c>
      <c r="D677" s="22">
        <v>0.7153356481481481</v>
      </c>
      <c r="E677" t="s">
        <v>69</v>
      </c>
      <c r="F677" s="1">
        <v>9.849537037037036E-4</v>
      </c>
      <c r="G677" s="37">
        <v>2.1800000000000002</v>
      </c>
      <c r="H677">
        <v>3.39</v>
      </c>
      <c r="I677" s="37">
        <v>0.84499999999999997</v>
      </c>
      <c r="J677">
        <f t="shared" si="10"/>
        <v>2.8645499999999999</v>
      </c>
    </row>
    <row r="678" spans="1:10" x14ac:dyDescent="0.3">
      <c r="A678" t="s">
        <v>25</v>
      </c>
      <c r="B678" t="s">
        <v>159</v>
      </c>
      <c r="C678" t="s">
        <v>151</v>
      </c>
      <c r="D678" s="22">
        <v>0.7153356481481481</v>
      </c>
      <c r="E678" t="s">
        <v>70</v>
      </c>
      <c r="F678" s="1">
        <v>9.9692129629629631E-4</v>
      </c>
      <c r="G678" s="37">
        <v>2.09</v>
      </c>
      <c r="H678">
        <v>3.28</v>
      </c>
      <c r="I678" s="37">
        <v>0.84499999999999997</v>
      </c>
      <c r="J678">
        <f t="shared" si="10"/>
        <v>2.7715999999999998</v>
      </c>
    </row>
    <row r="679" spans="1:10" x14ac:dyDescent="0.3">
      <c r="A679" t="s">
        <v>25</v>
      </c>
      <c r="B679" t="s">
        <v>159</v>
      </c>
      <c r="C679" t="s">
        <v>151</v>
      </c>
      <c r="D679" s="22">
        <v>0.7153356481481481</v>
      </c>
      <c r="E679" t="s">
        <v>71</v>
      </c>
      <c r="F679" s="1">
        <v>9.9564814814814807E-4</v>
      </c>
      <c r="G679" s="37">
        <v>2.14</v>
      </c>
      <c r="H679">
        <v>3.33</v>
      </c>
      <c r="I679" s="37">
        <v>0.84499999999999997</v>
      </c>
      <c r="J679">
        <f t="shared" si="10"/>
        <v>2.81385</v>
      </c>
    </row>
    <row r="680" spans="1:10" x14ac:dyDescent="0.3">
      <c r="A680" t="s">
        <v>25</v>
      </c>
      <c r="B680" t="s">
        <v>26</v>
      </c>
      <c r="C680" t="s">
        <v>151</v>
      </c>
      <c r="D680" s="22">
        <v>0.71605324074074073</v>
      </c>
      <c r="E680" t="s">
        <v>9</v>
      </c>
      <c r="F680" s="1">
        <v>9.7547453703703707E-4</v>
      </c>
      <c r="G680" s="37">
        <v>2.16</v>
      </c>
      <c r="H680">
        <v>3.35</v>
      </c>
      <c r="I680" s="37">
        <v>0.84799999999999998</v>
      </c>
      <c r="J680">
        <f t="shared" si="10"/>
        <v>2.8408000000000002</v>
      </c>
    </row>
    <row r="681" spans="1:10" x14ac:dyDescent="0.3">
      <c r="A681" t="s">
        <v>25</v>
      </c>
      <c r="B681" t="s">
        <v>26</v>
      </c>
      <c r="C681" t="s">
        <v>151</v>
      </c>
      <c r="D681" s="22">
        <v>0.71605324074074073</v>
      </c>
      <c r="E681" t="s">
        <v>10</v>
      </c>
      <c r="F681" s="1">
        <v>9.7084490740740746E-4</v>
      </c>
      <c r="G681" s="37">
        <v>2.1800000000000002</v>
      </c>
      <c r="H681">
        <v>3.39</v>
      </c>
      <c r="I681" s="37">
        <v>0.84799999999999998</v>
      </c>
      <c r="J681">
        <f t="shared" si="10"/>
        <v>2.8747199999999999</v>
      </c>
    </row>
    <row r="682" spans="1:10" x14ac:dyDescent="0.3">
      <c r="A682" t="s">
        <v>25</v>
      </c>
      <c r="B682" t="s">
        <v>26</v>
      </c>
      <c r="C682" t="s">
        <v>151</v>
      </c>
      <c r="D682" s="22">
        <v>0.71605324074074073</v>
      </c>
      <c r="E682" t="s">
        <v>15</v>
      </c>
      <c r="F682" s="1">
        <v>9.7158564814814807E-4</v>
      </c>
      <c r="G682" s="37">
        <v>2.11</v>
      </c>
      <c r="H682">
        <v>3.3</v>
      </c>
      <c r="I682" s="37">
        <v>0.84799999999999998</v>
      </c>
      <c r="J682">
        <f t="shared" si="10"/>
        <v>2.7983999999999996</v>
      </c>
    </row>
    <row r="683" spans="1:10" x14ac:dyDescent="0.3">
      <c r="A683" t="s">
        <v>25</v>
      </c>
      <c r="B683" t="s">
        <v>26</v>
      </c>
      <c r="C683" t="s">
        <v>151</v>
      </c>
      <c r="D683" s="22">
        <v>0.71605324074074073</v>
      </c>
      <c r="E683" t="s">
        <v>16</v>
      </c>
      <c r="F683" s="1">
        <v>9.7194444444444444E-4</v>
      </c>
      <c r="G683" s="37">
        <v>2.12</v>
      </c>
      <c r="H683">
        <v>3.3</v>
      </c>
      <c r="I683" s="37">
        <v>0.84799999999999998</v>
      </c>
      <c r="J683">
        <f t="shared" si="10"/>
        <v>2.7983999999999996</v>
      </c>
    </row>
    <row r="684" spans="1:10" x14ac:dyDescent="0.3">
      <c r="A684" t="s">
        <v>25</v>
      </c>
      <c r="B684" t="s">
        <v>26</v>
      </c>
      <c r="C684" t="s">
        <v>151</v>
      </c>
      <c r="D684" s="22">
        <v>0.71605324074074073</v>
      </c>
      <c r="E684" t="s">
        <v>17</v>
      </c>
      <c r="F684" s="1">
        <v>9.741435185185185E-4</v>
      </c>
      <c r="G684" s="37">
        <v>2.12</v>
      </c>
      <c r="H684">
        <v>3.31</v>
      </c>
      <c r="I684" s="37">
        <v>0.84799999999999998</v>
      </c>
      <c r="J684">
        <f t="shared" si="10"/>
        <v>2.80688</v>
      </c>
    </row>
    <row r="685" spans="1:10" x14ac:dyDescent="0.3">
      <c r="A685" t="s">
        <v>25</v>
      </c>
      <c r="B685" t="s">
        <v>26</v>
      </c>
      <c r="C685" t="s">
        <v>151</v>
      </c>
      <c r="D685" s="22">
        <v>0.71605324074074073</v>
      </c>
      <c r="E685" t="s">
        <v>18</v>
      </c>
      <c r="F685" s="1">
        <v>9.7564814814814801E-4</v>
      </c>
      <c r="G685" s="37">
        <v>2.16</v>
      </c>
      <c r="H685">
        <v>3.36</v>
      </c>
      <c r="I685" s="37">
        <v>0.84799999999999998</v>
      </c>
      <c r="J685">
        <f t="shared" si="10"/>
        <v>2.8492799999999998</v>
      </c>
    </row>
    <row r="686" spans="1:10" x14ac:dyDescent="0.3">
      <c r="A686" t="s">
        <v>25</v>
      </c>
      <c r="B686" t="s">
        <v>26</v>
      </c>
      <c r="C686" t="s">
        <v>151</v>
      </c>
      <c r="D686" s="22">
        <v>0.71605324074074073</v>
      </c>
      <c r="E686" t="s">
        <v>19</v>
      </c>
      <c r="F686" s="1">
        <v>9.7518518518518516E-4</v>
      </c>
      <c r="G686" s="37">
        <v>2.14</v>
      </c>
      <c r="H686">
        <v>3.34</v>
      </c>
      <c r="I686" s="37">
        <v>0.84799999999999998</v>
      </c>
      <c r="J686">
        <f t="shared" si="10"/>
        <v>2.8323199999999997</v>
      </c>
    </row>
    <row r="687" spans="1:10" x14ac:dyDescent="0.3">
      <c r="A687" t="s">
        <v>25</v>
      </c>
      <c r="B687" t="s">
        <v>26</v>
      </c>
      <c r="C687" t="s">
        <v>151</v>
      </c>
      <c r="D687" s="22">
        <v>0.71605324074074073</v>
      </c>
      <c r="E687" t="s">
        <v>45</v>
      </c>
      <c r="F687" s="1">
        <v>9.7702546296296296E-4</v>
      </c>
      <c r="G687" s="37">
        <v>2.14</v>
      </c>
      <c r="H687">
        <v>3.33</v>
      </c>
      <c r="I687" s="37">
        <v>0.84799999999999998</v>
      </c>
      <c r="J687">
        <f t="shared" si="10"/>
        <v>2.8238400000000001</v>
      </c>
    </row>
    <row r="688" spans="1:10" x14ac:dyDescent="0.3">
      <c r="A688" t="s">
        <v>25</v>
      </c>
      <c r="B688" t="s">
        <v>26</v>
      </c>
      <c r="C688" t="s">
        <v>151</v>
      </c>
      <c r="D688" s="22">
        <v>0.71605324074074073</v>
      </c>
      <c r="E688" t="s">
        <v>46</v>
      </c>
      <c r="F688" s="1">
        <v>9.8450231481481479E-4</v>
      </c>
      <c r="G688" s="37">
        <v>2.09</v>
      </c>
      <c r="H688">
        <v>3.25</v>
      </c>
      <c r="I688" s="37">
        <v>0.84799999999999998</v>
      </c>
      <c r="J688">
        <f t="shared" si="10"/>
        <v>2.7559999999999998</v>
      </c>
    </row>
    <row r="689" spans="1:10" x14ac:dyDescent="0.3">
      <c r="A689" t="s">
        <v>25</v>
      </c>
      <c r="B689" t="s">
        <v>26</v>
      </c>
      <c r="C689" t="s">
        <v>151</v>
      </c>
      <c r="D689" s="22">
        <v>0.71605324074074073</v>
      </c>
      <c r="E689" t="s">
        <v>47</v>
      </c>
      <c r="F689" s="1">
        <v>9.8115740740740737E-4</v>
      </c>
      <c r="G689" s="37">
        <v>2.12</v>
      </c>
      <c r="H689">
        <v>3.31</v>
      </c>
      <c r="I689" s="37">
        <v>0.84799999999999998</v>
      </c>
      <c r="J689">
        <f t="shared" si="10"/>
        <v>2.80688</v>
      </c>
    </row>
    <row r="690" spans="1:10" x14ac:dyDescent="0.3">
      <c r="A690" t="s">
        <v>25</v>
      </c>
      <c r="B690" t="s">
        <v>26</v>
      </c>
      <c r="C690" t="s">
        <v>151</v>
      </c>
      <c r="D690" s="22">
        <v>0.71605324074074073</v>
      </c>
      <c r="E690" t="s">
        <v>48</v>
      </c>
      <c r="F690" s="1">
        <v>9.9067129629629614E-4</v>
      </c>
      <c r="G690" s="37">
        <v>2.12</v>
      </c>
      <c r="H690">
        <v>3.31</v>
      </c>
      <c r="I690" s="37">
        <v>0.84799999999999998</v>
      </c>
      <c r="J690">
        <f t="shared" si="10"/>
        <v>2.80688</v>
      </c>
    </row>
    <row r="691" spans="1:10" x14ac:dyDescent="0.3">
      <c r="A691" t="s">
        <v>25</v>
      </c>
      <c r="B691" t="s">
        <v>26</v>
      </c>
      <c r="C691" t="s">
        <v>151</v>
      </c>
      <c r="D691" s="22">
        <v>0.71605324074074073</v>
      </c>
      <c r="E691" t="s">
        <v>49</v>
      </c>
      <c r="F691" s="1">
        <v>9.8028935185185198E-4</v>
      </c>
      <c r="G691" s="37">
        <v>2.13</v>
      </c>
      <c r="H691">
        <v>3.32</v>
      </c>
      <c r="I691" s="37">
        <v>0.84799999999999998</v>
      </c>
      <c r="J691">
        <f t="shared" si="10"/>
        <v>2.8153599999999996</v>
      </c>
    </row>
    <row r="692" spans="1:10" x14ac:dyDescent="0.3">
      <c r="A692" t="s">
        <v>25</v>
      </c>
      <c r="B692" t="s">
        <v>26</v>
      </c>
      <c r="C692" t="s">
        <v>151</v>
      </c>
      <c r="D692" s="22">
        <v>0.71605324074074073</v>
      </c>
      <c r="E692" t="s">
        <v>50</v>
      </c>
      <c r="F692" s="1">
        <v>9.7829861111111121E-4</v>
      </c>
      <c r="G692" s="37">
        <v>2.1800000000000002</v>
      </c>
      <c r="H692">
        <v>3.4</v>
      </c>
      <c r="I692" s="37">
        <v>0.84799999999999998</v>
      </c>
      <c r="J692">
        <f t="shared" si="10"/>
        <v>2.8832</v>
      </c>
    </row>
    <row r="693" spans="1:10" x14ac:dyDescent="0.3">
      <c r="A693" t="s">
        <v>25</v>
      </c>
      <c r="B693" t="s">
        <v>26</v>
      </c>
      <c r="C693" t="s">
        <v>151</v>
      </c>
      <c r="D693" s="22">
        <v>0.71605324074074073</v>
      </c>
      <c r="E693" t="s">
        <v>51</v>
      </c>
      <c r="F693" s="1">
        <v>9.8913194444444439E-4</v>
      </c>
      <c r="G693" s="37">
        <v>2.17</v>
      </c>
      <c r="H693">
        <v>3.39</v>
      </c>
      <c r="I693" s="37">
        <v>0.84799999999999998</v>
      </c>
      <c r="J693">
        <f t="shared" si="10"/>
        <v>2.8747199999999999</v>
      </c>
    </row>
    <row r="694" spans="1:10" x14ac:dyDescent="0.3">
      <c r="A694" t="s">
        <v>25</v>
      </c>
      <c r="B694" t="s">
        <v>26</v>
      </c>
      <c r="C694" t="s">
        <v>151</v>
      </c>
      <c r="D694" s="22">
        <v>0.71605324074074073</v>
      </c>
      <c r="E694" t="s">
        <v>52</v>
      </c>
      <c r="F694" s="1">
        <v>9.9069444444444443E-4</v>
      </c>
      <c r="G694" s="37">
        <v>2.0499999999999998</v>
      </c>
      <c r="H694">
        <v>3.21</v>
      </c>
      <c r="I694" s="37">
        <v>0.84799999999999998</v>
      </c>
      <c r="J694">
        <f t="shared" si="10"/>
        <v>2.7220800000000001</v>
      </c>
    </row>
    <row r="695" spans="1:10" x14ac:dyDescent="0.3">
      <c r="A695" t="s">
        <v>25</v>
      </c>
      <c r="B695" t="s">
        <v>26</v>
      </c>
      <c r="C695" t="s">
        <v>151</v>
      </c>
      <c r="D695" s="22">
        <v>0.71605324074074073</v>
      </c>
      <c r="E695" t="s">
        <v>53</v>
      </c>
      <c r="F695" s="1">
        <v>9.8107638888888897E-4</v>
      </c>
      <c r="G695" s="37">
        <v>2.17</v>
      </c>
      <c r="H695">
        <v>3.38</v>
      </c>
      <c r="I695" s="37">
        <v>0.84799999999999998</v>
      </c>
      <c r="J695">
        <f t="shared" si="10"/>
        <v>2.8662399999999999</v>
      </c>
    </row>
    <row r="696" spans="1:10" x14ac:dyDescent="0.3">
      <c r="A696" t="s">
        <v>25</v>
      </c>
      <c r="B696" t="s">
        <v>26</v>
      </c>
      <c r="C696" t="s">
        <v>151</v>
      </c>
      <c r="D696" s="22">
        <v>0.71605324074074073</v>
      </c>
      <c r="E696" t="s">
        <v>54</v>
      </c>
      <c r="F696" s="1">
        <v>9.8179398148148149E-4</v>
      </c>
      <c r="G696" s="37">
        <v>2.17</v>
      </c>
      <c r="H696">
        <v>3.4</v>
      </c>
      <c r="I696" s="37">
        <v>0.84799999999999998</v>
      </c>
      <c r="J696">
        <f t="shared" si="10"/>
        <v>2.8832</v>
      </c>
    </row>
    <row r="697" spans="1:10" x14ac:dyDescent="0.3">
      <c r="A697" t="s">
        <v>25</v>
      </c>
      <c r="B697" t="s">
        <v>26</v>
      </c>
      <c r="C697" t="s">
        <v>151</v>
      </c>
      <c r="D697" s="22">
        <v>0.71605324074074073</v>
      </c>
      <c r="E697" t="s">
        <v>55</v>
      </c>
      <c r="F697" s="1">
        <v>9.7835648148148152E-4</v>
      </c>
      <c r="G697" s="37">
        <v>2.19</v>
      </c>
      <c r="H697">
        <v>3.41</v>
      </c>
      <c r="I697" s="37">
        <v>0.84799999999999998</v>
      </c>
      <c r="J697">
        <f t="shared" si="10"/>
        <v>2.89168</v>
      </c>
    </row>
    <row r="698" spans="1:10" x14ac:dyDescent="0.3">
      <c r="A698" t="s">
        <v>25</v>
      </c>
      <c r="B698" t="s">
        <v>26</v>
      </c>
      <c r="C698" t="s">
        <v>151</v>
      </c>
      <c r="D698" s="22">
        <v>0.71605324074074073</v>
      </c>
      <c r="E698" t="s">
        <v>56</v>
      </c>
      <c r="F698" s="1">
        <v>9.8177083333333341E-4</v>
      </c>
      <c r="G698" s="37">
        <v>2.19</v>
      </c>
      <c r="H698">
        <v>3.4</v>
      </c>
      <c r="I698" s="37">
        <v>0.84799999999999998</v>
      </c>
      <c r="J698">
        <f t="shared" si="10"/>
        <v>2.8832</v>
      </c>
    </row>
    <row r="699" spans="1:10" x14ac:dyDescent="0.3">
      <c r="A699" t="s">
        <v>25</v>
      </c>
      <c r="B699" t="s">
        <v>26</v>
      </c>
      <c r="C699" t="s">
        <v>151</v>
      </c>
      <c r="D699" s="22">
        <v>0.71605324074074073</v>
      </c>
      <c r="E699" t="s">
        <v>57</v>
      </c>
      <c r="F699" s="1">
        <v>9.8704861111111129E-4</v>
      </c>
      <c r="G699" s="37">
        <v>2.1800000000000002</v>
      </c>
      <c r="H699">
        <v>3.4</v>
      </c>
      <c r="I699" s="37">
        <v>0.84799999999999998</v>
      </c>
      <c r="J699">
        <f t="shared" si="10"/>
        <v>2.8832</v>
      </c>
    </row>
    <row r="700" spans="1:10" x14ac:dyDescent="0.3">
      <c r="A700" t="s">
        <v>25</v>
      </c>
      <c r="B700" t="s">
        <v>26</v>
      </c>
      <c r="C700" t="s">
        <v>151</v>
      </c>
      <c r="D700" s="22">
        <v>0.71605324074074073</v>
      </c>
      <c r="E700" t="s">
        <v>72</v>
      </c>
      <c r="F700" s="1">
        <v>9.6377314814814806E-4</v>
      </c>
      <c r="G700" s="37">
        <v>2.23</v>
      </c>
      <c r="H700">
        <v>3.46</v>
      </c>
      <c r="I700" s="37">
        <v>0.84799999999999998</v>
      </c>
      <c r="J700">
        <f t="shared" si="10"/>
        <v>2.9340799999999998</v>
      </c>
    </row>
    <row r="701" spans="1:10" x14ac:dyDescent="0.3">
      <c r="A701" t="s">
        <v>25</v>
      </c>
      <c r="B701" t="s">
        <v>26</v>
      </c>
      <c r="C701" t="s">
        <v>151</v>
      </c>
      <c r="D701" s="22">
        <v>0.71605324074074073</v>
      </c>
      <c r="E701" t="s">
        <v>59</v>
      </c>
      <c r="F701" s="1">
        <v>9.6563657407407405E-4</v>
      </c>
      <c r="G701" s="37">
        <v>2.23</v>
      </c>
      <c r="H701">
        <v>3.47</v>
      </c>
      <c r="I701" s="37">
        <v>0.84799999999999998</v>
      </c>
      <c r="J701">
        <f t="shared" si="10"/>
        <v>2.9425600000000003</v>
      </c>
    </row>
    <row r="702" spans="1:10" x14ac:dyDescent="0.3">
      <c r="A702" t="s">
        <v>25</v>
      </c>
      <c r="B702" t="s">
        <v>26</v>
      </c>
      <c r="C702" t="s">
        <v>151</v>
      </c>
      <c r="D702" s="22">
        <v>0.71605324074074073</v>
      </c>
      <c r="E702" t="s">
        <v>60</v>
      </c>
      <c r="F702" s="1">
        <v>9.67488425925926E-4</v>
      </c>
      <c r="G702" s="37">
        <v>2.2400000000000002</v>
      </c>
      <c r="H702">
        <v>3.46</v>
      </c>
      <c r="I702" s="37">
        <v>0.84799999999999998</v>
      </c>
      <c r="J702">
        <f t="shared" si="10"/>
        <v>2.9340799999999998</v>
      </c>
    </row>
    <row r="703" spans="1:10" x14ac:dyDescent="0.3">
      <c r="A703" t="s">
        <v>25</v>
      </c>
      <c r="B703" t="s">
        <v>26</v>
      </c>
      <c r="C703" t="s">
        <v>151</v>
      </c>
      <c r="D703" s="22">
        <v>0.71605324074074073</v>
      </c>
      <c r="E703" t="s">
        <v>61</v>
      </c>
      <c r="F703" s="1">
        <v>9.6789351851851854E-4</v>
      </c>
      <c r="G703" s="37">
        <v>2.2200000000000002</v>
      </c>
      <c r="H703">
        <v>3.44</v>
      </c>
      <c r="I703" s="37">
        <v>0.84799999999999998</v>
      </c>
      <c r="J703">
        <f t="shared" si="10"/>
        <v>2.9171199999999997</v>
      </c>
    </row>
    <row r="704" spans="1:10" x14ac:dyDescent="0.3">
      <c r="A704" t="s">
        <v>25</v>
      </c>
      <c r="B704" t="s">
        <v>26</v>
      </c>
      <c r="C704" t="s">
        <v>151</v>
      </c>
      <c r="D704" s="22">
        <v>0.71605324074074073</v>
      </c>
      <c r="E704" t="s">
        <v>62</v>
      </c>
      <c r="F704" s="1">
        <v>9.6837962962962969E-4</v>
      </c>
      <c r="G704" s="37">
        <v>2.2400000000000002</v>
      </c>
      <c r="H704">
        <v>3.49</v>
      </c>
      <c r="I704" s="37">
        <v>0.84799999999999998</v>
      </c>
      <c r="J704">
        <f t="shared" si="10"/>
        <v>2.9595199999999999</v>
      </c>
    </row>
    <row r="705" spans="1:10" x14ac:dyDescent="0.3">
      <c r="A705" t="s">
        <v>25</v>
      </c>
      <c r="B705" t="s">
        <v>26</v>
      </c>
      <c r="C705" t="s">
        <v>151</v>
      </c>
      <c r="D705" s="22">
        <v>0.71605324074074073</v>
      </c>
      <c r="E705" t="s">
        <v>63</v>
      </c>
      <c r="F705" s="1">
        <v>9.6635416666666658E-4</v>
      </c>
      <c r="G705" s="37">
        <v>2.25</v>
      </c>
      <c r="H705">
        <v>3.49</v>
      </c>
      <c r="I705" s="37">
        <v>0.84799999999999998</v>
      </c>
      <c r="J705">
        <f t="shared" si="10"/>
        <v>2.9595199999999999</v>
      </c>
    </row>
    <row r="706" spans="1:10" x14ac:dyDescent="0.3">
      <c r="A706" t="s">
        <v>25</v>
      </c>
      <c r="B706" t="s">
        <v>26</v>
      </c>
      <c r="C706" t="s">
        <v>151</v>
      </c>
      <c r="D706" s="22">
        <v>0.71605324074074073</v>
      </c>
      <c r="E706" t="s">
        <v>64</v>
      </c>
      <c r="F706" s="1">
        <v>9.645949074074075E-4</v>
      </c>
      <c r="G706" s="37">
        <v>2.25</v>
      </c>
      <c r="H706">
        <v>3.5</v>
      </c>
      <c r="I706" s="37">
        <v>0.84799999999999998</v>
      </c>
      <c r="J706">
        <f t="shared" si="10"/>
        <v>2.968</v>
      </c>
    </row>
    <row r="707" spans="1:10" x14ac:dyDescent="0.3">
      <c r="A707" t="s">
        <v>25</v>
      </c>
      <c r="B707" t="s">
        <v>26</v>
      </c>
      <c r="C707" t="s">
        <v>151</v>
      </c>
      <c r="D707" s="22">
        <v>0.71605324074074073</v>
      </c>
      <c r="E707" t="s">
        <v>65</v>
      </c>
      <c r="F707" s="1">
        <v>9.677777777777778E-4</v>
      </c>
      <c r="G707" s="37">
        <v>2.27</v>
      </c>
      <c r="H707">
        <v>3.5</v>
      </c>
      <c r="I707" s="37">
        <v>0.84799999999999998</v>
      </c>
      <c r="J707">
        <f t="shared" si="10"/>
        <v>2.968</v>
      </c>
    </row>
    <row r="708" spans="1:10" x14ac:dyDescent="0.3">
      <c r="A708" t="s">
        <v>25</v>
      </c>
      <c r="B708" t="s">
        <v>26</v>
      </c>
      <c r="C708" t="s">
        <v>151</v>
      </c>
      <c r="D708" s="22">
        <v>0.71605324074074073</v>
      </c>
      <c r="E708" t="s">
        <v>66</v>
      </c>
      <c r="F708" s="1">
        <v>9.6829861111111107E-4</v>
      </c>
      <c r="G708" s="37">
        <v>2.23</v>
      </c>
      <c r="H708">
        <v>3.48</v>
      </c>
      <c r="I708" s="37">
        <v>0.84799999999999998</v>
      </c>
      <c r="J708">
        <f t="shared" ref="J708:J732" si="11">H708*I708</f>
        <v>2.9510399999999999</v>
      </c>
    </row>
    <row r="709" spans="1:10" x14ac:dyDescent="0.3">
      <c r="A709" t="s">
        <v>25</v>
      </c>
      <c r="B709" t="s">
        <v>26</v>
      </c>
      <c r="C709" t="s">
        <v>151</v>
      </c>
      <c r="D709" s="22">
        <v>0.71605324074074073</v>
      </c>
      <c r="E709" t="s">
        <v>67</v>
      </c>
      <c r="F709" s="1">
        <v>9.7265046296296303E-4</v>
      </c>
      <c r="G709" s="37">
        <v>2.2200000000000002</v>
      </c>
      <c r="H709">
        <v>3.46</v>
      </c>
      <c r="I709" s="37">
        <v>0.84799999999999998</v>
      </c>
      <c r="J709">
        <f t="shared" si="11"/>
        <v>2.9340799999999998</v>
      </c>
    </row>
    <row r="710" spans="1:10" x14ac:dyDescent="0.3">
      <c r="A710" t="s">
        <v>25</v>
      </c>
      <c r="B710" t="s">
        <v>26</v>
      </c>
      <c r="C710" t="s">
        <v>151</v>
      </c>
      <c r="D710" s="22">
        <v>0.71605324074074073</v>
      </c>
      <c r="E710" t="s">
        <v>68</v>
      </c>
      <c r="F710" s="1">
        <v>9.6819444444444448E-4</v>
      </c>
      <c r="G710" s="37">
        <v>2.2599999999999998</v>
      </c>
      <c r="H710">
        <v>3.5</v>
      </c>
      <c r="I710" s="37">
        <v>0.84799999999999998</v>
      </c>
      <c r="J710">
        <f t="shared" si="11"/>
        <v>2.968</v>
      </c>
    </row>
    <row r="711" spans="1:10" x14ac:dyDescent="0.3">
      <c r="A711" t="s">
        <v>25</v>
      </c>
      <c r="B711" t="s">
        <v>26</v>
      </c>
      <c r="C711" t="s">
        <v>151</v>
      </c>
      <c r="D711" s="22">
        <v>0.71605324074074073</v>
      </c>
      <c r="E711" t="s">
        <v>69</v>
      </c>
      <c r="F711" s="1">
        <v>9.6994212962962963E-4</v>
      </c>
      <c r="G711" s="37">
        <v>2.2400000000000002</v>
      </c>
      <c r="H711">
        <v>3.48</v>
      </c>
      <c r="I711" s="37">
        <v>0.84799999999999998</v>
      </c>
      <c r="J711">
        <f t="shared" si="11"/>
        <v>2.9510399999999999</v>
      </c>
    </row>
    <row r="712" spans="1:10" x14ac:dyDescent="0.3">
      <c r="A712" t="s">
        <v>25</v>
      </c>
      <c r="B712" t="s">
        <v>26</v>
      </c>
      <c r="C712" t="s">
        <v>151</v>
      </c>
      <c r="D712" s="22">
        <v>0.71605324074074073</v>
      </c>
      <c r="E712" t="s">
        <v>70</v>
      </c>
      <c r="F712" s="1">
        <v>9.7703703703703689E-4</v>
      </c>
      <c r="G712" s="37">
        <v>2.17</v>
      </c>
      <c r="H712">
        <v>3.4</v>
      </c>
      <c r="I712" s="37">
        <v>0.84799999999999998</v>
      </c>
      <c r="J712">
        <f t="shared" si="11"/>
        <v>2.8832</v>
      </c>
    </row>
    <row r="713" spans="1:10" x14ac:dyDescent="0.3">
      <c r="A713" t="s">
        <v>25</v>
      </c>
      <c r="B713" t="s">
        <v>26</v>
      </c>
      <c r="C713" t="s">
        <v>151</v>
      </c>
      <c r="D713" s="22">
        <v>0.71605324074074073</v>
      </c>
      <c r="E713" t="s">
        <v>71</v>
      </c>
      <c r="F713" s="1">
        <v>9.7548611111111111E-4</v>
      </c>
      <c r="G713" s="37">
        <v>2.19</v>
      </c>
      <c r="H713">
        <v>3.43</v>
      </c>
      <c r="I713" s="37">
        <v>0.84799999999999998</v>
      </c>
      <c r="J713">
        <f t="shared" si="11"/>
        <v>2.9086400000000001</v>
      </c>
    </row>
    <row r="714" spans="1:10" x14ac:dyDescent="0.3">
      <c r="A714" t="s">
        <v>104</v>
      </c>
      <c r="B714" t="s">
        <v>105</v>
      </c>
      <c r="C714" t="s">
        <v>151</v>
      </c>
      <c r="D714" t="s">
        <v>190</v>
      </c>
      <c r="E714" t="s">
        <v>9</v>
      </c>
      <c r="F714" s="1">
        <v>9.6436342592592591E-4</v>
      </c>
      <c r="G714" s="37">
        <v>2.1</v>
      </c>
      <c r="H714">
        <v>2.73</v>
      </c>
      <c r="I714" s="37">
        <v>1</v>
      </c>
      <c r="J714">
        <f t="shared" si="11"/>
        <v>2.73</v>
      </c>
    </row>
    <row r="715" spans="1:10" x14ac:dyDescent="0.3">
      <c r="A715" t="s">
        <v>104</v>
      </c>
      <c r="B715" t="s">
        <v>105</v>
      </c>
      <c r="C715" t="s">
        <v>151</v>
      </c>
      <c r="D715" t="s">
        <v>190</v>
      </c>
      <c r="E715" t="s">
        <v>10</v>
      </c>
      <c r="F715" s="1">
        <v>9.673842592592592E-4</v>
      </c>
      <c r="G715" s="37">
        <v>2.09</v>
      </c>
      <c r="H715">
        <v>2.7</v>
      </c>
      <c r="I715" s="37">
        <v>1</v>
      </c>
      <c r="J715">
        <f t="shared" si="11"/>
        <v>2.7</v>
      </c>
    </row>
    <row r="716" spans="1:10" x14ac:dyDescent="0.3">
      <c r="A716" t="s">
        <v>104</v>
      </c>
      <c r="B716" t="s">
        <v>105</v>
      </c>
      <c r="C716" t="s">
        <v>151</v>
      </c>
      <c r="D716" t="s">
        <v>190</v>
      </c>
      <c r="E716" t="s">
        <v>15</v>
      </c>
      <c r="F716" s="1">
        <v>9.6582175925925926E-4</v>
      </c>
      <c r="G716" s="37">
        <v>2.12</v>
      </c>
      <c r="H716">
        <v>2.74</v>
      </c>
      <c r="I716" s="37">
        <v>1</v>
      </c>
      <c r="J716">
        <f t="shared" si="11"/>
        <v>2.74</v>
      </c>
    </row>
    <row r="717" spans="1:10" x14ac:dyDescent="0.3">
      <c r="A717" t="s">
        <v>104</v>
      </c>
      <c r="B717" t="s">
        <v>105</v>
      </c>
      <c r="C717" t="s">
        <v>151</v>
      </c>
      <c r="D717" t="s">
        <v>190</v>
      </c>
      <c r="E717" t="s">
        <v>16</v>
      </c>
      <c r="F717" s="1">
        <v>9.6877314814814808E-4</v>
      </c>
      <c r="G717" s="37">
        <v>2.1</v>
      </c>
      <c r="H717">
        <v>2.72</v>
      </c>
      <c r="I717" s="37">
        <v>1</v>
      </c>
      <c r="J717">
        <f t="shared" si="11"/>
        <v>2.72</v>
      </c>
    </row>
    <row r="718" spans="1:10" x14ac:dyDescent="0.3">
      <c r="A718" t="s">
        <v>104</v>
      </c>
      <c r="B718" t="s">
        <v>105</v>
      </c>
      <c r="C718" t="s">
        <v>151</v>
      </c>
      <c r="D718" t="s">
        <v>190</v>
      </c>
      <c r="E718" t="s">
        <v>17</v>
      </c>
      <c r="F718" s="1">
        <v>9.6847222222222224E-4</v>
      </c>
      <c r="G718" s="37">
        <v>2.15</v>
      </c>
      <c r="H718">
        <v>2.79</v>
      </c>
      <c r="I718" s="37">
        <v>1</v>
      </c>
      <c r="J718">
        <f t="shared" si="11"/>
        <v>2.79</v>
      </c>
    </row>
    <row r="719" spans="1:10" x14ac:dyDescent="0.3">
      <c r="A719" t="s">
        <v>104</v>
      </c>
      <c r="B719" t="s">
        <v>105</v>
      </c>
      <c r="C719" t="s">
        <v>151</v>
      </c>
      <c r="D719" t="s">
        <v>190</v>
      </c>
      <c r="E719" t="s">
        <v>18</v>
      </c>
      <c r="F719" s="1">
        <v>9.6645833333333328E-4</v>
      </c>
      <c r="G719" s="37">
        <v>2.14</v>
      </c>
      <c r="H719">
        <v>2.78</v>
      </c>
      <c r="I719" s="37">
        <v>1</v>
      </c>
      <c r="J719">
        <f t="shared" si="11"/>
        <v>2.78</v>
      </c>
    </row>
    <row r="720" spans="1:10" x14ac:dyDescent="0.3">
      <c r="A720" t="s">
        <v>104</v>
      </c>
      <c r="B720" t="s">
        <v>105</v>
      </c>
      <c r="C720" t="s">
        <v>151</v>
      </c>
      <c r="D720" t="s">
        <v>190</v>
      </c>
      <c r="E720" t="s">
        <v>19</v>
      </c>
      <c r="F720" s="1">
        <v>9.673842592592592E-4</v>
      </c>
      <c r="G720" s="37">
        <v>2.17</v>
      </c>
      <c r="H720">
        <v>2.81</v>
      </c>
      <c r="I720" s="37">
        <v>1</v>
      </c>
      <c r="J720">
        <f t="shared" si="11"/>
        <v>2.81</v>
      </c>
    </row>
    <row r="721" spans="1:10" x14ac:dyDescent="0.3">
      <c r="A721" t="s">
        <v>104</v>
      </c>
      <c r="B721" t="s">
        <v>105</v>
      </c>
      <c r="C721" t="s">
        <v>151</v>
      </c>
      <c r="D721" t="s">
        <v>190</v>
      </c>
      <c r="E721" t="s">
        <v>45</v>
      </c>
      <c r="F721" s="1">
        <v>9.6946759259259262E-4</v>
      </c>
      <c r="G721" s="37">
        <v>2.1800000000000002</v>
      </c>
      <c r="H721">
        <v>2.81</v>
      </c>
      <c r="I721" s="37">
        <v>1</v>
      </c>
      <c r="J721">
        <f t="shared" si="11"/>
        <v>2.81</v>
      </c>
    </row>
    <row r="722" spans="1:10" x14ac:dyDescent="0.3">
      <c r="A722" t="s">
        <v>104</v>
      </c>
      <c r="B722" t="s">
        <v>105</v>
      </c>
      <c r="C722" t="s">
        <v>151</v>
      </c>
      <c r="D722" t="s">
        <v>190</v>
      </c>
      <c r="E722" t="s">
        <v>46</v>
      </c>
      <c r="F722" s="1">
        <v>9.6692129629629634E-4</v>
      </c>
      <c r="G722" s="37">
        <v>2.2000000000000002</v>
      </c>
      <c r="H722">
        <v>2.85</v>
      </c>
      <c r="I722" s="37">
        <v>1</v>
      </c>
      <c r="J722">
        <f t="shared" si="11"/>
        <v>2.85</v>
      </c>
    </row>
    <row r="723" spans="1:10" x14ac:dyDescent="0.3">
      <c r="A723" t="s">
        <v>104</v>
      </c>
      <c r="B723" t="s">
        <v>105</v>
      </c>
      <c r="C723" t="s">
        <v>151</v>
      </c>
      <c r="D723" t="s">
        <v>190</v>
      </c>
      <c r="E723" t="s">
        <v>47</v>
      </c>
      <c r="F723" s="1">
        <v>9.6789351851851854E-4</v>
      </c>
      <c r="G723" s="37">
        <v>2.15</v>
      </c>
      <c r="H723">
        <v>2.79</v>
      </c>
      <c r="I723" s="37">
        <v>1</v>
      </c>
      <c r="J723">
        <f t="shared" si="11"/>
        <v>2.79</v>
      </c>
    </row>
    <row r="724" spans="1:10" x14ac:dyDescent="0.3">
      <c r="A724" t="s">
        <v>104</v>
      </c>
      <c r="B724" t="s">
        <v>105</v>
      </c>
      <c r="C724" t="s">
        <v>151</v>
      </c>
      <c r="D724" t="s">
        <v>190</v>
      </c>
      <c r="E724" t="s">
        <v>48</v>
      </c>
      <c r="F724" s="1">
        <v>9.7531249999999994E-4</v>
      </c>
      <c r="G724" s="37">
        <v>2.12</v>
      </c>
      <c r="H724">
        <v>2.75</v>
      </c>
      <c r="I724" s="37">
        <v>1</v>
      </c>
      <c r="J724">
        <f t="shared" si="11"/>
        <v>2.75</v>
      </c>
    </row>
    <row r="725" spans="1:10" x14ac:dyDescent="0.3">
      <c r="A725" t="s">
        <v>104</v>
      </c>
      <c r="B725" t="s">
        <v>105</v>
      </c>
      <c r="C725" t="s">
        <v>151</v>
      </c>
      <c r="D725" t="s">
        <v>190</v>
      </c>
      <c r="E725" t="s">
        <v>50</v>
      </c>
      <c r="F725" s="1">
        <v>9.6431712962962975E-4</v>
      </c>
      <c r="G725" s="37">
        <v>2.2000000000000002</v>
      </c>
      <c r="H725">
        <v>2.86</v>
      </c>
      <c r="I725" s="37">
        <v>1</v>
      </c>
      <c r="J725">
        <f t="shared" si="11"/>
        <v>2.86</v>
      </c>
    </row>
    <row r="726" spans="1:10" x14ac:dyDescent="0.3">
      <c r="A726" t="s">
        <v>104</v>
      </c>
      <c r="B726" t="s">
        <v>105</v>
      </c>
      <c r="C726" t="s">
        <v>151</v>
      </c>
      <c r="D726" t="s">
        <v>190</v>
      </c>
      <c r="E726" t="s">
        <v>51</v>
      </c>
      <c r="F726" s="1">
        <v>9.6500000000000004E-4</v>
      </c>
      <c r="G726" s="37">
        <v>2.2000000000000002</v>
      </c>
      <c r="H726">
        <v>2.85</v>
      </c>
      <c r="I726" s="37">
        <v>1</v>
      </c>
      <c r="J726">
        <f t="shared" si="11"/>
        <v>2.85</v>
      </c>
    </row>
    <row r="727" spans="1:10" x14ac:dyDescent="0.3">
      <c r="A727" t="s">
        <v>104</v>
      </c>
      <c r="B727" t="s">
        <v>105</v>
      </c>
      <c r="C727" t="s">
        <v>151</v>
      </c>
      <c r="D727" t="s">
        <v>190</v>
      </c>
      <c r="E727" t="s">
        <v>52</v>
      </c>
      <c r="F727" s="1">
        <v>9.6755787037037047E-4</v>
      </c>
      <c r="G727" s="37">
        <v>2.19</v>
      </c>
      <c r="H727">
        <v>2.82</v>
      </c>
      <c r="I727" s="37">
        <v>1</v>
      </c>
      <c r="J727">
        <f t="shared" si="11"/>
        <v>2.82</v>
      </c>
    </row>
    <row r="728" spans="1:10" x14ac:dyDescent="0.3">
      <c r="A728" t="s">
        <v>104</v>
      </c>
      <c r="B728" t="s">
        <v>105</v>
      </c>
      <c r="C728" t="s">
        <v>151</v>
      </c>
      <c r="D728" t="s">
        <v>190</v>
      </c>
      <c r="E728" t="s">
        <v>53</v>
      </c>
      <c r="F728" s="1">
        <v>9.6414351851851847E-4</v>
      </c>
      <c r="G728" s="37">
        <v>2.2000000000000002</v>
      </c>
      <c r="H728">
        <v>2.84</v>
      </c>
      <c r="I728" s="37">
        <v>1</v>
      </c>
      <c r="J728">
        <f t="shared" si="11"/>
        <v>2.84</v>
      </c>
    </row>
    <row r="729" spans="1:10" x14ac:dyDescent="0.3">
      <c r="A729" t="s">
        <v>104</v>
      </c>
      <c r="B729" t="s">
        <v>105</v>
      </c>
      <c r="C729" t="s">
        <v>151</v>
      </c>
      <c r="D729" t="s">
        <v>190</v>
      </c>
      <c r="E729" t="s">
        <v>54</v>
      </c>
      <c r="F729" s="1">
        <v>9.6894675925925924E-4</v>
      </c>
      <c r="G729" s="37">
        <v>2.16</v>
      </c>
      <c r="H729">
        <v>2.8</v>
      </c>
      <c r="I729" s="37">
        <v>1</v>
      </c>
      <c r="J729">
        <f t="shared" si="11"/>
        <v>2.8</v>
      </c>
    </row>
    <row r="730" spans="1:10" x14ac:dyDescent="0.3">
      <c r="A730" t="s">
        <v>104</v>
      </c>
      <c r="B730" t="s">
        <v>105</v>
      </c>
      <c r="C730" t="s">
        <v>151</v>
      </c>
      <c r="D730" t="s">
        <v>190</v>
      </c>
      <c r="E730" t="s">
        <v>55</v>
      </c>
      <c r="F730" s="1">
        <v>9.6340277777777776E-4</v>
      </c>
      <c r="G730" s="37">
        <v>2.16</v>
      </c>
      <c r="H730">
        <v>2.81</v>
      </c>
      <c r="I730" s="37">
        <v>1</v>
      </c>
      <c r="J730">
        <f t="shared" si="11"/>
        <v>2.81</v>
      </c>
    </row>
    <row r="731" spans="1:10" x14ac:dyDescent="0.3">
      <c r="A731" t="s">
        <v>104</v>
      </c>
      <c r="B731" t="s">
        <v>105</v>
      </c>
      <c r="C731" t="s">
        <v>151</v>
      </c>
      <c r="D731" t="s">
        <v>190</v>
      </c>
      <c r="E731" t="s">
        <v>56</v>
      </c>
      <c r="F731" s="1">
        <v>9.6609953703703712E-4</v>
      </c>
      <c r="G731" s="37">
        <v>2.1800000000000002</v>
      </c>
      <c r="H731">
        <v>2.83</v>
      </c>
      <c r="I731" s="37">
        <v>1</v>
      </c>
      <c r="J731">
        <f t="shared" si="11"/>
        <v>2.83</v>
      </c>
    </row>
    <row r="732" spans="1:10" x14ac:dyDescent="0.3">
      <c r="A732" t="s">
        <v>104</v>
      </c>
      <c r="B732" t="s">
        <v>105</v>
      </c>
      <c r="C732" t="s">
        <v>151</v>
      </c>
      <c r="D732" t="s">
        <v>190</v>
      </c>
      <c r="E732" t="s">
        <v>57</v>
      </c>
      <c r="F732" s="1">
        <v>9.6586805555555543E-4</v>
      </c>
      <c r="G732" s="37">
        <v>2.2000000000000002</v>
      </c>
      <c r="H732">
        <v>2.84</v>
      </c>
      <c r="I732" s="37">
        <v>1</v>
      </c>
      <c r="J732">
        <f t="shared" si="11"/>
        <v>2.84</v>
      </c>
    </row>
    <row r="733" spans="1:10" x14ac:dyDescent="0.3">
      <c r="A733" t="s">
        <v>104</v>
      </c>
      <c r="B733" t="s">
        <v>105</v>
      </c>
      <c r="C733" t="s">
        <v>151</v>
      </c>
      <c r="D733" t="s">
        <v>190</v>
      </c>
      <c r="E733" t="s">
        <v>58</v>
      </c>
      <c r="F733" s="1">
        <v>9.6576388888888894E-4</v>
      </c>
      <c r="G733" s="37">
        <v>2.17</v>
      </c>
      <c r="H733">
        <v>2.82</v>
      </c>
      <c r="I733" s="37">
        <v>1</v>
      </c>
    </row>
    <row r="734" spans="1:10" x14ac:dyDescent="0.3">
      <c r="A734" t="s">
        <v>104</v>
      </c>
      <c r="B734" t="s">
        <v>105</v>
      </c>
      <c r="C734" t="s">
        <v>151</v>
      </c>
      <c r="D734" t="s">
        <v>190</v>
      </c>
      <c r="E734" t="s">
        <v>72</v>
      </c>
      <c r="F734" s="1">
        <v>9.6326388888888883E-4</v>
      </c>
      <c r="G734" s="37">
        <v>2.17</v>
      </c>
      <c r="H734">
        <v>2.83</v>
      </c>
      <c r="I734" s="37">
        <v>1</v>
      </c>
    </row>
    <row r="735" spans="1:10" x14ac:dyDescent="0.3">
      <c r="A735" t="s">
        <v>104</v>
      </c>
      <c r="B735" t="s">
        <v>105</v>
      </c>
      <c r="C735" t="s">
        <v>151</v>
      </c>
      <c r="D735" t="s">
        <v>190</v>
      </c>
      <c r="E735" t="s">
        <v>59</v>
      </c>
      <c r="F735" s="1">
        <v>9.6495370370370365E-4</v>
      </c>
      <c r="G735" s="37">
        <v>2.16</v>
      </c>
      <c r="H735">
        <v>2.81</v>
      </c>
      <c r="I735" s="37">
        <v>1</v>
      </c>
    </row>
    <row r="736" spans="1:10" x14ac:dyDescent="0.3">
      <c r="A736" t="s">
        <v>104</v>
      </c>
      <c r="B736" t="s">
        <v>105</v>
      </c>
      <c r="C736" t="s">
        <v>151</v>
      </c>
      <c r="D736" t="s">
        <v>190</v>
      </c>
      <c r="E736" t="s">
        <v>60</v>
      </c>
      <c r="F736" s="1">
        <v>9.6819444444444448E-4</v>
      </c>
      <c r="G736" s="37">
        <v>2.16</v>
      </c>
      <c r="H736">
        <v>2.81</v>
      </c>
      <c r="I736" s="37">
        <v>1</v>
      </c>
    </row>
    <row r="737" spans="1:9" x14ac:dyDescent="0.3">
      <c r="A737" t="s">
        <v>104</v>
      </c>
      <c r="B737" t="s">
        <v>105</v>
      </c>
      <c r="C737" t="s">
        <v>151</v>
      </c>
      <c r="D737" t="s">
        <v>190</v>
      </c>
      <c r="E737" t="s">
        <v>61</v>
      </c>
      <c r="F737" s="1">
        <v>9.7126157407407404E-4</v>
      </c>
      <c r="G737" s="37">
        <v>2.16</v>
      </c>
      <c r="H737">
        <v>2.81</v>
      </c>
      <c r="I737" s="37">
        <v>1</v>
      </c>
    </row>
    <row r="738" spans="1:9" x14ac:dyDescent="0.3">
      <c r="A738" t="s">
        <v>104</v>
      </c>
      <c r="B738" t="s">
        <v>105</v>
      </c>
      <c r="C738" t="s">
        <v>151</v>
      </c>
      <c r="D738" t="s">
        <v>190</v>
      </c>
      <c r="E738" t="s">
        <v>62</v>
      </c>
      <c r="F738" s="1">
        <v>9.7246527777777782E-4</v>
      </c>
      <c r="G738" s="37">
        <v>2.12</v>
      </c>
      <c r="H738">
        <v>2.76</v>
      </c>
      <c r="I738" s="37">
        <v>1</v>
      </c>
    </row>
    <row r="739" spans="1:9" x14ac:dyDescent="0.3">
      <c r="A739" t="s">
        <v>104</v>
      </c>
      <c r="B739" t="s">
        <v>105</v>
      </c>
      <c r="C739" t="s">
        <v>151</v>
      </c>
      <c r="D739" t="s">
        <v>190</v>
      </c>
      <c r="E739" t="s">
        <v>63</v>
      </c>
      <c r="F739" s="1">
        <v>9.7254629629629622E-4</v>
      </c>
      <c r="G739" s="37">
        <v>2.13</v>
      </c>
      <c r="H739">
        <v>2.75</v>
      </c>
      <c r="I739" s="37">
        <v>1</v>
      </c>
    </row>
    <row r="740" spans="1:9" x14ac:dyDescent="0.3">
      <c r="A740" t="s">
        <v>104</v>
      </c>
      <c r="B740" t="s">
        <v>105</v>
      </c>
      <c r="C740" t="s">
        <v>151</v>
      </c>
      <c r="D740" t="s">
        <v>190</v>
      </c>
      <c r="E740" t="s">
        <v>64</v>
      </c>
      <c r="F740" s="1">
        <v>9.8149305555555555E-4</v>
      </c>
      <c r="G740" s="37">
        <v>2.0499999999999998</v>
      </c>
      <c r="H740">
        <v>2.67</v>
      </c>
      <c r="I740" s="37">
        <v>1</v>
      </c>
    </row>
    <row r="741" spans="1:9" x14ac:dyDescent="0.3">
      <c r="A741" t="s">
        <v>104</v>
      </c>
      <c r="B741" t="s">
        <v>105</v>
      </c>
      <c r="C741" t="s">
        <v>151</v>
      </c>
      <c r="D741" t="s">
        <v>190</v>
      </c>
      <c r="E741" t="s">
        <v>65</v>
      </c>
      <c r="F741" s="1">
        <v>9.8201388888888882E-4</v>
      </c>
      <c r="G741" s="37">
        <v>2.0499999999999998</v>
      </c>
      <c r="H741">
        <v>2.66</v>
      </c>
      <c r="I741" s="37">
        <v>1</v>
      </c>
    </row>
    <row r="742" spans="1:9" x14ac:dyDescent="0.3">
      <c r="A742" t="s">
        <v>104</v>
      </c>
      <c r="B742" t="s">
        <v>105</v>
      </c>
      <c r="C742" t="s">
        <v>151</v>
      </c>
      <c r="D742" t="s">
        <v>190</v>
      </c>
      <c r="E742" t="s">
        <v>66</v>
      </c>
      <c r="F742" s="1">
        <v>9.8271990740740741E-4</v>
      </c>
      <c r="G742" s="37">
        <v>2.06</v>
      </c>
      <c r="H742">
        <v>2.68</v>
      </c>
      <c r="I742" s="37">
        <v>1</v>
      </c>
    </row>
    <row r="743" spans="1:9" x14ac:dyDescent="0.3">
      <c r="A743" t="s">
        <v>104</v>
      </c>
      <c r="B743" t="s">
        <v>105</v>
      </c>
      <c r="C743" t="s">
        <v>151</v>
      </c>
      <c r="D743" t="s">
        <v>190</v>
      </c>
      <c r="E743" t="s">
        <v>67</v>
      </c>
      <c r="F743" s="1">
        <v>9.8630787037037046E-4</v>
      </c>
      <c r="G743" s="37">
        <v>2.04</v>
      </c>
      <c r="H743">
        <v>2.65</v>
      </c>
      <c r="I743" s="37">
        <v>1</v>
      </c>
    </row>
    <row r="744" spans="1:9" x14ac:dyDescent="0.3">
      <c r="A744" t="s">
        <v>104</v>
      </c>
      <c r="B744" t="s">
        <v>105</v>
      </c>
      <c r="C744" t="s">
        <v>151</v>
      </c>
      <c r="D744" t="s">
        <v>190</v>
      </c>
      <c r="E744" t="s">
        <v>68</v>
      </c>
      <c r="F744" s="1">
        <v>9.8079861111111111E-4</v>
      </c>
      <c r="G744" s="37">
        <v>2.0699999999999998</v>
      </c>
      <c r="H744">
        <v>2.7</v>
      </c>
      <c r="I744" s="37">
        <v>1</v>
      </c>
    </row>
    <row r="745" spans="1:9" x14ac:dyDescent="0.3">
      <c r="A745" t="s">
        <v>104</v>
      </c>
      <c r="B745" t="s">
        <v>105</v>
      </c>
      <c r="C745" t="s">
        <v>151</v>
      </c>
      <c r="D745" t="s">
        <v>190</v>
      </c>
      <c r="E745" t="s">
        <v>69</v>
      </c>
      <c r="F745" s="1">
        <v>9.8208333333333329E-4</v>
      </c>
      <c r="G745" s="37">
        <v>2.0499999999999998</v>
      </c>
      <c r="H745">
        <v>2.66</v>
      </c>
      <c r="I745" s="37">
        <v>1</v>
      </c>
    </row>
    <row r="746" spans="1:9" x14ac:dyDescent="0.3">
      <c r="A746" t="s">
        <v>104</v>
      </c>
      <c r="B746" t="s">
        <v>105</v>
      </c>
      <c r="C746" t="s">
        <v>151</v>
      </c>
      <c r="D746" t="s">
        <v>190</v>
      </c>
      <c r="E746" t="s">
        <v>70</v>
      </c>
      <c r="F746" s="1">
        <v>9.8150462962962948E-4</v>
      </c>
      <c r="G746" s="37">
        <v>2.09</v>
      </c>
      <c r="H746">
        <v>2.71</v>
      </c>
      <c r="I746" s="37">
        <v>1</v>
      </c>
    </row>
    <row r="747" spans="1:9" x14ac:dyDescent="0.3">
      <c r="A747" t="s">
        <v>104</v>
      </c>
      <c r="B747" t="s">
        <v>105</v>
      </c>
      <c r="C747" t="s">
        <v>151</v>
      </c>
      <c r="D747" t="s">
        <v>190</v>
      </c>
      <c r="E747" t="s">
        <v>71</v>
      </c>
      <c r="F747" s="1">
        <v>9.9283564814814829E-4</v>
      </c>
      <c r="G747" s="37">
        <v>2.02</v>
      </c>
      <c r="H747">
        <v>2.64</v>
      </c>
      <c r="I747" s="37">
        <v>1</v>
      </c>
    </row>
    <row r="748" spans="1:9" x14ac:dyDescent="0.3">
      <c r="A748" t="s">
        <v>100</v>
      </c>
      <c r="B748" t="s">
        <v>23</v>
      </c>
      <c r="C748" t="s">
        <v>151</v>
      </c>
      <c r="D748" t="s">
        <v>191</v>
      </c>
      <c r="E748" t="s">
        <v>9</v>
      </c>
      <c r="F748" s="1">
        <v>9.9354166666666666E-4</v>
      </c>
      <c r="G748" s="37">
        <v>2.08</v>
      </c>
      <c r="H748">
        <v>3.24</v>
      </c>
      <c r="I748" s="37">
        <v>0.84499999999999997</v>
      </c>
    </row>
    <row r="749" spans="1:9" x14ac:dyDescent="0.3">
      <c r="A749" t="s">
        <v>100</v>
      </c>
      <c r="B749" t="s">
        <v>23</v>
      </c>
      <c r="C749" t="s">
        <v>151</v>
      </c>
      <c r="D749" t="s">
        <v>191</v>
      </c>
      <c r="E749" t="s">
        <v>10</v>
      </c>
      <c r="F749" s="1">
        <v>9.7199074074074082E-4</v>
      </c>
      <c r="G749" s="37">
        <v>2.12</v>
      </c>
      <c r="H749">
        <v>3.3</v>
      </c>
      <c r="I749" s="37">
        <v>0.84499999999999997</v>
      </c>
    </row>
    <row r="750" spans="1:9" x14ac:dyDescent="0.3">
      <c r="A750" t="s">
        <v>100</v>
      </c>
      <c r="B750" t="s">
        <v>23</v>
      </c>
      <c r="C750" t="s">
        <v>151</v>
      </c>
      <c r="D750" t="s">
        <v>191</v>
      </c>
      <c r="E750" t="s">
        <v>15</v>
      </c>
      <c r="F750" s="1">
        <v>9.7697916666666658E-4</v>
      </c>
      <c r="G750" s="37">
        <v>2.1</v>
      </c>
      <c r="H750">
        <v>3.28</v>
      </c>
      <c r="I750" s="37">
        <v>0.84499999999999997</v>
      </c>
    </row>
    <row r="751" spans="1:9" x14ac:dyDescent="0.3">
      <c r="A751" t="s">
        <v>100</v>
      </c>
      <c r="B751" t="s">
        <v>23</v>
      </c>
      <c r="C751" t="s">
        <v>151</v>
      </c>
      <c r="D751" t="s">
        <v>191</v>
      </c>
      <c r="E751" t="s">
        <v>16</v>
      </c>
      <c r="F751" s="1">
        <v>9.7784722222222218E-4</v>
      </c>
      <c r="G751" s="37">
        <v>2.11</v>
      </c>
      <c r="H751">
        <v>3.3</v>
      </c>
      <c r="I751" s="37">
        <v>0.84499999999999997</v>
      </c>
    </row>
    <row r="752" spans="1:9" x14ac:dyDescent="0.3">
      <c r="A752" t="s">
        <v>100</v>
      </c>
      <c r="B752" t="s">
        <v>23</v>
      </c>
      <c r="C752" t="s">
        <v>151</v>
      </c>
      <c r="D752" t="s">
        <v>191</v>
      </c>
      <c r="E752" t="s">
        <v>17</v>
      </c>
      <c r="F752" s="1">
        <v>9.8322916666666654E-4</v>
      </c>
      <c r="G752" s="37">
        <v>2.1</v>
      </c>
      <c r="H752">
        <v>3.29</v>
      </c>
      <c r="I752" s="37">
        <v>0.84499999999999997</v>
      </c>
    </row>
    <row r="753" spans="1:9" x14ac:dyDescent="0.3">
      <c r="A753" t="s">
        <v>100</v>
      </c>
      <c r="B753" t="s">
        <v>23</v>
      </c>
      <c r="C753" t="s">
        <v>151</v>
      </c>
      <c r="D753" t="s">
        <v>191</v>
      </c>
      <c r="E753" t="s">
        <v>18</v>
      </c>
      <c r="F753" s="1">
        <v>9.8184027777777788E-4</v>
      </c>
      <c r="G753" s="37">
        <v>2.1</v>
      </c>
      <c r="H753">
        <v>3.29</v>
      </c>
      <c r="I753" s="37">
        <v>0.84499999999999997</v>
      </c>
    </row>
    <row r="754" spans="1:9" x14ac:dyDescent="0.3">
      <c r="A754" t="s">
        <v>100</v>
      </c>
      <c r="B754" t="s">
        <v>23</v>
      </c>
      <c r="C754" t="s">
        <v>151</v>
      </c>
      <c r="D754" t="s">
        <v>191</v>
      </c>
      <c r="E754" t="s">
        <v>19</v>
      </c>
      <c r="F754" s="1">
        <v>9.7740740740740752E-4</v>
      </c>
      <c r="G754" s="37">
        <v>2.15</v>
      </c>
      <c r="H754">
        <v>3.37</v>
      </c>
      <c r="I754" s="37">
        <v>0.84499999999999997</v>
      </c>
    </row>
    <row r="755" spans="1:9" x14ac:dyDescent="0.3">
      <c r="A755" t="s">
        <v>100</v>
      </c>
      <c r="B755" t="s">
        <v>23</v>
      </c>
      <c r="C755" t="s">
        <v>151</v>
      </c>
      <c r="D755" t="s">
        <v>191</v>
      </c>
      <c r="E755" t="s">
        <v>45</v>
      </c>
      <c r="F755" s="1">
        <v>9.7984953703703689E-4</v>
      </c>
      <c r="G755" s="37">
        <v>2.15</v>
      </c>
      <c r="H755">
        <v>3.37</v>
      </c>
      <c r="I755" s="37">
        <v>0.84499999999999997</v>
      </c>
    </row>
    <row r="756" spans="1:9" x14ac:dyDescent="0.3">
      <c r="A756" t="s">
        <v>100</v>
      </c>
      <c r="B756" t="s">
        <v>23</v>
      </c>
      <c r="C756" t="s">
        <v>151</v>
      </c>
      <c r="D756" t="s">
        <v>191</v>
      </c>
      <c r="E756" t="s">
        <v>46</v>
      </c>
      <c r="F756" s="1">
        <v>9.822453703703703E-4</v>
      </c>
      <c r="G756" s="37">
        <v>2.13</v>
      </c>
      <c r="H756">
        <v>3.33</v>
      </c>
      <c r="I756" s="37">
        <v>0.84499999999999997</v>
      </c>
    </row>
    <row r="757" spans="1:9" x14ac:dyDescent="0.3">
      <c r="A757" t="s">
        <v>100</v>
      </c>
      <c r="B757" t="s">
        <v>23</v>
      </c>
      <c r="C757" t="s">
        <v>151</v>
      </c>
      <c r="D757" t="s">
        <v>191</v>
      </c>
      <c r="E757" t="s">
        <v>47</v>
      </c>
      <c r="F757" s="1">
        <v>1.0011689814814816E-3</v>
      </c>
      <c r="G757" s="37">
        <v>2.09</v>
      </c>
      <c r="H757">
        <v>3.27</v>
      </c>
      <c r="I757" s="37">
        <v>0.84499999999999997</v>
      </c>
    </row>
    <row r="758" spans="1:9" x14ac:dyDescent="0.3">
      <c r="A758" t="s">
        <v>100</v>
      </c>
      <c r="B758" t="s">
        <v>23</v>
      </c>
      <c r="C758" t="s">
        <v>151</v>
      </c>
      <c r="D758" t="s">
        <v>191</v>
      </c>
      <c r="E758" t="s">
        <v>48</v>
      </c>
      <c r="F758" s="1">
        <v>9.978125E-4</v>
      </c>
      <c r="G758" s="37">
        <v>2.1</v>
      </c>
      <c r="H758">
        <v>3.27</v>
      </c>
      <c r="I758" s="37">
        <v>0.84499999999999997</v>
      </c>
    </row>
    <row r="759" spans="1:9" x14ac:dyDescent="0.3">
      <c r="A759" t="s">
        <v>100</v>
      </c>
      <c r="B759" t="s">
        <v>23</v>
      </c>
      <c r="C759" t="s">
        <v>151</v>
      </c>
      <c r="D759" t="s">
        <v>191</v>
      </c>
      <c r="E759" t="s">
        <v>49</v>
      </c>
      <c r="F759" s="1">
        <v>1.012037037037037E-3</v>
      </c>
      <c r="G759" s="37">
        <v>2.12</v>
      </c>
      <c r="H759">
        <v>3.32</v>
      </c>
      <c r="I759" s="37">
        <v>0.84499999999999997</v>
      </c>
    </row>
    <row r="760" spans="1:9" x14ac:dyDescent="0.3">
      <c r="A760" t="s">
        <v>100</v>
      </c>
      <c r="B760" t="s">
        <v>23</v>
      </c>
      <c r="C760" t="s">
        <v>151</v>
      </c>
      <c r="D760" t="s">
        <v>191</v>
      </c>
      <c r="E760" t="s">
        <v>50</v>
      </c>
      <c r="F760" s="1">
        <v>9.8479166666666658E-4</v>
      </c>
      <c r="G760" s="37">
        <v>2.14</v>
      </c>
      <c r="H760">
        <v>3.36</v>
      </c>
      <c r="I760" s="37">
        <v>0.84499999999999997</v>
      </c>
    </row>
    <row r="761" spans="1:9" x14ac:dyDescent="0.3">
      <c r="A761" t="s">
        <v>100</v>
      </c>
      <c r="B761" t="s">
        <v>23</v>
      </c>
      <c r="C761" t="s">
        <v>151</v>
      </c>
      <c r="D761" t="s">
        <v>191</v>
      </c>
      <c r="E761" t="s">
        <v>51</v>
      </c>
      <c r="F761" s="1">
        <v>9.8924768518518524E-4</v>
      </c>
      <c r="G761" s="37">
        <v>2.15</v>
      </c>
      <c r="H761">
        <v>3.37</v>
      </c>
      <c r="I761" s="37">
        <v>0.84499999999999997</v>
      </c>
    </row>
    <row r="762" spans="1:9" x14ac:dyDescent="0.3">
      <c r="A762" t="s">
        <v>100</v>
      </c>
      <c r="B762" t="s">
        <v>23</v>
      </c>
      <c r="C762" t="s">
        <v>151</v>
      </c>
      <c r="D762" t="s">
        <v>191</v>
      </c>
      <c r="E762" t="s">
        <v>52</v>
      </c>
      <c r="F762" s="1">
        <v>9.9422453703703695E-4</v>
      </c>
      <c r="G762" s="37">
        <v>2.16</v>
      </c>
      <c r="H762">
        <v>3.36</v>
      </c>
      <c r="I762" s="37">
        <v>0.84499999999999997</v>
      </c>
    </row>
    <row r="763" spans="1:9" x14ac:dyDescent="0.3">
      <c r="A763" t="s">
        <v>100</v>
      </c>
      <c r="B763" t="s">
        <v>23</v>
      </c>
      <c r="C763" t="s">
        <v>151</v>
      </c>
      <c r="D763" t="s">
        <v>191</v>
      </c>
      <c r="E763" t="s">
        <v>54</v>
      </c>
      <c r="F763" s="1">
        <v>9.6447916666666665E-4</v>
      </c>
      <c r="G763" s="37">
        <v>2.23</v>
      </c>
      <c r="H763">
        <v>3.52</v>
      </c>
      <c r="I763" s="37">
        <v>0.84499999999999997</v>
      </c>
    </row>
    <row r="764" spans="1:9" x14ac:dyDescent="0.3">
      <c r="A764" t="s">
        <v>100</v>
      </c>
      <c r="B764" t="s">
        <v>23</v>
      </c>
      <c r="C764" t="s">
        <v>151</v>
      </c>
      <c r="D764" t="s">
        <v>191</v>
      </c>
      <c r="E764" t="s">
        <v>55</v>
      </c>
      <c r="F764" s="1">
        <v>9.6494212962962961E-4</v>
      </c>
      <c r="G764" s="37">
        <v>2.2599999999999998</v>
      </c>
      <c r="H764">
        <v>3.51</v>
      </c>
      <c r="I764" s="37">
        <v>0.84499999999999997</v>
      </c>
    </row>
    <row r="765" spans="1:9" x14ac:dyDescent="0.3">
      <c r="A765" t="s">
        <v>100</v>
      </c>
      <c r="B765" t="s">
        <v>23</v>
      </c>
      <c r="C765" t="s">
        <v>151</v>
      </c>
      <c r="D765" t="s">
        <v>191</v>
      </c>
      <c r="E765" t="s">
        <v>56</v>
      </c>
      <c r="F765" s="1">
        <v>9.6737268518518526E-4</v>
      </c>
      <c r="G765" s="37">
        <v>2.25</v>
      </c>
      <c r="H765">
        <v>3.5</v>
      </c>
      <c r="I765" s="37">
        <v>0.84499999999999997</v>
      </c>
    </row>
    <row r="766" spans="1:9" x14ac:dyDescent="0.3">
      <c r="A766" t="s">
        <v>100</v>
      </c>
      <c r="B766" t="s">
        <v>23</v>
      </c>
      <c r="C766" t="s">
        <v>151</v>
      </c>
      <c r="D766" t="s">
        <v>191</v>
      </c>
      <c r="E766" t="s">
        <v>57</v>
      </c>
      <c r="F766" s="1">
        <v>9.7057870370370375E-4</v>
      </c>
      <c r="G766" s="37">
        <v>2.2200000000000002</v>
      </c>
      <c r="H766">
        <v>3.46</v>
      </c>
      <c r="I766" s="37">
        <v>0.84499999999999997</v>
      </c>
    </row>
    <row r="767" spans="1:9" x14ac:dyDescent="0.3">
      <c r="A767" t="s">
        <v>100</v>
      </c>
      <c r="B767" t="s">
        <v>23</v>
      </c>
      <c r="C767" t="s">
        <v>151</v>
      </c>
      <c r="D767" t="s">
        <v>191</v>
      </c>
      <c r="E767" t="s">
        <v>58</v>
      </c>
      <c r="F767" s="1">
        <v>9.686226851851851E-4</v>
      </c>
      <c r="G767" s="37">
        <v>2.23</v>
      </c>
      <c r="H767">
        <v>3.46</v>
      </c>
      <c r="I767" s="37">
        <v>0.84499999999999997</v>
      </c>
    </row>
    <row r="768" spans="1:9" x14ac:dyDescent="0.3">
      <c r="A768" t="s">
        <v>100</v>
      </c>
      <c r="B768" t="s">
        <v>23</v>
      </c>
      <c r="C768" t="s">
        <v>151</v>
      </c>
      <c r="D768" t="s">
        <v>191</v>
      </c>
      <c r="E768" t="s">
        <v>72</v>
      </c>
      <c r="F768" s="1">
        <v>9.6656249999999997E-4</v>
      </c>
      <c r="G768" s="37">
        <v>2.23</v>
      </c>
      <c r="H768">
        <v>3.49</v>
      </c>
      <c r="I768" s="37">
        <v>0.84499999999999997</v>
      </c>
    </row>
    <row r="769" spans="1:9" x14ac:dyDescent="0.3">
      <c r="A769" t="s">
        <v>100</v>
      </c>
      <c r="B769" t="s">
        <v>23</v>
      </c>
      <c r="C769" t="s">
        <v>151</v>
      </c>
      <c r="D769" t="s">
        <v>191</v>
      </c>
      <c r="E769" t="s">
        <v>59</v>
      </c>
      <c r="F769" s="1">
        <v>9.6731481481481473E-4</v>
      </c>
      <c r="G769" s="37">
        <v>2.23</v>
      </c>
      <c r="H769">
        <v>3.47</v>
      </c>
      <c r="I769" s="37">
        <v>0.84499999999999997</v>
      </c>
    </row>
    <row r="770" spans="1:9" x14ac:dyDescent="0.3">
      <c r="A770" t="s">
        <v>100</v>
      </c>
      <c r="B770" t="s">
        <v>23</v>
      </c>
      <c r="C770" t="s">
        <v>151</v>
      </c>
      <c r="D770" t="s">
        <v>191</v>
      </c>
      <c r="E770" t="s">
        <v>60</v>
      </c>
      <c r="F770" s="1">
        <v>9.7307870370370365E-4</v>
      </c>
      <c r="G770" s="37">
        <v>2.17</v>
      </c>
      <c r="H770">
        <v>3.41</v>
      </c>
      <c r="I770" s="37">
        <v>0.84499999999999997</v>
      </c>
    </row>
    <row r="771" spans="1:9" x14ac:dyDescent="0.3">
      <c r="A771" t="s">
        <v>100</v>
      </c>
      <c r="B771" t="s">
        <v>23</v>
      </c>
      <c r="C771" t="s">
        <v>151</v>
      </c>
      <c r="D771" t="s">
        <v>191</v>
      </c>
      <c r="E771" t="s">
        <v>61</v>
      </c>
      <c r="F771" s="1">
        <v>9.7665509259259255E-4</v>
      </c>
      <c r="G771" s="37">
        <v>2.21</v>
      </c>
      <c r="H771">
        <v>3.44</v>
      </c>
      <c r="I771" s="37">
        <v>0.84499999999999997</v>
      </c>
    </row>
    <row r="772" spans="1:9" x14ac:dyDescent="0.3">
      <c r="A772" t="s">
        <v>100</v>
      </c>
      <c r="B772" t="s">
        <v>23</v>
      </c>
      <c r="C772" t="s">
        <v>151</v>
      </c>
      <c r="D772" t="s">
        <v>191</v>
      </c>
      <c r="E772" t="s">
        <v>62</v>
      </c>
      <c r="F772" s="1">
        <v>9.8207175925925936E-4</v>
      </c>
      <c r="G772" s="37">
        <v>2.16</v>
      </c>
      <c r="H772">
        <v>3.37</v>
      </c>
      <c r="I772" s="37">
        <v>0.84499999999999997</v>
      </c>
    </row>
    <row r="773" spans="1:9" x14ac:dyDescent="0.3">
      <c r="A773" t="s">
        <v>100</v>
      </c>
      <c r="B773" t="s">
        <v>23</v>
      </c>
      <c r="C773" t="s">
        <v>151</v>
      </c>
      <c r="D773" t="s">
        <v>191</v>
      </c>
      <c r="E773" t="s">
        <v>63</v>
      </c>
      <c r="F773" s="1">
        <v>9.8525462962962976E-4</v>
      </c>
      <c r="G773" s="37">
        <v>2.11</v>
      </c>
      <c r="H773">
        <v>3.31</v>
      </c>
      <c r="I773" s="37">
        <v>0.84499999999999997</v>
      </c>
    </row>
    <row r="774" spans="1:9" x14ac:dyDescent="0.3">
      <c r="A774" t="s">
        <v>100</v>
      </c>
      <c r="B774" t="s">
        <v>23</v>
      </c>
      <c r="C774" t="s">
        <v>151</v>
      </c>
      <c r="D774" t="s">
        <v>191</v>
      </c>
      <c r="E774" t="s">
        <v>64</v>
      </c>
      <c r="F774" s="1">
        <v>9.9376157407407421E-4</v>
      </c>
      <c r="G774" s="37">
        <v>2.09</v>
      </c>
      <c r="H774">
        <v>3.28</v>
      </c>
      <c r="I774" s="37">
        <v>0.84499999999999997</v>
      </c>
    </row>
    <row r="775" spans="1:9" x14ac:dyDescent="0.3">
      <c r="A775" t="s">
        <v>100</v>
      </c>
      <c r="B775" t="s">
        <v>23</v>
      </c>
      <c r="C775" t="s">
        <v>151</v>
      </c>
      <c r="D775" t="s">
        <v>191</v>
      </c>
      <c r="E775" t="s">
        <v>65</v>
      </c>
      <c r="F775" s="1">
        <v>9.8365740740740748E-4</v>
      </c>
      <c r="G775" s="37">
        <v>2.1</v>
      </c>
      <c r="H775">
        <v>3.28</v>
      </c>
      <c r="I775" s="37">
        <v>0.84499999999999997</v>
      </c>
    </row>
    <row r="776" spans="1:9" x14ac:dyDescent="0.3">
      <c r="A776" t="s">
        <v>100</v>
      </c>
      <c r="B776" t="s">
        <v>23</v>
      </c>
      <c r="C776" t="s">
        <v>151</v>
      </c>
      <c r="D776" t="s">
        <v>191</v>
      </c>
      <c r="E776" t="s">
        <v>66</v>
      </c>
      <c r="F776" s="1">
        <v>9.9224537037037033E-4</v>
      </c>
      <c r="G776" s="37">
        <v>2.15</v>
      </c>
      <c r="H776">
        <v>3.36</v>
      </c>
      <c r="I776" s="37">
        <v>0.84499999999999997</v>
      </c>
    </row>
    <row r="777" spans="1:9" x14ac:dyDescent="0.3">
      <c r="A777" t="s">
        <v>100</v>
      </c>
      <c r="B777" t="s">
        <v>23</v>
      </c>
      <c r="C777" t="s">
        <v>151</v>
      </c>
      <c r="D777" t="s">
        <v>191</v>
      </c>
      <c r="E777" t="s">
        <v>67</v>
      </c>
      <c r="F777" s="1">
        <v>1.0071759259259259E-3</v>
      </c>
      <c r="G777" s="37">
        <v>2.08</v>
      </c>
      <c r="H777">
        <v>3.26</v>
      </c>
      <c r="I777" s="37">
        <v>0.84499999999999997</v>
      </c>
    </row>
    <row r="778" spans="1:9" x14ac:dyDescent="0.3">
      <c r="A778" t="s">
        <v>100</v>
      </c>
      <c r="B778" t="s">
        <v>23</v>
      </c>
      <c r="C778" t="s">
        <v>151</v>
      </c>
      <c r="D778" t="s">
        <v>191</v>
      </c>
      <c r="E778" t="s">
        <v>68</v>
      </c>
      <c r="F778" s="1">
        <v>9.8694444444444437E-4</v>
      </c>
      <c r="G778" s="37">
        <v>2.15</v>
      </c>
      <c r="H778">
        <v>3.37</v>
      </c>
      <c r="I778" s="37">
        <v>0.84499999999999997</v>
      </c>
    </row>
    <row r="779" spans="1:9" x14ac:dyDescent="0.3">
      <c r="A779" t="s">
        <v>100</v>
      </c>
      <c r="B779" t="s">
        <v>23</v>
      </c>
      <c r="C779" t="s">
        <v>151</v>
      </c>
      <c r="D779" t="s">
        <v>191</v>
      </c>
      <c r="E779" t="s">
        <v>69</v>
      </c>
      <c r="F779" s="1">
        <v>9.846643518518518E-4</v>
      </c>
      <c r="G779" s="37">
        <v>2.15</v>
      </c>
      <c r="H779">
        <v>3.38</v>
      </c>
      <c r="I779" s="37">
        <v>0.84499999999999997</v>
      </c>
    </row>
    <row r="780" spans="1:9" x14ac:dyDescent="0.3">
      <c r="A780" t="s">
        <v>100</v>
      </c>
      <c r="B780" t="s">
        <v>23</v>
      </c>
      <c r="C780" t="s">
        <v>151</v>
      </c>
      <c r="D780" t="s">
        <v>191</v>
      </c>
      <c r="E780" t="s">
        <v>70</v>
      </c>
      <c r="F780" s="1">
        <v>9.8531250000000008E-4</v>
      </c>
      <c r="G780" s="37">
        <v>2.17</v>
      </c>
      <c r="H780">
        <v>3.4</v>
      </c>
      <c r="I780" s="37">
        <v>0.84499999999999997</v>
      </c>
    </row>
    <row r="781" spans="1:9" x14ac:dyDescent="0.3">
      <c r="A781" t="s">
        <v>100</v>
      </c>
      <c r="B781" t="s">
        <v>23</v>
      </c>
      <c r="C781" t="s">
        <v>151</v>
      </c>
      <c r="D781" t="s">
        <v>191</v>
      </c>
      <c r="E781" t="s">
        <v>71</v>
      </c>
      <c r="F781" s="1">
        <v>9.8791666666666667E-4</v>
      </c>
      <c r="G781" s="37">
        <v>2.1800000000000002</v>
      </c>
      <c r="H781">
        <v>3.41</v>
      </c>
      <c r="I781" s="37">
        <v>0.84499999999999997</v>
      </c>
    </row>
    <row r="782" spans="1:9" x14ac:dyDescent="0.3">
      <c r="A782" t="s">
        <v>101</v>
      </c>
      <c r="B782" t="s">
        <v>102</v>
      </c>
      <c r="C782" t="s">
        <v>151</v>
      </c>
      <c r="D782" t="s">
        <v>192</v>
      </c>
      <c r="E782" t="s">
        <v>9</v>
      </c>
      <c r="F782" s="1">
        <v>9.54837962962963E-4</v>
      </c>
      <c r="G782" s="37">
        <v>2.27</v>
      </c>
      <c r="H782">
        <v>2.98</v>
      </c>
      <c r="I782" s="37">
        <v>0.99</v>
      </c>
    </row>
    <row r="783" spans="1:9" x14ac:dyDescent="0.3">
      <c r="A783" t="s">
        <v>101</v>
      </c>
      <c r="B783" t="s">
        <v>102</v>
      </c>
      <c r="C783" t="s">
        <v>151</v>
      </c>
      <c r="D783" t="s">
        <v>192</v>
      </c>
      <c r="E783" t="s">
        <v>10</v>
      </c>
      <c r="F783" s="1">
        <v>9.5811342592592595E-4</v>
      </c>
      <c r="G783" s="37">
        <v>2.2799999999999998</v>
      </c>
      <c r="H783">
        <v>2.97</v>
      </c>
      <c r="I783" s="37">
        <v>0.99</v>
      </c>
    </row>
    <row r="784" spans="1:9" x14ac:dyDescent="0.3">
      <c r="A784" t="s">
        <v>101</v>
      </c>
      <c r="B784" t="s">
        <v>102</v>
      </c>
      <c r="C784" t="s">
        <v>151</v>
      </c>
      <c r="D784" t="s">
        <v>192</v>
      </c>
      <c r="E784" t="s">
        <v>15</v>
      </c>
      <c r="F784" s="1">
        <v>9.5777777777777777E-4</v>
      </c>
      <c r="G784" s="37">
        <v>2.2799999999999998</v>
      </c>
      <c r="H784">
        <v>2.97</v>
      </c>
      <c r="I784" s="37">
        <v>0.99</v>
      </c>
    </row>
    <row r="785" spans="1:9" x14ac:dyDescent="0.3">
      <c r="A785" t="s">
        <v>101</v>
      </c>
      <c r="B785" t="s">
        <v>102</v>
      </c>
      <c r="C785" t="s">
        <v>151</v>
      </c>
      <c r="D785" t="s">
        <v>192</v>
      </c>
      <c r="E785" t="s">
        <v>16</v>
      </c>
      <c r="F785" s="1">
        <v>9.6148148148148156E-4</v>
      </c>
      <c r="G785" s="37">
        <v>2.27</v>
      </c>
      <c r="H785">
        <v>2.95</v>
      </c>
      <c r="I785" s="37">
        <v>0.99</v>
      </c>
    </row>
    <row r="786" spans="1:9" x14ac:dyDescent="0.3">
      <c r="A786" t="s">
        <v>101</v>
      </c>
      <c r="B786" t="s">
        <v>102</v>
      </c>
      <c r="C786" t="s">
        <v>151</v>
      </c>
      <c r="D786" t="s">
        <v>192</v>
      </c>
      <c r="E786" t="s">
        <v>17</v>
      </c>
      <c r="F786" s="1">
        <v>9.6003472222222226E-4</v>
      </c>
      <c r="G786" s="37">
        <v>2.2599999999999998</v>
      </c>
      <c r="H786">
        <v>2.95</v>
      </c>
      <c r="I786" s="37">
        <v>0.99</v>
      </c>
    </row>
    <row r="787" spans="1:9" x14ac:dyDescent="0.3">
      <c r="A787" t="s">
        <v>101</v>
      </c>
      <c r="B787" t="s">
        <v>102</v>
      </c>
      <c r="C787" t="s">
        <v>151</v>
      </c>
      <c r="D787" t="s">
        <v>192</v>
      </c>
      <c r="E787" t="s">
        <v>18</v>
      </c>
      <c r="F787" s="1">
        <v>9.6177083333333347E-4</v>
      </c>
      <c r="G787" s="37">
        <v>2.27</v>
      </c>
      <c r="H787">
        <v>2.96</v>
      </c>
      <c r="I787" s="37">
        <v>0.99</v>
      </c>
    </row>
    <row r="788" spans="1:9" x14ac:dyDescent="0.3">
      <c r="A788" t="s">
        <v>101</v>
      </c>
      <c r="B788" t="s">
        <v>102</v>
      </c>
      <c r="C788" t="s">
        <v>151</v>
      </c>
      <c r="D788" t="s">
        <v>192</v>
      </c>
      <c r="E788" t="s">
        <v>19</v>
      </c>
      <c r="F788" s="1">
        <v>9.6315972222222224E-4</v>
      </c>
      <c r="G788" s="37">
        <v>2.2599999999999998</v>
      </c>
      <c r="H788">
        <v>2.94</v>
      </c>
      <c r="I788" s="37">
        <v>0.99</v>
      </c>
    </row>
    <row r="789" spans="1:9" x14ac:dyDescent="0.3">
      <c r="A789" t="s">
        <v>101</v>
      </c>
      <c r="B789" t="s">
        <v>102</v>
      </c>
      <c r="C789" t="s">
        <v>151</v>
      </c>
      <c r="D789" t="s">
        <v>192</v>
      </c>
      <c r="E789" t="s">
        <v>45</v>
      </c>
      <c r="F789" s="1">
        <v>9.6512731481481482E-4</v>
      </c>
      <c r="G789" s="37">
        <v>2.2599999999999998</v>
      </c>
      <c r="H789">
        <v>2.94</v>
      </c>
      <c r="I789" s="37">
        <v>0.99</v>
      </c>
    </row>
    <row r="790" spans="1:9" x14ac:dyDescent="0.3">
      <c r="A790" t="s">
        <v>101</v>
      </c>
      <c r="B790" t="s">
        <v>102</v>
      </c>
      <c r="C790" t="s">
        <v>151</v>
      </c>
      <c r="D790" t="s">
        <v>192</v>
      </c>
      <c r="E790" t="s">
        <v>46</v>
      </c>
      <c r="F790" s="1">
        <v>9.6374999999999998E-4</v>
      </c>
      <c r="G790" s="37">
        <v>2.25</v>
      </c>
      <c r="H790">
        <v>2.93</v>
      </c>
      <c r="I790" s="37">
        <v>0.99</v>
      </c>
    </row>
    <row r="791" spans="1:9" x14ac:dyDescent="0.3">
      <c r="A791" t="s">
        <v>101</v>
      </c>
      <c r="B791" t="s">
        <v>102</v>
      </c>
      <c r="C791" t="s">
        <v>151</v>
      </c>
      <c r="D791" t="s">
        <v>192</v>
      </c>
      <c r="E791" t="s">
        <v>47</v>
      </c>
      <c r="F791" s="1">
        <v>9.6471064814814813E-4</v>
      </c>
      <c r="G791" s="37">
        <v>2.25</v>
      </c>
      <c r="H791">
        <v>2.93</v>
      </c>
      <c r="I791" s="37">
        <v>0.99</v>
      </c>
    </row>
    <row r="792" spans="1:9" x14ac:dyDescent="0.3">
      <c r="A792" t="s">
        <v>101</v>
      </c>
      <c r="B792" t="s">
        <v>102</v>
      </c>
      <c r="C792" t="s">
        <v>151</v>
      </c>
      <c r="D792" t="s">
        <v>192</v>
      </c>
      <c r="E792" t="s">
        <v>48</v>
      </c>
      <c r="F792" s="1">
        <v>9.6778935185185195E-4</v>
      </c>
      <c r="G792" s="37">
        <v>2.25</v>
      </c>
      <c r="H792">
        <v>2.93</v>
      </c>
      <c r="I792" s="37">
        <v>0.99</v>
      </c>
    </row>
    <row r="793" spans="1:9" x14ac:dyDescent="0.3">
      <c r="A793" t="s">
        <v>101</v>
      </c>
      <c r="B793" t="s">
        <v>102</v>
      </c>
      <c r="C793" t="s">
        <v>151</v>
      </c>
      <c r="D793" t="s">
        <v>192</v>
      </c>
      <c r="E793" t="s">
        <v>49</v>
      </c>
      <c r="F793" s="1">
        <v>9.6981481481481484E-4</v>
      </c>
      <c r="G793" s="37">
        <v>2.25</v>
      </c>
      <c r="H793">
        <v>2.93</v>
      </c>
      <c r="I793" s="37">
        <v>0.99</v>
      </c>
    </row>
    <row r="794" spans="1:9" x14ac:dyDescent="0.3">
      <c r="A794" t="s">
        <v>101</v>
      </c>
      <c r="B794" t="s">
        <v>102</v>
      </c>
      <c r="C794" t="s">
        <v>151</v>
      </c>
      <c r="D794" t="s">
        <v>192</v>
      </c>
      <c r="E794" t="s">
        <v>50</v>
      </c>
      <c r="F794" s="1">
        <v>9.6773148148148142E-4</v>
      </c>
      <c r="G794" s="37">
        <v>2.25</v>
      </c>
      <c r="H794">
        <v>2.93</v>
      </c>
      <c r="I794" s="37">
        <v>0.99</v>
      </c>
    </row>
    <row r="795" spans="1:9" x14ac:dyDescent="0.3">
      <c r="A795" t="s">
        <v>101</v>
      </c>
      <c r="B795" t="s">
        <v>102</v>
      </c>
      <c r="C795" t="s">
        <v>151</v>
      </c>
      <c r="D795" t="s">
        <v>192</v>
      </c>
      <c r="E795" t="s">
        <v>51</v>
      </c>
      <c r="F795" s="1">
        <v>9.7097222222222214E-4</v>
      </c>
      <c r="G795" s="37">
        <v>2.23</v>
      </c>
      <c r="H795">
        <v>2.92</v>
      </c>
      <c r="I795" s="37">
        <v>0.99</v>
      </c>
    </row>
    <row r="796" spans="1:9" x14ac:dyDescent="0.3">
      <c r="A796" t="s">
        <v>101</v>
      </c>
      <c r="B796" t="s">
        <v>102</v>
      </c>
      <c r="C796" t="s">
        <v>151</v>
      </c>
      <c r="D796" t="s">
        <v>192</v>
      </c>
      <c r="E796" t="s">
        <v>52</v>
      </c>
      <c r="F796" s="1">
        <v>9.678819444444445E-4</v>
      </c>
      <c r="G796" s="37">
        <v>2.2400000000000002</v>
      </c>
      <c r="H796">
        <v>2.92</v>
      </c>
      <c r="I796" s="37">
        <v>0.99</v>
      </c>
    </row>
    <row r="797" spans="1:9" x14ac:dyDescent="0.3">
      <c r="A797" t="s">
        <v>101</v>
      </c>
      <c r="B797" t="s">
        <v>102</v>
      </c>
      <c r="C797" t="s">
        <v>151</v>
      </c>
      <c r="D797" t="s">
        <v>192</v>
      </c>
      <c r="E797" t="s">
        <v>53</v>
      </c>
      <c r="F797" s="1">
        <v>9.6920138888888891E-4</v>
      </c>
      <c r="G797" s="37">
        <v>2.23</v>
      </c>
      <c r="H797">
        <v>2.91</v>
      </c>
      <c r="I797" s="37">
        <v>0.99</v>
      </c>
    </row>
    <row r="798" spans="1:9" x14ac:dyDescent="0.3">
      <c r="A798" t="s">
        <v>101</v>
      </c>
      <c r="B798" t="s">
        <v>102</v>
      </c>
      <c r="C798" t="s">
        <v>151</v>
      </c>
      <c r="D798" t="s">
        <v>192</v>
      </c>
      <c r="E798" t="s">
        <v>54</v>
      </c>
      <c r="F798" s="1">
        <v>9.6993055555555548E-4</v>
      </c>
      <c r="G798" s="37">
        <v>2.2400000000000002</v>
      </c>
      <c r="H798">
        <v>2.91</v>
      </c>
      <c r="I798" s="37">
        <v>0.99</v>
      </c>
    </row>
    <row r="799" spans="1:9" x14ac:dyDescent="0.3">
      <c r="A799" t="s">
        <v>101</v>
      </c>
      <c r="B799" t="s">
        <v>102</v>
      </c>
      <c r="C799" t="s">
        <v>151</v>
      </c>
      <c r="D799" t="s">
        <v>192</v>
      </c>
      <c r="E799" t="s">
        <v>55</v>
      </c>
      <c r="F799" s="1">
        <v>9.6895833333333339E-4</v>
      </c>
      <c r="G799" s="37">
        <v>2.21</v>
      </c>
      <c r="H799">
        <v>2.89</v>
      </c>
      <c r="I799" s="37">
        <v>0.99</v>
      </c>
    </row>
    <row r="800" spans="1:9" x14ac:dyDescent="0.3">
      <c r="A800" t="s">
        <v>101</v>
      </c>
      <c r="B800" t="s">
        <v>102</v>
      </c>
      <c r="C800" t="s">
        <v>151</v>
      </c>
      <c r="D800" t="s">
        <v>192</v>
      </c>
      <c r="E800" t="s">
        <v>57</v>
      </c>
      <c r="F800" s="1">
        <v>9.6498842592592589E-4</v>
      </c>
      <c r="G800" s="37">
        <v>2.2200000000000002</v>
      </c>
      <c r="H800">
        <v>2.91</v>
      </c>
      <c r="I800" s="37">
        <v>0.99</v>
      </c>
    </row>
    <row r="801" spans="1:9" x14ac:dyDescent="0.3">
      <c r="A801" t="s">
        <v>101</v>
      </c>
      <c r="B801" t="s">
        <v>102</v>
      </c>
      <c r="C801" t="s">
        <v>151</v>
      </c>
      <c r="D801" t="s">
        <v>192</v>
      </c>
      <c r="E801" t="s">
        <v>58</v>
      </c>
      <c r="F801" s="1">
        <v>9.613888888888888E-4</v>
      </c>
      <c r="G801" s="37">
        <v>2.25</v>
      </c>
      <c r="H801">
        <v>2.92</v>
      </c>
      <c r="I801" s="37">
        <v>0.99</v>
      </c>
    </row>
    <row r="802" spans="1:9" x14ac:dyDescent="0.3">
      <c r="A802" t="s">
        <v>101</v>
      </c>
      <c r="B802" t="s">
        <v>102</v>
      </c>
      <c r="C802" t="s">
        <v>151</v>
      </c>
      <c r="D802" t="s">
        <v>192</v>
      </c>
      <c r="E802" t="s">
        <v>72</v>
      </c>
      <c r="F802" s="1">
        <v>9.6697916666666666E-4</v>
      </c>
      <c r="G802" s="37">
        <v>2.09</v>
      </c>
      <c r="H802">
        <v>2.72</v>
      </c>
      <c r="I802" s="37">
        <v>0.99</v>
      </c>
    </row>
    <row r="803" spans="1:9" x14ac:dyDescent="0.3">
      <c r="A803" t="s">
        <v>101</v>
      </c>
      <c r="B803" t="s">
        <v>102</v>
      </c>
      <c r="C803" t="s">
        <v>151</v>
      </c>
      <c r="D803" t="s">
        <v>192</v>
      </c>
      <c r="E803" t="s">
        <v>59</v>
      </c>
      <c r="F803" s="1">
        <v>9.6664351851851848E-4</v>
      </c>
      <c r="G803" s="37">
        <v>2.15</v>
      </c>
      <c r="H803">
        <v>2.81</v>
      </c>
      <c r="I803" s="37">
        <v>0.99</v>
      </c>
    </row>
    <row r="804" spans="1:9" x14ac:dyDescent="0.3">
      <c r="A804" t="s">
        <v>101</v>
      </c>
      <c r="B804" t="s">
        <v>102</v>
      </c>
      <c r="C804" t="s">
        <v>151</v>
      </c>
      <c r="D804" t="s">
        <v>192</v>
      </c>
      <c r="E804" t="s">
        <v>60</v>
      </c>
      <c r="F804" s="1">
        <v>9.6731481481481473E-4</v>
      </c>
      <c r="G804" s="37">
        <v>2.2000000000000002</v>
      </c>
      <c r="H804">
        <v>2.88</v>
      </c>
      <c r="I804" s="37">
        <v>0.99</v>
      </c>
    </row>
    <row r="805" spans="1:9" x14ac:dyDescent="0.3">
      <c r="A805" t="s">
        <v>101</v>
      </c>
      <c r="B805" t="s">
        <v>102</v>
      </c>
      <c r="C805" t="s">
        <v>151</v>
      </c>
      <c r="D805" t="s">
        <v>192</v>
      </c>
      <c r="E805" t="s">
        <v>61</v>
      </c>
      <c r="F805" s="1">
        <v>9.6848379629629617E-4</v>
      </c>
      <c r="G805" s="37">
        <v>2.19</v>
      </c>
      <c r="H805">
        <v>2.87</v>
      </c>
      <c r="I805" s="37">
        <v>0.99</v>
      </c>
    </row>
    <row r="806" spans="1:9" x14ac:dyDescent="0.3">
      <c r="A806" t="s">
        <v>101</v>
      </c>
      <c r="B806" t="s">
        <v>102</v>
      </c>
      <c r="C806" t="s">
        <v>151</v>
      </c>
      <c r="D806" t="s">
        <v>192</v>
      </c>
      <c r="E806" t="s">
        <v>62</v>
      </c>
      <c r="F806" s="1">
        <v>9.6952546296296294E-4</v>
      </c>
      <c r="G806" s="37">
        <v>2.15</v>
      </c>
      <c r="H806">
        <v>2.82</v>
      </c>
      <c r="I806" s="37">
        <v>0.99</v>
      </c>
    </row>
    <row r="807" spans="1:9" x14ac:dyDescent="0.3">
      <c r="A807" t="s">
        <v>101</v>
      </c>
      <c r="B807" t="s">
        <v>102</v>
      </c>
      <c r="C807" t="s">
        <v>151</v>
      </c>
      <c r="D807" t="s">
        <v>192</v>
      </c>
      <c r="E807" t="s">
        <v>63</v>
      </c>
      <c r="F807" s="1">
        <v>9.7016203703703706E-4</v>
      </c>
      <c r="G807" s="37">
        <v>2.14</v>
      </c>
      <c r="H807">
        <v>2.8</v>
      </c>
      <c r="I807" s="37">
        <v>0.99</v>
      </c>
    </row>
    <row r="808" spans="1:9" x14ac:dyDescent="0.3">
      <c r="A808" t="s">
        <v>101</v>
      </c>
      <c r="B808" t="s">
        <v>102</v>
      </c>
      <c r="C808" t="s">
        <v>151</v>
      </c>
      <c r="D808" t="s">
        <v>192</v>
      </c>
      <c r="E808" t="s">
        <v>64</v>
      </c>
      <c r="F808" s="1">
        <v>9.6896990740740732E-4</v>
      </c>
      <c r="G808" s="37">
        <v>2.16</v>
      </c>
      <c r="H808">
        <v>2.82</v>
      </c>
      <c r="I808" s="37">
        <v>0.99</v>
      </c>
    </row>
    <row r="809" spans="1:9" x14ac:dyDescent="0.3">
      <c r="A809" t="s">
        <v>101</v>
      </c>
      <c r="B809" t="s">
        <v>102</v>
      </c>
      <c r="C809" t="s">
        <v>151</v>
      </c>
      <c r="D809" t="s">
        <v>192</v>
      </c>
      <c r="E809" t="s">
        <v>65</v>
      </c>
      <c r="F809" s="1">
        <v>9.7158564814814807E-4</v>
      </c>
      <c r="G809" s="37">
        <v>2.15</v>
      </c>
      <c r="H809">
        <v>2.81</v>
      </c>
      <c r="I809" s="37">
        <v>0.99</v>
      </c>
    </row>
    <row r="810" spans="1:9" x14ac:dyDescent="0.3">
      <c r="A810" t="s">
        <v>101</v>
      </c>
      <c r="B810" t="s">
        <v>102</v>
      </c>
      <c r="C810" t="s">
        <v>151</v>
      </c>
      <c r="D810" t="s">
        <v>192</v>
      </c>
      <c r="E810" t="s">
        <v>66</v>
      </c>
      <c r="F810" s="1">
        <v>9.727199074074075E-4</v>
      </c>
      <c r="G810" s="37">
        <v>2.13</v>
      </c>
      <c r="H810">
        <v>2.79</v>
      </c>
      <c r="I810" s="37">
        <v>0.99</v>
      </c>
    </row>
    <row r="811" spans="1:9" x14ac:dyDescent="0.3">
      <c r="A811" t="s">
        <v>101</v>
      </c>
      <c r="B811" t="s">
        <v>102</v>
      </c>
      <c r="C811" t="s">
        <v>151</v>
      </c>
      <c r="D811" t="s">
        <v>192</v>
      </c>
      <c r="E811" t="s">
        <v>67</v>
      </c>
      <c r="F811" s="1">
        <v>9.7275462962962951E-4</v>
      </c>
      <c r="G811" s="37">
        <v>2.16</v>
      </c>
      <c r="H811">
        <v>2.82</v>
      </c>
      <c r="I811" s="37">
        <v>0.99</v>
      </c>
    </row>
    <row r="812" spans="1:9" x14ac:dyDescent="0.3">
      <c r="A812" t="s">
        <v>101</v>
      </c>
      <c r="B812" t="s">
        <v>102</v>
      </c>
      <c r="C812" t="s">
        <v>151</v>
      </c>
      <c r="D812" t="s">
        <v>192</v>
      </c>
      <c r="E812" t="s">
        <v>68</v>
      </c>
      <c r="F812" s="1">
        <v>9.7600694444444438E-4</v>
      </c>
      <c r="G812" s="37">
        <v>2.13</v>
      </c>
      <c r="H812">
        <v>2.79</v>
      </c>
      <c r="I812" s="37">
        <v>0.99</v>
      </c>
    </row>
    <row r="813" spans="1:9" x14ac:dyDescent="0.3">
      <c r="A813" t="s">
        <v>101</v>
      </c>
      <c r="B813" t="s">
        <v>102</v>
      </c>
      <c r="C813" t="s">
        <v>151</v>
      </c>
      <c r="D813" t="s">
        <v>192</v>
      </c>
      <c r="E813" t="s">
        <v>69</v>
      </c>
      <c r="F813" s="1">
        <v>9.7600694444444438E-4</v>
      </c>
      <c r="G813" s="37">
        <v>2.16</v>
      </c>
      <c r="H813">
        <v>2.84</v>
      </c>
      <c r="I813" s="37">
        <v>0.99</v>
      </c>
    </row>
    <row r="814" spans="1:9" x14ac:dyDescent="0.3">
      <c r="A814" t="s">
        <v>101</v>
      </c>
      <c r="B814" t="s">
        <v>102</v>
      </c>
      <c r="C814" t="s">
        <v>151</v>
      </c>
      <c r="D814" t="s">
        <v>192</v>
      </c>
      <c r="E814" t="s">
        <v>70</v>
      </c>
      <c r="F814" s="1">
        <v>9.7820601851851844E-4</v>
      </c>
      <c r="G814" s="37">
        <v>2.12</v>
      </c>
      <c r="H814">
        <v>2.78</v>
      </c>
      <c r="I814" s="37">
        <v>0.99</v>
      </c>
    </row>
    <row r="815" spans="1:9" x14ac:dyDescent="0.3">
      <c r="A815" t="s">
        <v>101</v>
      </c>
      <c r="B815" t="s">
        <v>102</v>
      </c>
      <c r="C815" t="s">
        <v>151</v>
      </c>
      <c r="D815" t="s">
        <v>192</v>
      </c>
      <c r="E815" t="s">
        <v>71</v>
      </c>
      <c r="F815" s="1">
        <v>9.8063657407407409E-4</v>
      </c>
      <c r="G815" s="37">
        <v>2.11</v>
      </c>
      <c r="H815">
        <v>2.76</v>
      </c>
      <c r="I815" s="37">
        <v>0.99</v>
      </c>
    </row>
  </sheetData>
  <conditionalFormatting sqref="G1:G1048576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J1:J1048576">
    <cfRule type="colorScale" priority="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Fuel Properties</vt:lpstr>
      <vt:lpstr>Fuel Consumption P1</vt:lpstr>
      <vt:lpstr>DUMP P1</vt:lpstr>
      <vt:lpstr>FC R10</vt:lpstr>
      <vt:lpstr>DUMP R10</vt:lpstr>
      <vt:lpstr>FC R11</vt:lpstr>
      <vt:lpstr>DUMP R11</vt:lpstr>
      <vt:lpstr>FC R12</vt:lpstr>
      <vt:lpstr>DUMP R12</vt:lpstr>
      <vt:lpstr>FuelDensity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Hu</dc:creator>
  <cp:lastModifiedBy>Jeff Hu</cp:lastModifiedBy>
  <dcterms:created xsi:type="dcterms:W3CDTF">2026-04-17T01:21:38Z</dcterms:created>
  <dcterms:modified xsi:type="dcterms:W3CDTF">2026-04-18T06:54:23Z</dcterms:modified>
</cp:coreProperties>
</file>